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940" firstSheet="5" activeTab="14"/>
  </bookViews>
  <sheets>
    <sheet name="绩效整理表" sheetId="1" r:id="rId1"/>
    <sheet name="销售任务及完成率" sheetId="2" r:id="rId2"/>
    <sheet name="新媒体" sheetId="3" r:id="rId3"/>
    <sheet name="邀约专员提成" sheetId="4" r:id="rId4"/>
    <sheet name="客户部提成" sheetId="5" r:id="rId5"/>
    <sheet name="直营店经理提成 (财务)" sheetId="6" r:id="rId6"/>
    <sheet name="招聘" sheetId="7" r:id="rId7"/>
    <sheet name="综合表" sheetId="8" r:id="rId8"/>
    <sheet name="重功超期+活动" sheetId="9" r:id="rId9"/>
    <sheet name="保客考核明细" sheetId="10" r:id="rId10"/>
    <sheet name="直营店交车" sheetId="11" r:id="rId11"/>
    <sheet name="翼真考核" sheetId="12" r:id="rId12"/>
    <sheet name="二手置换 " sheetId="13" r:id="rId13"/>
    <sheet name="按揭绩效" sheetId="14" r:id="rId14"/>
    <sheet name="西物基本" sheetId="15" r:id="rId15"/>
    <sheet name="直营店基本" sheetId="16" r:id="rId16"/>
    <sheet name="超市基本" sheetId="17" r:id="rId17"/>
    <sheet name="银河B直营店提成" sheetId="18" r:id="rId18"/>
    <sheet name="银河A提成- 渠道+直营店"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<sst xmlns="http://schemas.openxmlformats.org/spreadsheetml/2006/main" count="8810" uniqueCount="3125">
  <si>
    <t>2026-05 销售绩效溯源工作簿（精简整理表 + Hub输入）</t>
  </si>
  <si>
    <t>第3行=整理表字段（合并）；第4行=源表叶子字段/匹配方式/公式；第5行起填数据。 同工作簿另含 18 张源表（Hub/岗位 + 发薪边表；版式来自 uploads/主账套，公式保留、数值留空）。</t>
  </si>
  <si>
    <t>指标汇总部门</t>
  </si>
  <si>
    <t>渠道</t>
  </si>
  <si>
    <t>库存天数</t>
  </si>
  <si>
    <t>订单号</t>
  </si>
  <si>
    <t>车种</t>
  </si>
  <si>
    <t>销售渠道</t>
  </si>
  <si>
    <t>台数</t>
  </si>
  <si>
    <t>订单合计(含税)</t>
  </si>
  <si>
    <t>VIN码</t>
  </si>
  <si>
    <t>销售顾问</t>
  </si>
  <si>
    <t>部门</t>
  </si>
  <si>
    <t>精品最低价金额</t>
  </si>
  <si>
    <t>不提成精品</t>
  </si>
  <si>
    <t>整车节约</t>
  </si>
  <si>
    <t>经理权限</t>
  </si>
  <si>
    <t>整车实际节约</t>
  </si>
  <si>
    <t>盈利性产品按揭权限扣除</t>
  </si>
  <si>
    <t>实际整车节约权限</t>
  </si>
  <si>
    <t>保险返利收入</t>
  </si>
  <si>
    <t>按揭收入</t>
  </si>
  <si>
    <t>爱车宝收入</t>
  </si>
  <si>
    <t>上户收入</t>
  </si>
  <si>
    <t>延保收入</t>
  </si>
  <si>
    <t>单台绩效</t>
  </si>
  <si>
    <t>整车超额</t>
  </si>
  <si>
    <t>加装绩效</t>
  </si>
  <si>
    <t>保险提成</t>
  </si>
  <si>
    <t>按揭提成</t>
  </si>
  <si>
    <t>盈利产品</t>
  </si>
  <si>
    <t>爱车宝</t>
  </si>
  <si>
    <t>上户绩效</t>
  </si>
  <si>
    <t>座位险绩效</t>
  </si>
  <si>
    <t>玻璃险绩效</t>
  </si>
  <si>
    <t>特殊车型追加绩效（追加+质损车）</t>
  </si>
  <si>
    <t>二手车置换</t>
  </si>
  <si>
    <t>置换服务</t>
  </si>
  <si>
    <t>延保提成</t>
  </si>
  <si>
    <t>超期追加</t>
  </si>
  <si>
    <t>出厂指导价/扣除降价补差</t>
  </si>
  <si>
    <t>提车现返</t>
  </si>
  <si>
    <t>合同履约</t>
  </si>
  <si>
    <t>项目金额附加费</t>
  </si>
  <si>
    <t>广告返利</t>
  </si>
  <si>
    <t>提车奖励当月返</t>
  </si>
  <si>
    <t>当月返利</t>
  </si>
  <si>
    <t>促销奖</t>
  </si>
  <si>
    <t>代交车佣金</t>
  </si>
  <si>
    <t>裸车毛利</t>
  </si>
  <si>
    <t>装饰成本</t>
  </si>
  <si>
    <t>装饰毛利</t>
  </si>
  <si>
    <t>主营业务毛利</t>
  </si>
  <si>
    <t>上户代收代付部分</t>
  </si>
  <si>
    <t>安心保</t>
  </si>
  <si>
    <t>爱车保</t>
  </si>
  <si>
    <t>上户量</t>
  </si>
  <si>
    <t>系统销售毛利-部门（BL列）</t>
  </si>
  <si>
    <t>比对表-系统部门（A列）→指标汇总部门（B列）</t>
  </si>
  <si>
    <t>通过Vin码匹配</t>
  </si>
  <si>
    <t>表内派生：指标汇总部门+销售渠道→渠道规则</t>
  </si>
  <si>
    <t>系统销售毛利-结算日期（BA列）</t>
  </si>
  <si>
    <t>整车成本-结算日期（B列）</t>
  </si>
  <si>
    <t>表内派生：INT(订单结算日−成本结算日)</t>
  </si>
  <si>
    <t>系统销售毛利-订单号（B列）</t>
  </si>
  <si>
    <t>系统销售毛利-车种（D列）</t>
  </si>
  <si>
    <t>系统销售毛利-销售渠道（E列）</t>
  </si>
  <si>
    <t>表内派生：默认1; supplement_rows可空</t>
  </si>
  <si>
    <t>系统销售毛利-订单合计(含税)（AO列）</t>
  </si>
  <si>
    <t>系统销售毛利-VIN码（BD列）</t>
  </si>
  <si>
    <t>系统销售毛利-销售顾问（BJ列）</t>
  </si>
  <si>
    <t>系统销售毛利-精品最低价金额（BQ列）</t>
  </si>
  <si>
    <t>装饰台账-最低价含税金额（AR列）</t>
  </si>
  <si>
    <t>按订单号汇总</t>
  </si>
  <si>
    <t>系统超额-合计超卖金额（P列）</t>
  </si>
  <si>
    <t>配置：manager_permission_by_vin</t>
  </si>
  <si>
    <t>整车节约+经理权限</t>
  </si>
  <si>
    <t>按揭原表-整车超权限（AN列）</t>
  </si>
  <si>
    <t>表内派生：盈利性产品按揭权限扣除≠0→0 else 整车实际节约−盈利性产品按揭权限扣除</t>
  </si>
  <si>
    <t>保险明细-应结算服务费-合计（AN列）</t>
  </si>
  <si>
    <t>保险明细-返利金额（BP列）</t>
  </si>
  <si>
    <t>BP=SUMIF(VIN,AN)</t>
  </si>
  <si>
    <t>按揭明细-服务费合计（Z列）</t>
  </si>
  <si>
    <t>爱车保-产品名称（K列）</t>
  </si>
  <si>
    <t>上户提成-手续费（C列）</t>
  </si>
  <si>
    <t>延保提成-延保收入（BE列）</t>
  </si>
  <si>
    <t>提成标准-单台绩效（F列）</t>
  </si>
  <si>
    <t>提成标准F×台数</t>
  </si>
  <si>
    <t>表内派生：实际整车节约权限×比例分支</t>
  </si>
  <si>
    <t>表内派生：台数=0→订单合计×12%</t>
  </si>
  <si>
    <t>表内派生：else (精品最低价金额−不提成精品)×12%</t>
  </si>
  <si>
    <t>保险明细-购买险种-商业险保费（AE列）</t>
  </si>
  <si>
    <t>保险明细-直营店保险额外提成-保险额外提成（BT列）</t>
  </si>
  <si>
    <t>AE*0.03+BT</t>
  </si>
  <si>
    <t>按揭明细-基础绩效（BO列）</t>
  </si>
  <si>
    <t>按揭原表-盈利性奖励（AF列）</t>
  </si>
  <si>
    <t>按揭明细-吉致额外追加奖励（BR列）</t>
  </si>
  <si>
    <t>AF+BR</t>
  </si>
  <si>
    <t>爱车保-VIN（F列）</t>
  </si>
  <si>
    <t>爱车保-实际金额（Z列）</t>
  </si>
  <si>
    <t>分段规则(熊猫/畅行保C/置换无忧/悦行保A/金额档)</t>
  </si>
  <si>
    <t>上户提成-福袋（D列）</t>
  </si>
  <si>
    <t>上户提成-VIN码（B列）</t>
  </si>
  <si>
    <t>上户提成-车型（M列）</t>
  </si>
  <si>
    <t>IF(G=0,0,IF(G&gt;=330,G*0.14+53.8,(G-330)*0.14))</t>
  </si>
  <si>
    <t>保险明细-15/单-座位险提成（BU列）</t>
  </si>
  <si>
    <t>IF(BF&gt;0,15,0)</t>
  </si>
  <si>
    <t>保险明细-玻璃险-BG（BG列）</t>
  </si>
  <si>
    <t>BG*0.08</t>
  </si>
  <si>
    <t>重功超期+活动-奖励明细（N列）</t>
  </si>
  <si>
    <t>提成标准-政策追加2月（H列）</t>
  </si>
  <si>
    <t>N+提成标准H×台数</t>
  </si>
  <si>
    <t>二手置换-公司留存补贴（Y列）</t>
  </si>
  <si>
    <t>二手置换-结余提成（AC列）</t>
  </si>
  <si>
    <t>Y*0.14</t>
  </si>
  <si>
    <t>二手置换-毛利（O列）</t>
  </si>
  <si>
    <t>二手置换-置换提成（AD列）</t>
  </si>
  <si>
    <t>IF(O&gt;=1000,O*0.14,IF(O&gt;=500,100,0))</t>
  </si>
  <si>
    <t>大客户-销售提成（R列）</t>
  </si>
  <si>
    <t>AC+AD+大客户R</t>
  </si>
  <si>
    <t>置换服务-服务费金额（AH列）</t>
  </si>
  <si>
    <t>AH*0.14</t>
  </si>
  <si>
    <t>表内派生：延保收入分段(-200/0/200)</t>
  </si>
  <si>
    <t>表内派生：超期政策×库存天数</t>
  </si>
  <si>
    <t>整车成本-出厂指导价（R列）</t>
  </si>
  <si>
    <t>整车成本-提车现返（S列）</t>
  </si>
  <si>
    <t>整车成本-合同履约奖（T列）</t>
  </si>
  <si>
    <t>整车成本-项目金额附加费（U列）</t>
  </si>
  <si>
    <t>整车成本-广告返利（V列）</t>
  </si>
  <si>
    <t>整车成本-提车奖励当月返（W列）</t>
  </si>
  <si>
    <t>终端明细表-金额（P列）</t>
  </si>
  <si>
    <t>表内派生：台数≠0时取负SUMIFS</t>
  </si>
  <si>
    <t>需手工填入</t>
  </si>
  <si>
    <t>系统二手车降价-佣金（去税）（BE列）</t>
  </si>
  <si>
    <t>表内派生：订单合计(含税)−SUM(出厂指导价:代交车佣金)</t>
  </si>
  <si>
    <t>装饰台账-含税成本价（AK列）</t>
  </si>
  <si>
    <t>精品最低价金额−装饰成本</t>
  </si>
  <si>
    <t>裸车毛利+装饰毛利</t>
  </si>
  <si>
    <t>西物汽车2016年8月销售任务计划执行计划统计表</t>
  </si>
  <si>
    <t>编制部门：2026年05月整理数据</t>
  </si>
  <si>
    <t>拟定时间：</t>
  </si>
  <si>
    <t>店名</t>
  </si>
  <si>
    <t>小组</t>
  </si>
  <si>
    <t>姓名</t>
  </si>
  <si>
    <t>西物、超市（合）</t>
  </si>
  <si>
    <t>西物、超市（新品）（L网）</t>
  </si>
  <si>
    <t>西物、超市（老品）（G网）</t>
  </si>
  <si>
    <t>熊猫</t>
  </si>
  <si>
    <t>西物、超市（总完成率）</t>
  </si>
  <si>
    <t>集客(台）</t>
  </si>
  <si>
    <t>销量（台）</t>
  </si>
  <si>
    <t>*月博越L\博越cool考核</t>
  </si>
  <si>
    <t>武侯店-ICON</t>
  </si>
  <si>
    <t>超期/重攻质损</t>
  </si>
  <si>
    <t>总考核（台）</t>
  </si>
  <si>
    <t>考核</t>
  </si>
  <si>
    <t>实际</t>
  </si>
  <si>
    <t>完成率</t>
  </si>
  <si>
    <t>提成金额</t>
  </si>
  <si>
    <t>总计</t>
  </si>
  <si>
    <t>公告车销售量</t>
  </si>
  <si>
    <t>武侯店</t>
  </si>
  <si>
    <t>合计</t>
  </si>
  <si>
    <t>A组</t>
  </si>
  <si>
    <t>B组</t>
  </si>
  <si>
    <t>武侯展厅</t>
  </si>
  <si>
    <t>熊杰文</t>
  </si>
  <si>
    <t>易花贞子</t>
  </si>
  <si>
    <t>马攀</t>
  </si>
  <si>
    <t>毛春秀</t>
  </si>
  <si>
    <t>廖晓军</t>
  </si>
  <si>
    <t>康鳞波</t>
  </si>
  <si>
    <t>黄利君</t>
  </si>
  <si>
    <t>代力</t>
  </si>
  <si>
    <t>武侯DCC</t>
  </si>
  <si>
    <t>DCCA组</t>
  </si>
  <si>
    <t>蒲喜</t>
  </si>
  <si>
    <t>何宇</t>
  </si>
  <si>
    <t>何伟</t>
  </si>
  <si>
    <t>唐操</t>
  </si>
  <si>
    <t>母勇</t>
  </si>
  <si>
    <t>刘飞</t>
  </si>
  <si>
    <t>何剑</t>
  </si>
  <si>
    <t>雷卓远</t>
  </si>
  <si>
    <t>王泳文</t>
  </si>
  <si>
    <t>机场店</t>
  </si>
  <si>
    <t>展厅</t>
  </si>
  <si>
    <t>姚元利</t>
  </si>
  <si>
    <t>邓戈</t>
  </si>
  <si>
    <t>刘发</t>
  </si>
  <si>
    <t>陈林</t>
  </si>
  <si>
    <t>黄军</t>
  </si>
  <si>
    <t>冯超</t>
  </si>
  <si>
    <t>小计</t>
  </si>
  <si>
    <t>网销</t>
  </si>
  <si>
    <t>向兰</t>
  </si>
  <si>
    <t>刘波</t>
  </si>
  <si>
    <t>王熙鸿</t>
  </si>
  <si>
    <t>黄婷婷</t>
  </si>
  <si>
    <t>赵强</t>
  </si>
  <si>
    <t>熊俊杰</t>
  </si>
  <si>
    <t>莫晓何</t>
  </si>
  <si>
    <t>邱明杰</t>
  </si>
  <si>
    <t>刘凤英</t>
  </si>
  <si>
    <t>施巍</t>
  </si>
  <si>
    <t>大客户</t>
  </si>
  <si>
    <t>张永强</t>
  </si>
  <si>
    <t>网络部</t>
  </si>
  <si>
    <t>余才万</t>
  </si>
  <si>
    <t>营销部</t>
  </si>
  <si>
    <t>机场</t>
  </si>
  <si>
    <t>***</t>
  </si>
  <si>
    <t>电销</t>
  </si>
  <si>
    <t>范娜</t>
  </si>
  <si>
    <t>钟小莉</t>
  </si>
  <si>
    <t>武侯</t>
  </si>
  <si>
    <t>陈文虎</t>
  </si>
  <si>
    <t>订单（台）</t>
  </si>
  <si>
    <t>B网任务</t>
  </si>
  <si>
    <t>A网</t>
  </si>
  <si>
    <t>超期（台）</t>
  </si>
  <si>
    <t>岗位</t>
  </si>
  <si>
    <t>直营店总计</t>
  </si>
  <si>
    <t>A+B任务量</t>
  </si>
  <si>
    <t>合并总任务量</t>
  </si>
  <si>
    <t>A网实际量</t>
  </si>
  <si>
    <t>B网实际量</t>
  </si>
  <si>
    <t>合并总完成量</t>
  </si>
  <si>
    <t>总完成率</t>
  </si>
  <si>
    <t>崇州
直营店</t>
  </si>
  <si>
    <t>唐鹏</t>
  </si>
  <si>
    <t>赵思梵</t>
  </si>
  <si>
    <t>陈勇建</t>
  </si>
  <si>
    <t>宁袁</t>
  </si>
  <si>
    <t>李智洪</t>
  </si>
  <si>
    <t>杨婷</t>
  </si>
  <si>
    <t>空白</t>
  </si>
  <si>
    <t>余才万3</t>
  </si>
  <si>
    <t>销售经理</t>
  </si>
  <si>
    <t>朱剑波</t>
  </si>
  <si>
    <t>大邑
直营店</t>
  </si>
  <si>
    <t>程羊</t>
  </si>
  <si>
    <t>常涛</t>
  </si>
  <si>
    <t>王海</t>
  </si>
  <si>
    <t>销售顾问/内勤</t>
  </si>
  <si>
    <t>袁萍</t>
  </si>
  <si>
    <t>区域顾问</t>
  </si>
  <si>
    <t>余才万1</t>
  </si>
  <si>
    <t>孙伟</t>
  </si>
  <si>
    <t>邛崃直营店</t>
  </si>
  <si>
    <t>叶荣鹏</t>
  </si>
  <si>
    <t>马勇</t>
  </si>
  <si>
    <t>高东琴</t>
  </si>
  <si>
    <t>吴思超</t>
  </si>
  <si>
    <t>余才万2</t>
  </si>
  <si>
    <t>彭州
直营店</t>
  </si>
  <si>
    <t>任和奎</t>
  </si>
  <si>
    <t>兰代全</t>
  </si>
  <si>
    <t>刘娅</t>
  </si>
  <si>
    <t>陈莉</t>
  </si>
  <si>
    <t>钟家林</t>
  </si>
  <si>
    <t>黎明朗</t>
  </si>
  <si>
    <t>余才万4</t>
  </si>
  <si>
    <t>华阳直营店</t>
  </si>
  <si>
    <t>张坤</t>
  </si>
  <si>
    <t>吴小琴</t>
  </si>
  <si>
    <t>丁小玲</t>
  </si>
  <si>
    <t>袁湘</t>
  </si>
  <si>
    <t>刘华</t>
  </si>
  <si>
    <t>蒋云</t>
  </si>
  <si>
    <t>钟涛</t>
  </si>
  <si>
    <t>余才万5</t>
  </si>
  <si>
    <t>帝豪S、ICON</t>
  </si>
  <si>
    <t>帝豪hiP</t>
  </si>
  <si>
    <t>翼真总计</t>
  </si>
  <si>
    <t>翼真</t>
  </si>
  <si>
    <t>销售总监</t>
  </si>
  <si>
    <t>薛祥建</t>
  </si>
  <si>
    <t>吴嘉敏</t>
  </si>
  <si>
    <t>韩柏成</t>
  </si>
  <si>
    <t>沈燕1</t>
  </si>
  <si>
    <t>蒋利</t>
  </si>
  <si>
    <t>2026年 5月新媒体薪资明细</t>
  </si>
  <si>
    <t>项目</t>
  </si>
  <si>
    <t>直播场次</t>
  </si>
  <si>
    <t>直播线索
（仅限 小风车线索、直播复盘数据做参考）</t>
  </si>
  <si>
    <t>直播粉丝关注量
（仅限 对应账户）</t>
  </si>
  <si>
    <t>视频创作发布量</t>
  </si>
  <si>
    <t>岗位绩效KPI</t>
  </si>
  <si>
    <t>岗位绩效</t>
  </si>
  <si>
    <t>终端量提成（仅限 对应公司账户端量）</t>
  </si>
  <si>
    <t>线索超额完成奖励</t>
  </si>
  <si>
    <t>直播场次超额奖励</t>
  </si>
  <si>
    <t>基本薪资</t>
  </si>
  <si>
    <t>绩效薪资</t>
  </si>
  <si>
    <t>合计薪资</t>
  </si>
  <si>
    <t>以月度目标制定</t>
  </si>
  <si>
    <t>终端完成</t>
  </si>
  <si>
    <t>超额部分10元/条
（上限1000元）</t>
  </si>
  <si>
    <t>当月超额线索数</t>
  </si>
  <si>
    <t>超额部分100元/场
（上限500元）</t>
  </si>
  <si>
    <t>直播超额
完成场次</t>
  </si>
  <si>
    <t>新媒体部门人力归属及分配（5月）</t>
  </si>
  <si>
    <t>序号</t>
  </si>
  <si>
    <t>网属</t>
  </si>
  <si>
    <t>公司归属</t>
  </si>
  <si>
    <t>执行岗位</t>
  </si>
  <si>
    <t>岗位要求</t>
  </si>
  <si>
    <t>负责店面</t>
  </si>
  <si>
    <t>人力数量</t>
  </si>
  <si>
    <t>备注</t>
  </si>
  <si>
    <t>直播运维专员</t>
  </si>
  <si>
    <t>月度目标量</t>
  </si>
  <si>
    <t>未完成50元/台
完成100元/台</t>
  </si>
  <si>
    <t>G网</t>
  </si>
  <si>
    <t>吉星-西物</t>
  </si>
  <si>
    <t>新媒体经理/运营</t>
  </si>
  <si>
    <t>专职</t>
  </si>
  <si>
    <t>肖廷忠</t>
  </si>
  <si>
    <t>吉星</t>
  </si>
  <si>
    <t>实际达成量</t>
  </si>
  <si>
    <t>视频运营专员</t>
  </si>
  <si>
    <t>黄凤</t>
  </si>
  <si>
    <t>吉星G-西物</t>
  </si>
  <si>
    <t>实际达成率</t>
  </si>
  <si>
    <t>新媒体主播</t>
  </si>
  <si>
    <t>曾子乂</t>
  </si>
  <si>
    <t>西物</t>
  </si>
  <si>
    <t>考核分值数</t>
  </si>
  <si>
    <t>L网</t>
  </si>
  <si>
    <t>吉星-超市</t>
  </si>
  <si>
    <t>王芝婕</t>
  </si>
  <si>
    <t>超市</t>
  </si>
  <si>
    <t>考核得分数</t>
  </si>
  <si>
    <t>蓝仁楷</t>
  </si>
  <si>
    <t>何玉</t>
  </si>
  <si>
    <t>西物G</t>
  </si>
  <si>
    <t>视频创作发布量
视频：40
小红书：20</t>
  </si>
  <si>
    <t>新媒体运营</t>
  </si>
  <si>
    <t>兼职</t>
  </si>
  <si>
    <t>赵金秀</t>
  </si>
  <si>
    <t>完成100元/台；
未完成50元/台</t>
  </si>
  <si>
    <t>吉星L-超市</t>
  </si>
  <si>
    <t>吉星L—超市</t>
  </si>
  <si>
    <t>视频创作发布数</t>
  </si>
  <si>
    <t>播放量</t>
  </si>
  <si>
    <t>短视频粉丝关注量</t>
  </si>
  <si>
    <t>小红书笔记发布</t>
  </si>
  <si>
    <t>终端量提成（双账户合计量）</t>
  </si>
  <si>
    <t>优质视频视频奖励≥30000播放量</t>
  </si>
  <si>
    <t>视频创作超额完成奖励</t>
  </si>
  <si>
    <t>优质视频50元/条
（上限500元）</t>
  </si>
  <si>
    <t>优质视频数量</t>
  </si>
  <si>
    <t>超额部分50元/条
(上限500元)</t>
  </si>
  <si>
    <t>视频超额完成数</t>
  </si>
  <si>
    <t>播放量≥3000</t>
  </si>
  <si>
    <t>视频运维专员
超市+西物视频</t>
  </si>
  <si>
    <t>未完成20元/台；
完成30元/台</t>
  </si>
  <si>
    <t xml:space="preserve"> 黄凤</t>
  </si>
  <si>
    <t>直播场次数</t>
  </si>
  <si>
    <t>视频创作数</t>
  </si>
  <si>
    <t>线索量
（月度目标制定）</t>
  </si>
  <si>
    <t>邀约到店数
（月度目标制定）</t>
  </si>
  <si>
    <t>终端量提成</t>
  </si>
  <si>
    <t>底薪薪资</t>
  </si>
  <si>
    <t>无</t>
  </si>
  <si>
    <t>40元/台
（不设限）</t>
  </si>
  <si>
    <t>终端目标台</t>
  </si>
  <si>
    <t>运维主管</t>
  </si>
  <si>
    <t>私信开口数</t>
  </si>
  <si>
    <t>私信会话开口率</t>
  </si>
  <si>
    <t>私信线索转化率</t>
  </si>
  <si>
    <t>线索完成率</t>
  </si>
  <si>
    <t>终端量提成
（双账户合计量、超市+西物）</t>
  </si>
  <si>
    <t>其它</t>
  </si>
  <si>
    <t>终端完成
（负责店面总量）</t>
  </si>
  <si>
    <t>超额部分5元/条
（上限500元）</t>
  </si>
  <si>
    <t>中国星
线索运维专员</t>
  </si>
  <si>
    <t>5元/条</t>
  </si>
  <si>
    <t>G网西物+L网超市挖手</t>
  </si>
  <si>
    <t>05月</t>
  </si>
  <si>
    <t>人员</t>
  </si>
  <si>
    <t>总绩效</t>
  </si>
  <si>
    <t>发放金额</t>
  </si>
  <si>
    <t>标准</t>
  </si>
  <si>
    <t>是否达成</t>
  </si>
  <si>
    <t>实际得分</t>
  </si>
  <si>
    <t>绩效</t>
  </si>
  <si>
    <t>到店量</t>
  </si>
  <si>
    <t>成交台次</t>
  </si>
  <si>
    <t>计划线索分配量</t>
  </si>
  <si>
    <t>线索分配量</t>
  </si>
  <si>
    <t>邀约率</t>
  </si>
  <si>
    <t>单组追加</t>
  </si>
  <si>
    <t>奖励提成</t>
  </si>
  <si>
    <t>成交率</t>
  </si>
  <si>
    <t>单台追加</t>
  </si>
  <si>
    <t>重攻台次</t>
  </si>
  <si>
    <t>奖励</t>
  </si>
  <si>
    <t>邀约任务</t>
  </si>
  <si>
    <t>金玉梅</t>
  </si>
  <si>
    <t>六项标准均达成</t>
  </si>
  <si>
    <t>周思雨</t>
  </si>
  <si>
    <t>陈文霜</t>
  </si>
  <si>
    <t>杜小红</t>
  </si>
  <si>
    <t>周梅</t>
  </si>
  <si>
    <t>400接起率</t>
  </si>
  <si>
    <t>DMS指标六维度</t>
  </si>
  <si>
    <t>邀约绩效60元/组</t>
  </si>
  <si>
    <t>成交绩效40元/台</t>
  </si>
  <si>
    <t>缤越COOL、博越COOL、缤瑞COOL</t>
  </si>
  <si>
    <t>成交率奖励</t>
  </si>
  <si>
    <t>任务考核</t>
  </si>
  <si>
    <t>达成邀约量</t>
  </si>
  <si>
    <t>单组到店追加</t>
  </si>
  <si>
    <t>考核金额</t>
  </si>
  <si>
    <t>李春梅</t>
  </si>
  <si>
    <t>魏艳</t>
  </si>
  <si>
    <t>谷雨</t>
  </si>
  <si>
    <t>过程KPI奖励</t>
  </si>
  <si>
    <t>重攻奖励：</t>
  </si>
  <si>
    <t>陈子逸</t>
  </si>
  <si>
    <t>崇州</t>
  </si>
  <si>
    <t>1.400接起率出现未接起考核500元</t>
  </si>
  <si>
    <t>2.DMS六维度指标：1.线索有效率70% 2.响应及时率100% 3.及时跟进率100% 4.邀约到店率15% 5.到店成交率35% 6.线索成交率4% 7.战败率90%以下，每项达成按100元计提，7项指标均达成追加100元。</t>
  </si>
  <si>
    <t>3.邀约基础绩效：基础绩效60元一组</t>
  </si>
  <si>
    <t>4.邀约到店率≥15%追加10元一组，未达标不奖励</t>
  </si>
  <si>
    <t>5.成交基础绩效：基础绩效40元/台</t>
  </si>
  <si>
    <t>6.成交率30-＜35%，追加20元/台成交；成交率≥35%，追加30元/台成交</t>
  </si>
  <si>
    <t>7.有重攻车型时可设立重攻车型，重攻车型客户到店额外追加10元/组</t>
  </si>
  <si>
    <t>8.任务考核：设立当月邀约到店目标量，未达成按照比例进行计提邀约绩效，上限100%</t>
  </si>
  <si>
    <t>9.薪资方案由网销经理填报，销售总监/副总审核，总经理签字确认，承报财务/行政纳入当月绩效。</t>
  </si>
  <si>
    <t>备注：1.到店率及成交率随市场变化，合理设定及上浮邀约专员追加指标。
      2.店内过程指标需真实有效，DMS指标可手段提升</t>
  </si>
  <si>
    <t>任务达成</t>
  </si>
  <si>
    <t>员工</t>
  </si>
  <si>
    <t>店面</t>
  </si>
  <si>
    <t>基本工资</t>
  </si>
  <si>
    <t>岗位工资</t>
  </si>
  <si>
    <t>DMS指标绩效/70元/项</t>
  </si>
  <si>
    <t>自媒体绩效(含内部员工转发率）</t>
  </si>
  <si>
    <t>线索提成标准</t>
  </si>
  <si>
    <t>终端提成标准（月计算完成率）</t>
  </si>
  <si>
    <t>线索任务</t>
  </si>
  <si>
    <t>销售任务</t>
  </si>
  <si>
    <t>线索数</t>
  </si>
  <si>
    <t>线索达成率</t>
  </si>
  <si>
    <t>终端达成</t>
  </si>
  <si>
    <t>终端达成率</t>
  </si>
  <si>
    <t>线索绩效</t>
  </si>
  <si>
    <t>终端绩效</t>
  </si>
  <si>
    <t>新车上市4月内线索激励减半量</t>
  </si>
  <si>
    <t>线索减半金额</t>
  </si>
  <si>
    <t>绩效提成</t>
  </si>
  <si>
    <t>实际发放</t>
  </si>
  <si>
    <t>薪酬总额</t>
  </si>
  <si>
    <t>机场网销</t>
  </si>
  <si>
    <t>05月客户关系部</t>
  </si>
  <si>
    <t>A</t>
  </si>
  <si>
    <t>B</t>
  </si>
  <si>
    <t>C=B-A</t>
  </si>
  <si>
    <t>D</t>
  </si>
  <si>
    <t>E</t>
  </si>
  <si>
    <t>F=D*E</t>
  </si>
  <si>
    <t>值</t>
  </si>
  <si>
    <t>项</t>
  </si>
  <si>
    <t>达成率</t>
  </si>
  <si>
    <t>系数</t>
  </si>
  <si>
    <t>邓芳</t>
  </si>
  <si>
    <t>张保珍</t>
  </si>
  <si>
    <t>潜客回访</t>
  </si>
  <si>
    <t>5天新车回访</t>
  </si>
  <si>
    <t>30天新车回访</t>
  </si>
  <si>
    <t>潜客战败回访</t>
  </si>
  <si>
    <t>新车回访绩效</t>
  </si>
  <si>
    <t>面访量</t>
  </si>
  <si>
    <t>面访（6元/个）</t>
  </si>
  <si>
    <t>多对一群聊建立量</t>
  </si>
  <si>
    <t>多对一群聊建立及维护（5元）</t>
  </si>
  <si>
    <t>生日关怀接通量</t>
  </si>
  <si>
    <t>生日关怀绩效提成（2元/个）</t>
  </si>
  <si>
    <t>口碑/发帖量</t>
  </si>
  <si>
    <t>口碑发帖绩效（X/个）</t>
  </si>
  <si>
    <t>投诉处理</t>
  </si>
  <si>
    <t>销售满意度得分</t>
  </si>
  <si>
    <t>销售满意度绩效</t>
  </si>
  <si>
    <t>保客营销</t>
  </si>
  <si>
    <t>保客营销挖掘与转化绩效</t>
  </si>
  <si>
    <t>店面——中国星武侯</t>
  </si>
  <si>
    <t>1-3月数据情况</t>
  </si>
  <si>
    <t>5月达成情况</t>
  </si>
  <si>
    <t>达成提升目标(%)</t>
  </si>
  <si>
    <t>台次(交付数)</t>
  </si>
  <si>
    <t>享受单台</t>
  </si>
  <si>
    <t>金额</t>
  </si>
  <si>
    <t>数量</t>
  </si>
  <si>
    <t>周舟</t>
  </si>
  <si>
    <t>基盘客户
转介绍</t>
  </si>
  <si>
    <t>绩效(元/台)</t>
  </si>
  <si>
    <t>电话回访</t>
  </si>
  <si>
    <t>必做</t>
  </si>
  <si>
    <t>3DC一网</t>
  </si>
  <si>
    <t>提升目标（%）</t>
  </si>
  <si>
    <t>提升＜1%</t>
  </si>
  <si>
    <t>1%≤提升＜3%</t>
  </si>
  <si>
    <t>提升≥3%</t>
  </si>
  <si>
    <t>基盘客户转介绍</t>
  </si>
  <si>
    <t>3DC二网</t>
  </si>
  <si>
    <t xml:space="preserve">1.潜客回访、3天新车回访、30天新车回访、战败客户回访、生日关怀、售后3DC标准提成按电话接通2元/组
2.新车面访6元/个
3.口碑/发帖：＜5篇，30元/帖；≥5帖＜10帖，40元/帖；≥10帖，50元/帖；最高1000元
4.生日关怀，接通1元/个;
5.投诉处理：2小时未响应考核200元/单 3天未闭环考核500元/单，投诉单申述未通过考核200元/单，无异常奖励200元，
6.销售满意度：400得分90分及以下，考核200元；≥93分，奖励300元；≥95分，奖励500元
</t>
  </si>
  <si>
    <t>保客挖掘
置换/增购</t>
  </si>
  <si>
    <t>保客挖掘置换/增购</t>
  </si>
  <si>
    <t>新车5DC回访</t>
  </si>
  <si>
    <t>全员营销</t>
  </si>
  <si>
    <t>新车30DC回访</t>
  </si>
  <si>
    <t>绩效合计</t>
  </si>
  <si>
    <t>战败回访</t>
  </si>
  <si>
    <t>基本数据要求：</t>
  </si>
  <si>
    <t>店面——银河B武侯</t>
  </si>
  <si>
    <t>机动</t>
  </si>
  <si>
    <t>其他回访</t>
  </si>
  <si>
    <t>其他回访，是指核实老带新，核实债权转让，活动参加等临时事项</t>
  </si>
  <si>
    <t>1、增加500元固定绩效，要求每日对基盘客户有效回访数＞30批次，单人每月有效回访批次＞900批
2、以上三类别计算基数分母为：当月销量
3、此方案试运行时间为：4月-6月，后续另行调整</t>
  </si>
  <si>
    <t>新车面访</t>
  </si>
  <si>
    <t>微信维系</t>
  </si>
  <si>
    <t>4月新增项目</t>
  </si>
  <si>
    <t>微信添加</t>
  </si>
  <si>
    <t>李璐秀</t>
  </si>
  <si>
    <t>满意度</t>
  </si>
  <si>
    <t>4月400销售满意度：西物95.65分</t>
  </si>
  <si>
    <t>增值</t>
  </si>
  <si>
    <t>口碑</t>
  </si>
  <si>
    <t>发帖</t>
  </si>
  <si>
    <t>店面——银河A武侯</t>
  </si>
  <si>
    <t>N-3首保</t>
  </si>
  <si>
    <t>N-4首保</t>
  </si>
  <si>
    <t>N-5首保</t>
  </si>
  <si>
    <t>N-6二保</t>
  </si>
  <si>
    <t>N-9二保</t>
  </si>
  <si>
    <t>郭静</t>
  </si>
  <si>
    <t>N-12二保</t>
  </si>
  <si>
    <t>N-6定保</t>
  </si>
  <si>
    <t>N-9定保</t>
  </si>
  <si>
    <t>店面——银河B机场</t>
  </si>
  <si>
    <t>N-12定保</t>
  </si>
  <si>
    <t>外拓</t>
  </si>
  <si>
    <t>N-6其他</t>
  </si>
  <si>
    <t>N-9其他</t>
  </si>
  <si>
    <t>N-12其他</t>
  </si>
  <si>
    <t>古瑞婷</t>
  </si>
  <si>
    <t>无福袋</t>
  </si>
  <si>
    <t>纯电回站</t>
  </si>
  <si>
    <t>2023年4月1号起，纯电车型预约回站，按8元/个计算</t>
  </si>
  <si>
    <t>车机</t>
  </si>
  <si>
    <t>店面——中国星机场</t>
  </si>
  <si>
    <t>福袋</t>
  </si>
  <si>
    <t>质保</t>
  </si>
  <si>
    <t>流失</t>
  </si>
  <si>
    <t>续保</t>
  </si>
  <si>
    <t>轮胎</t>
  </si>
  <si>
    <t>LED</t>
  </si>
  <si>
    <t>盲区</t>
  </si>
  <si>
    <t>星瑞贯穿尾灯</t>
  </si>
  <si>
    <t>考核绩效</t>
  </si>
  <si>
    <t>1.微信维系及时响应，300元；投诉2小时响应率100%，3天内闭环率100%，100元；微信100%添加好友100元；</t>
  </si>
  <si>
    <t>2.售后面访65%为达标，未达成提成按产值千分之0.8，达成提成按产值千分之1计算（除去外销）</t>
  </si>
  <si>
    <t>3.满意度按照厂家要求执行：销售满意度90分以上，奖励400元；  销售满意度得分90分及以下，考核200元；售后满意度得分92分及以上，奖励400元；售后满意度得分低于91分，考核200元（面访人员减半）；满意度成绩次月出，比如7月绩效按照6月满意计算，以此类推</t>
  </si>
  <si>
    <t>6.口碑：＜5篇，30元/帖；≥5帖＜10帖，40元/帖；≥10帖，50元/帖；最高1000元</t>
  </si>
  <si>
    <t>7.发帖：当月面访量5%新增发帖为考核标准，达到5%新增发帖100%绩效发放，未达标按80%绩效发放。
首次发帖100元/篇，2次发帖70元/贴；3次及以上50元/贴；</t>
  </si>
  <si>
    <t>9.续保25元/单。ETC 10元/单，延保100元/单</t>
  </si>
  <si>
    <t>10.车机奖励按照100元/台成交计算</t>
  </si>
  <si>
    <t>类别</t>
  </si>
  <si>
    <t>档位</t>
  </si>
  <si>
    <t>3个月(N-3)</t>
  </si>
  <si>
    <t>5个月(N-5)</t>
  </si>
  <si>
    <t>吉利工厂，首保率，是按N-6来计算的</t>
  </si>
  <si>
    <t>目标达成</t>
  </si>
  <si>
    <t>元/个</t>
  </si>
  <si>
    <t>首保</t>
  </si>
  <si>
    <t>N&lt;75%</t>
  </si>
  <si>
    <t>N&lt;80%</t>
  </si>
  <si>
    <t>75%≤N&lt;80%</t>
  </si>
  <si>
    <t>80%≤N&lt;85%</t>
  </si>
  <si>
    <t>C</t>
  </si>
  <si>
    <t>85%≤N&lt;90%</t>
  </si>
  <si>
    <t>N≥85%</t>
  </si>
  <si>
    <t>N≥90%</t>
  </si>
  <si>
    <t>6个月(N-6)</t>
  </si>
  <si>
    <t>12个月(N-12)</t>
  </si>
  <si>
    <t>吉利工厂，二保用户保持率，是按N-12来计算的</t>
  </si>
  <si>
    <t>二保</t>
  </si>
  <si>
    <t>N&lt;35%</t>
  </si>
  <si>
    <t>N&lt;55%</t>
  </si>
  <si>
    <t>35%≤N&lt;38%</t>
  </si>
  <si>
    <t>55%≤N&lt;60%</t>
  </si>
  <si>
    <t>38%≤N&lt;41%</t>
  </si>
  <si>
    <t>60%≤N&lt;65%</t>
  </si>
  <si>
    <t>N≥41%</t>
  </si>
  <si>
    <t>N≥65%</t>
  </si>
  <si>
    <t>吉利工厂，用户保持率，是按N-12来计算的</t>
  </si>
  <si>
    <t>定保</t>
  </si>
  <si>
    <t>N&lt;30%</t>
  </si>
  <si>
    <t>N&lt;60%</t>
  </si>
  <si>
    <t>30%≤N&lt;33%</t>
  </si>
  <si>
    <t>60%≤N&lt;63%</t>
  </si>
  <si>
    <t>33%≤N&lt;36%</t>
  </si>
  <si>
    <t>63%≤N&lt;66%</t>
  </si>
  <si>
    <t>N≥36%</t>
  </si>
  <si>
    <t>N≥66%</t>
  </si>
  <si>
    <t>其他</t>
  </si>
  <si>
    <t>N&lt;15%</t>
  </si>
  <si>
    <t>15%≤N&lt;18%</t>
  </si>
  <si>
    <t>18%≤N&lt;21%</t>
  </si>
  <si>
    <t>N≥21%</t>
  </si>
  <si>
    <t>N≥45%</t>
  </si>
  <si>
    <t>备注：</t>
  </si>
  <si>
    <t>1、外拓，经主动预约回站的，有不低于50元消费记录，20元/个</t>
  </si>
  <si>
    <t>2、预约回站后，对于非福袋客户，单个提成加2元</t>
  </si>
  <si>
    <t>3、最终提成系数，DMS的当月预约率/35%，大于35%按35%计算</t>
  </si>
  <si>
    <t>4月达成情况</t>
  </si>
  <si>
    <t>-</t>
  </si>
  <si>
    <t>直营店店面</t>
  </si>
  <si>
    <t>直营店二网</t>
  </si>
  <si>
    <t>店别</t>
  </si>
  <si>
    <t>展厅任务销售台次</t>
  </si>
  <si>
    <t>展厅实际销售台次</t>
  </si>
  <si>
    <t>新能源展厅实际销售台次</t>
  </si>
  <si>
    <t>单台提成标准</t>
  </si>
  <si>
    <t>单台提成金额</t>
  </si>
  <si>
    <t>渠道任务销售台次</t>
  </si>
  <si>
    <t>渠道实际销售台次</t>
  </si>
  <si>
    <t>新能源渠道任务销售台次</t>
  </si>
  <si>
    <t>台次提成合计</t>
  </si>
  <si>
    <t>附加收入提成合计</t>
  </si>
  <si>
    <t>固定绩效</t>
  </si>
  <si>
    <t>提成合计</t>
  </si>
  <si>
    <t>指定车型考核</t>
  </si>
  <si>
    <t>出库日期</t>
  </si>
  <si>
    <t>客户姓名</t>
  </si>
  <si>
    <t>电话</t>
  </si>
  <si>
    <t>按揭信息</t>
  </si>
  <si>
    <t>贴息信息</t>
  </si>
  <si>
    <t>上户地</t>
  </si>
  <si>
    <t>销售部门</t>
  </si>
  <si>
    <t>直营店经理</t>
  </si>
  <si>
    <t>车架号</t>
  </si>
  <si>
    <t>直营店经理   奖励金额</t>
  </si>
  <si>
    <t>崇州直营店</t>
  </si>
  <si>
    <t>总车价</t>
  </si>
  <si>
    <t>期数</t>
  </si>
  <si>
    <t>产品</t>
  </si>
  <si>
    <t>贷款金额</t>
  </si>
  <si>
    <t>附加贷</t>
  </si>
  <si>
    <t>首付金额</t>
  </si>
  <si>
    <t>首付比例</t>
  </si>
  <si>
    <t>车型</t>
  </si>
  <si>
    <t>金融公司</t>
  </si>
  <si>
    <t>贴息</t>
  </si>
  <si>
    <t>工厂贴息</t>
  </si>
  <si>
    <t>金融公司
贴息</t>
  </si>
  <si>
    <t>客户补息</t>
  </si>
  <si>
    <t>我司贴息</t>
  </si>
  <si>
    <t>大邑直营店</t>
  </si>
  <si>
    <t>隆波</t>
  </si>
  <si>
    <t>60建行三支行(普通)</t>
  </si>
  <si>
    <t>星越L</t>
  </si>
  <si>
    <t>建行三支行</t>
  </si>
  <si>
    <t>是</t>
  </si>
  <si>
    <t>A成都</t>
  </si>
  <si>
    <t>彭州直营店</t>
  </si>
  <si>
    <t>LB37852Z0TS027357</t>
  </si>
  <si>
    <t>刘倩言</t>
  </si>
  <si>
    <t>60吉致(9.58%标贷)</t>
  </si>
  <si>
    <t>新博越</t>
  </si>
  <si>
    <t>吉致</t>
  </si>
  <si>
    <t>否</t>
  </si>
  <si>
    <t>LB37722Z6TX316067</t>
  </si>
  <si>
    <t>华阳领克</t>
  </si>
  <si>
    <t>肖杨</t>
  </si>
  <si>
    <t>60吉致(安心宝)</t>
  </si>
  <si>
    <t>第5代帝豪</t>
  </si>
  <si>
    <t>LB37824Z1TG026166</t>
  </si>
  <si>
    <t>罗利华</t>
  </si>
  <si>
    <t>第四代博越L</t>
  </si>
  <si>
    <t>LB37822Z7TB041979</t>
  </si>
  <si>
    <t>濮寿邦</t>
  </si>
  <si>
    <t>LB37852ZXTS027950</t>
  </si>
  <si>
    <t>何冉</t>
  </si>
  <si>
    <t>豪越L</t>
  </si>
  <si>
    <t>L6T7922Z0TY871239</t>
  </si>
  <si>
    <t>唐庆</t>
  </si>
  <si>
    <t>LB37852Z4TS040239</t>
  </si>
  <si>
    <t>黎智全</t>
  </si>
  <si>
    <t>L6T7922Z3SY852750</t>
  </si>
  <si>
    <t>展厅按提台次</t>
  </si>
  <si>
    <t>渠道按提台次</t>
  </si>
  <si>
    <t>展厅手续费实际金额</t>
  </si>
  <si>
    <t>展厅手续费标准金额（考核标准）</t>
  </si>
  <si>
    <t>渠道手续费实际金额</t>
  </si>
  <si>
    <t>渠道手续费标准金额（考核标准）</t>
  </si>
  <si>
    <t>爱车保毛利</t>
  </si>
  <si>
    <t>爱车保毛利标准</t>
  </si>
  <si>
    <t>上户费合计（扣出库）实际</t>
  </si>
  <si>
    <t>上户费合计（扣出库）标准</t>
  </si>
  <si>
    <t>整车超权限</t>
  </si>
  <si>
    <t>实际附加收入</t>
  </si>
  <si>
    <t>标准附加收入</t>
  </si>
  <si>
    <t xml:space="preserve">差异 </t>
  </si>
  <si>
    <t>盈利性渗透率</t>
  </si>
  <si>
    <t>盈利性提成金额</t>
  </si>
  <si>
    <t>新工资标准</t>
  </si>
  <si>
    <t>罗新华</t>
  </si>
  <si>
    <t>LB37822Z4TB044774</t>
  </si>
  <si>
    <t>张志友</t>
  </si>
  <si>
    <t>星瑞(1.5T)</t>
  </si>
  <si>
    <t>L6T7924Z9TD052802</t>
  </si>
  <si>
    <t>陈静</t>
  </si>
  <si>
    <t>L6T7924Z3TD056019</t>
  </si>
  <si>
    <t>2026年05月招聘报表</t>
  </si>
  <si>
    <t>日期</t>
  </si>
  <si>
    <t>公司</t>
  </si>
  <si>
    <t>邀约岗位</t>
  </si>
  <si>
    <t>面试者姓名</t>
  </si>
  <si>
    <t>部门面试官</t>
  </si>
  <si>
    <t>面试结果</t>
  </si>
  <si>
    <t>预计到岗时间</t>
  </si>
  <si>
    <t>实际到岗时间</t>
  </si>
  <si>
    <t>人数</t>
  </si>
  <si>
    <t>稳岗情况（在岗）</t>
  </si>
  <si>
    <t>稳岗情况（离职）</t>
  </si>
  <si>
    <t>5月岗位需求</t>
  </si>
  <si>
    <t>5月招聘到岗数</t>
  </si>
  <si>
    <t>招聘提成</t>
  </si>
  <si>
    <t>分配</t>
  </si>
  <si>
    <t>2026.5.10</t>
  </si>
  <si>
    <t>吉利超市</t>
  </si>
  <si>
    <t>续保专员</t>
  </si>
  <si>
    <t>刘尧梅</t>
  </si>
  <si>
    <t>黄意轩</t>
  </si>
  <si>
    <t>建议试用</t>
  </si>
  <si>
    <t>周小红</t>
  </si>
  <si>
    <t>冯桢</t>
  </si>
  <si>
    <t>何婷婷</t>
  </si>
  <si>
    <t>2026.4.26</t>
  </si>
  <si>
    <t>西物星瑞</t>
  </si>
  <si>
    <t>展厅顾问</t>
  </si>
  <si>
    <t>梁泽煦</t>
  </si>
  <si>
    <t>安洋</t>
  </si>
  <si>
    <t>李玲</t>
  </si>
  <si>
    <t>2026.5.19</t>
  </si>
  <si>
    <t>成都健行</t>
  </si>
  <si>
    <t>会计助理</t>
  </si>
  <si>
    <t>刘文清</t>
  </si>
  <si>
    <t>刘靖</t>
  </si>
  <si>
    <t>刘晓琴</t>
  </si>
  <si>
    <t>成都极客</t>
  </si>
  <si>
    <t>机电技师</t>
  </si>
  <si>
    <t>张健涛</t>
  </si>
  <si>
    <t>徐炳涛</t>
  </si>
  <si>
    <t>岗位需求</t>
  </si>
  <si>
    <t>需求</t>
  </si>
  <si>
    <t>到岗</t>
  </si>
  <si>
    <t>离职</t>
  </si>
  <si>
    <t>2026.5.6</t>
  </si>
  <si>
    <t>易佳乐</t>
  </si>
  <si>
    <t>15328215121</t>
  </si>
  <si>
    <t>武侯售后</t>
  </si>
  <si>
    <t>现有岗位转郫都店补编</t>
  </si>
  <si>
    <t>2026.4.30</t>
  </si>
  <si>
    <t>西物精锐</t>
  </si>
  <si>
    <t>张京川</t>
  </si>
  <si>
    <t>刘虹呈</t>
  </si>
  <si>
    <t>事故接待</t>
  </si>
  <si>
    <t>2026.5.1</t>
  </si>
  <si>
    <t>淳厚舒</t>
  </si>
  <si>
    <t>孙茂梅</t>
  </si>
  <si>
    <t>PDI</t>
  </si>
  <si>
    <t>王丹</t>
  </si>
  <si>
    <t>超市银河</t>
  </si>
  <si>
    <t>魏世玉</t>
  </si>
  <si>
    <t>西物汽车</t>
  </si>
  <si>
    <t>西物银河</t>
  </si>
  <si>
    <t>汽车销售</t>
  </si>
  <si>
    <t>邀约专员</t>
  </si>
  <si>
    <t>市场中心</t>
  </si>
  <si>
    <t>企划</t>
  </si>
  <si>
    <t>机场售后</t>
  </si>
  <si>
    <t>机电技工</t>
  </si>
  <si>
    <t>服务顾问</t>
  </si>
  <si>
    <t>极客</t>
  </si>
  <si>
    <t>维修技师</t>
  </si>
  <si>
    <t>新媒体</t>
  </si>
  <si>
    <t>主播</t>
  </si>
  <si>
    <t>直营店</t>
  </si>
  <si>
    <t>超市吉星</t>
  </si>
  <si>
    <t>客户专员</t>
  </si>
  <si>
    <t>会计</t>
  </si>
  <si>
    <t>试驾专员</t>
  </si>
  <si>
    <t>健行</t>
  </si>
  <si>
    <t>西物极客</t>
  </si>
  <si>
    <t>机电</t>
  </si>
  <si>
    <t>盈利性产品</t>
  </si>
  <si>
    <t>渗透率考核</t>
  </si>
  <si>
    <t>培训考核</t>
  </si>
  <si>
    <t>任务目标</t>
  </si>
  <si>
    <t>完成情况</t>
  </si>
  <si>
    <t>渗透率</t>
  </si>
  <si>
    <t>盈利性占比</t>
  </si>
  <si>
    <t>盈利性产品考核</t>
  </si>
  <si>
    <t>考试成绩</t>
  </si>
  <si>
    <t>绩效标准</t>
  </si>
  <si>
    <t>实习员工不作考核</t>
  </si>
  <si>
    <t>04月</t>
  </si>
  <si>
    <t>保险及实习员工</t>
  </si>
  <si>
    <t>吉致长期考核+培训考核</t>
  </si>
  <si>
    <t>管理考核及特殊车型考核</t>
  </si>
  <si>
    <t>直营店店总盈利性产品考核</t>
  </si>
  <si>
    <t>安心保(已发并税）+重功+订单+上门服务+转介绍</t>
  </si>
  <si>
    <t>绩效考核进入工资</t>
  </si>
  <si>
    <t>张永强绩效</t>
  </si>
  <si>
    <t>燃油车销量</t>
  </si>
  <si>
    <t>新能源销量</t>
  </si>
  <si>
    <t>2026年04吉利超市售后吧台提成工资明细表</t>
  </si>
  <si>
    <t>2021年4月起市场部薪酬</t>
  </si>
  <si>
    <t>05月绩效核算</t>
  </si>
  <si>
    <t>04月吧台月均营业额</t>
  </si>
  <si>
    <t>2026年04月售后台次</t>
  </si>
  <si>
    <t>单台比例</t>
  </si>
  <si>
    <t>考核+其它</t>
  </si>
  <si>
    <t>分配比例</t>
  </si>
  <si>
    <t>浮动绩效分配金额</t>
  </si>
  <si>
    <t>月度薪资合计</t>
  </si>
  <si>
    <t>出勤天数</t>
  </si>
  <si>
    <t>加班工资</t>
  </si>
  <si>
    <t>单台标准</t>
  </si>
  <si>
    <t>销量绩效</t>
  </si>
  <si>
    <t>绩效总额</t>
  </si>
  <si>
    <t>当月薪酬总额</t>
  </si>
  <si>
    <t>人力归属</t>
  </si>
  <si>
    <t>白影</t>
  </si>
  <si>
    <t>新都直营店</t>
  </si>
  <si>
    <t>谭艳</t>
  </si>
  <si>
    <t>企划经理</t>
  </si>
  <si>
    <t>曹青</t>
  </si>
  <si>
    <t>金堂直营店</t>
  </si>
  <si>
    <t>孙舒琪</t>
  </si>
  <si>
    <t>设计专员</t>
  </si>
  <si>
    <t>明睿</t>
  </si>
  <si>
    <t>朱开莲</t>
  </si>
  <si>
    <t>谢槟羽</t>
  </si>
  <si>
    <t>黄思露</t>
  </si>
  <si>
    <t>核销专员</t>
  </si>
  <si>
    <t>豪明</t>
  </si>
  <si>
    <t>陶纯玲</t>
  </si>
  <si>
    <t>赵若贝</t>
  </si>
  <si>
    <t>杨兰</t>
  </si>
  <si>
    <t>企划专员</t>
  </si>
  <si>
    <t>史浩栋</t>
  </si>
  <si>
    <t>9月晋升主管</t>
  </si>
  <si>
    <t>孙小慧</t>
  </si>
  <si>
    <t>基础工资</t>
  </si>
  <si>
    <t>业绩绩效</t>
  </si>
  <si>
    <t>月均</t>
  </si>
  <si>
    <t>单台奖</t>
  </si>
  <si>
    <t>陈子茜</t>
  </si>
  <si>
    <t>星瑞</t>
  </si>
  <si>
    <t>李中婷</t>
  </si>
  <si>
    <t>明睿银河</t>
  </si>
  <si>
    <t>蔡利君</t>
  </si>
  <si>
    <t>慧民</t>
  </si>
  <si>
    <t>1月29日入职</t>
  </si>
  <si>
    <t>4000/考核</t>
  </si>
  <si>
    <t>场次目标量</t>
  </si>
  <si>
    <t>内训效果</t>
  </si>
  <si>
    <t>内训总结</t>
  </si>
  <si>
    <t>总经理自调项目</t>
  </si>
  <si>
    <t>考核权重</t>
  </si>
  <si>
    <t>考核标准</t>
  </si>
  <si>
    <t>按达成率</t>
  </si>
  <si>
    <t>台次</t>
  </si>
  <si>
    <t>目标
（《月度经营设线目标》）</t>
  </si>
  <si>
    <t>/</t>
  </si>
  <si>
    <t>实绩
（当月实际达成）</t>
  </si>
  <si>
    <t>武侯店合计</t>
  </si>
  <si>
    <t>达成率 
（实绩/目标，参考考核标准）</t>
  </si>
  <si>
    <t>考核得分 
（考核分值*达成率）</t>
  </si>
  <si>
    <t>机场店合计</t>
  </si>
  <si>
    <t>华阳</t>
  </si>
  <si>
    <t>2025年12月陈总免考核盈利性产品</t>
  </si>
  <si>
    <t>都江堰</t>
  </si>
  <si>
    <t>彭州</t>
  </si>
  <si>
    <t>邛崃</t>
  </si>
  <si>
    <t>大邑</t>
  </si>
  <si>
    <t>直营店合计</t>
  </si>
  <si>
    <t>新能源</t>
  </si>
  <si>
    <t>谭廷林</t>
  </si>
  <si>
    <t>徐兴元</t>
  </si>
  <si>
    <t>蒋莉</t>
  </si>
  <si>
    <t>张起铭</t>
  </si>
  <si>
    <t>向姝蓉</t>
  </si>
  <si>
    <t>黄思思</t>
  </si>
  <si>
    <t>唐建</t>
  </si>
  <si>
    <t>李强</t>
  </si>
  <si>
    <t>王小平</t>
  </si>
  <si>
    <t>刘威</t>
  </si>
  <si>
    <t>网络部
顺江店</t>
  </si>
  <si>
    <t>曾泓林</t>
  </si>
  <si>
    <t>侯林池</t>
  </si>
  <si>
    <t>沈燕</t>
  </si>
  <si>
    <t>王茂林</t>
  </si>
  <si>
    <t>核对</t>
  </si>
  <si>
    <t>差异</t>
  </si>
  <si>
    <t>3月团购活动任务（活动周期3.7-3.15）</t>
  </si>
  <si>
    <t>归属公司</t>
  </si>
  <si>
    <t>采购日期</t>
  </si>
  <si>
    <t>颜色</t>
  </si>
  <si>
    <t>VIN号</t>
  </si>
  <si>
    <t>统一零售价</t>
  </si>
  <si>
    <t>库龄</t>
  </si>
  <si>
    <t>区域</t>
  </si>
  <si>
    <t>库别</t>
  </si>
  <si>
    <t>装饰情况</t>
  </si>
  <si>
    <t>物流补偿</t>
  </si>
  <si>
    <t>质损降价</t>
  </si>
  <si>
    <t>销售追加奖励</t>
  </si>
  <si>
    <t>500/台</t>
  </si>
  <si>
    <t>200≥2 台</t>
  </si>
  <si>
    <t>100≥2 台</t>
  </si>
  <si>
    <t>西物明睿</t>
  </si>
  <si>
    <t>2026-01-05</t>
  </si>
  <si>
    <t>紫</t>
  </si>
  <si>
    <t>L6T7954Z2TD009890</t>
  </si>
  <si>
    <t>自有店</t>
  </si>
  <si>
    <t>电子厂库房</t>
  </si>
  <si>
    <t>前保险杠下部装饰条更换，需告知客户，降价1000</t>
  </si>
  <si>
    <t>眉山销售</t>
  </si>
  <si>
    <t>24号</t>
  </si>
  <si>
    <t>25号</t>
  </si>
  <si>
    <t>26号</t>
  </si>
  <si>
    <t>奖励明细</t>
  </si>
  <si>
    <t>重攻考核</t>
  </si>
  <si>
    <t>合计实发</t>
  </si>
  <si>
    <t>博越REV</t>
  </si>
  <si>
    <t>2026-03-19</t>
  </si>
  <si>
    <t>白</t>
  </si>
  <si>
    <t>L6T78XCZ2TY781363</t>
  </si>
  <si>
    <t>天窗损坏跟换</t>
  </si>
  <si>
    <t>成都西物</t>
  </si>
  <si>
    <t>博越L</t>
  </si>
  <si>
    <t>2026-02-25</t>
  </si>
  <si>
    <t>黑</t>
  </si>
  <si>
    <t>LB37822Z0TB034100</t>
  </si>
  <si>
    <t>西部智谷A区</t>
  </si>
  <si>
    <t>发动机下护板被猫抓坏-保险承担降价金额请示总经理</t>
  </si>
  <si>
    <t>2026-03-03</t>
  </si>
  <si>
    <t>L6T7922Z0TY871189</t>
  </si>
  <si>
    <t>电子营销</t>
  </si>
  <si>
    <t>更换贯穿式背门灯-需告知客户-具体降价补偿销售时请示总经理</t>
  </si>
  <si>
    <t>银</t>
  </si>
  <si>
    <t>LB37822Z6TB045859</t>
  </si>
  <si>
    <t>西部智谷B区</t>
  </si>
  <si>
    <t>车底挡板被猫抓坏待处理</t>
  </si>
  <si>
    <t>缤越L</t>
  </si>
  <si>
    <t>2026-04-09</t>
  </si>
  <si>
    <t>LB37622Z8TX621220</t>
  </si>
  <si>
    <t>售后维修</t>
  </si>
  <si>
    <t>更换右前右后门等装饰条及右后视镜总成-售后三包-告知客户降价金额待定</t>
  </si>
  <si>
    <t>LB37622Z2TX621214</t>
  </si>
  <si>
    <t>更换右前右后门等装饰条-售后三包-告知客户降价金额待定</t>
  </si>
  <si>
    <t>LB37822Z6TB048261</t>
  </si>
  <si>
    <t>售后</t>
  </si>
  <si>
    <t>底盘护板被抓坏，更换油钱轮眉，右前杠做漆待处理</t>
  </si>
  <si>
    <t>2026-01-20</t>
  </si>
  <si>
    <t>青</t>
  </si>
  <si>
    <t>LB37822Z8TB021028</t>
  </si>
  <si>
    <t>西部智谷C区</t>
  </si>
  <si>
    <t xml:space="preserve"> 右前杠右前叶子板被抓坏待保险处理</t>
  </si>
  <si>
    <t>LB37822Z9TB045144</t>
  </si>
  <si>
    <t>2025-11-20</t>
  </si>
  <si>
    <t>LB37852Z0SS260105</t>
  </si>
  <si>
    <t>右前轮轮毂轻微擦伤-华阳承担需要告知客户降价金额500元</t>
  </si>
  <si>
    <t>缤越超能版</t>
  </si>
  <si>
    <t>LB37622Z0TX812503</t>
  </si>
  <si>
    <t>更换右前B柱右后C柱右后门等装饰条-售后三包-告知客户降价金额待定</t>
  </si>
  <si>
    <t>2025-12-05</t>
  </si>
  <si>
    <t>蓝</t>
  </si>
  <si>
    <t>LB37824Z4SG148390</t>
  </si>
  <si>
    <t>机场展厅</t>
  </si>
  <si>
    <t>车顶划痕掉漆-公司承担告知客户降价金额800元</t>
  </si>
  <si>
    <t>成都豪明</t>
  </si>
  <si>
    <t>2025-09-12</t>
  </si>
  <si>
    <t>莫高蓝</t>
  </si>
  <si>
    <t>LB37852Z7SS238487</t>
  </si>
  <si>
    <t>龙潭展厅</t>
  </si>
  <si>
    <t>前保险杠有伤，新都直营店负责，降价3000</t>
  </si>
  <si>
    <t>2025-12-18</t>
  </si>
  <si>
    <t>玄武灰KX</t>
  </si>
  <si>
    <t>LB37852Z9SS262046</t>
  </si>
  <si>
    <t>华冠库</t>
  </si>
  <si>
    <t>前保险杠左侧有伤（刘尚勇）</t>
  </si>
  <si>
    <t>LB37852Z9SS265027</t>
  </si>
  <si>
    <t>后档风玻璃有伤，需更换。可降价3000</t>
  </si>
  <si>
    <t>绵阳西物</t>
  </si>
  <si>
    <t>月牙青</t>
  </si>
  <si>
    <t>L6T7924Z5TD024186</t>
  </si>
  <si>
    <t>左后玻璃更换</t>
  </si>
  <si>
    <t>西物慧生</t>
  </si>
  <si>
    <t>第4代博越L</t>
  </si>
  <si>
    <t>白色</t>
  </si>
  <si>
    <t>LB37822Z0SB204521</t>
  </si>
  <si>
    <t>锦江区</t>
  </si>
  <si>
    <t>1、前保险杠刮擦，进行漆面修补，已完成修复
2、中网受损，需要进行更换，已完成修复</t>
  </si>
  <si>
    <t>紫色</t>
  </si>
  <si>
    <t>L6T7954Z3SD167797</t>
  </si>
  <si>
    <t>后保险杠受损，进行更换，已完成修复</t>
  </si>
  <si>
    <t>L6T7924Z4SD170948</t>
  </si>
  <si>
    <t>金牛区</t>
  </si>
  <si>
    <t>轮胎受损，已经修复</t>
  </si>
  <si>
    <t>5月特殊奖励</t>
  </si>
  <si>
    <t>双星展厅</t>
  </si>
  <si>
    <t>第4代帝豪</t>
  </si>
  <si>
    <t>LB37824Z0SG170127</t>
  </si>
  <si>
    <t>LB37824S4SG178525</t>
  </si>
  <si>
    <t>机场店新媒体</t>
  </si>
  <si>
    <t>LB37824Z1SG163283</t>
  </si>
  <si>
    <t>3月团购活动任务</t>
  </si>
  <si>
    <t>L6T79PEZ1TD059366</t>
  </si>
  <si>
    <t>L6T79PEZ5TD067194</t>
  </si>
  <si>
    <t>3.14任务</t>
  </si>
  <si>
    <t>订车</t>
  </si>
  <si>
    <t>交车</t>
  </si>
  <si>
    <t>激励</t>
  </si>
  <si>
    <t>豪越</t>
  </si>
  <si>
    <t>第四帝豪</t>
  </si>
  <si>
    <t>第五帝豪</t>
  </si>
  <si>
    <t>L6T79PEZ5TD069527</t>
  </si>
  <si>
    <t>机场店网销</t>
  </si>
  <si>
    <t>LB3781NZXTS079664</t>
  </si>
  <si>
    <t>LB3781NZ3TS079487</t>
  </si>
  <si>
    <t>LB3781NZ6TS079905</t>
  </si>
  <si>
    <t>LB3781NZ2TS084308</t>
  </si>
  <si>
    <t>LB3781NZ7TS079878</t>
  </si>
  <si>
    <t>LB3781NZ3TS087170</t>
  </si>
  <si>
    <t>LB3781NZ9TS089912</t>
  </si>
  <si>
    <t>LB3781NZ3TS079652</t>
  </si>
  <si>
    <t>LB37722Z3SX720488</t>
  </si>
  <si>
    <t>LB37824Z9SG160986</t>
  </si>
  <si>
    <t>3月</t>
  </si>
  <si>
    <t>任务量</t>
  </si>
  <si>
    <t>订单进度</t>
  </si>
  <si>
    <t>大部</t>
  </si>
  <si>
    <t>分部</t>
  </si>
  <si>
    <t>入职日期</t>
  </si>
  <si>
    <t>1季度目标任务量</t>
  </si>
  <si>
    <t>1季度实际达成量</t>
  </si>
  <si>
    <t>管理人员</t>
  </si>
  <si>
    <t>管理部</t>
  </si>
  <si>
    <t>陈俊霖</t>
  </si>
  <si>
    <t>总经理</t>
  </si>
  <si>
    <t>销售财务部</t>
  </si>
  <si>
    <t>顾雪梅</t>
  </si>
  <si>
    <t>财务经理</t>
  </si>
  <si>
    <t>销售后勤二线</t>
  </si>
  <si>
    <t>丁红</t>
  </si>
  <si>
    <t>财务主管</t>
  </si>
  <si>
    <t>销售财务收银</t>
  </si>
  <si>
    <t>高敏</t>
  </si>
  <si>
    <t>罗涵</t>
  </si>
  <si>
    <t>销售财务会计</t>
  </si>
  <si>
    <t>唐梁英</t>
  </si>
  <si>
    <t>李芳</t>
  </si>
  <si>
    <t>销售财务出纳</t>
  </si>
  <si>
    <t>邓琦琪</t>
  </si>
  <si>
    <t>销售财务会计助理</t>
  </si>
  <si>
    <t>李佳乐</t>
  </si>
  <si>
    <t>行政人事部</t>
  </si>
  <si>
    <t>林琼</t>
  </si>
  <si>
    <t>行政人事总监</t>
  </si>
  <si>
    <t>行政人事主管</t>
  </si>
  <si>
    <t>行政人事专员</t>
  </si>
  <si>
    <t>后勤支持部</t>
  </si>
  <si>
    <t>康忠伦</t>
  </si>
  <si>
    <t>司机</t>
  </si>
  <si>
    <t>销售服务部</t>
  </si>
  <si>
    <t>销售吧员</t>
  </si>
  <si>
    <t>刘玉兰</t>
  </si>
  <si>
    <t>市场部</t>
  </si>
  <si>
    <t>市场经理</t>
  </si>
  <si>
    <t>黄思路</t>
  </si>
  <si>
    <t>市场专员</t>
  </si>
  <si>
    <t>付国晓</t>
  </si>
  <si>
    <t>销售前台</t>
  </si>
  <si>
    <t>邓娟</t>
  </si>
  <si>
    <t>李青洋</t>
  </si>
  <si>
    <t>新媒体部</t>
  </si>
  <si>
    <t>新媒体主管</t>
  </si>
  <si>
    <t>物流部</t>
  </si>
  <si>
    <t>杨英</t>
  </si>
  <si>
    <t>物流主管</t>
  </si>
  <si>
    <t>李燕</t>
  </si>
  <si>
    <t>物流专员</t>
  </si>
  <si>
    <t>罗良清</t>
  </si>
  <si>
    <t>物流库管</t>
  </si>
  <si>
    <t>唐中华</t>
  </si>
  <si>
    <t>增值业务部</t>
  </si>
  <si>
    <t>晏彬文</t>
  </si>
  <si>
    <t>金融主管</t>
  </si>
  <si>
    <t>陈凌</t>
  </si>
  <si>
    <t>物流总监</t>
  </si>
  <si>
    <t>刘彦</t>
  </si>
  <si>
    <t>金融专员</t>
  </si>
  <si>
    <t>周德芳</t>
  </si>
  <si>
    <t>熊宇</t>
  </si>
  <si>
    <t>李彦林</t>
  </si>
  <si>
    <t>张龙</t>
  </si>
  <si>
    <t>二手车专员</t>
  </si>
  <si>
    <t>销售客服部</t>
  </si>
  <si>
    <t>销售CRM经理</t>
  </si>
  <si>
    <t>销售一线</t>
  </si>
  <si>
    <t>销售部</t>
  </si>
  <si>
    <t>袁顺序</t>
  </si>
  <si>
    <t>王欢</t>
  </si>
  <si>
    <t>王秋望</t>
  </si>
  <si>
    <t>苟松柏</t>
  </si>
  <si>
    <t>交车专员</t>
  </si>
  <si>
    <t>张春燕</t>
  </si>
  <si>
    <t>销售保险专员</t>
  </si>
  <si>
    <t>李姣</t>
  </si>
  <si>
    <t>白林</t>
  </si>
  <si>
    <t>上户部</t>
  </si>
  <si>
    <t>邓小军</t>
  </si>
  <si>
    <t>上户专员</t>
  </si>
  <si>
    <t>西物翼真</t>
  </si>
  <si>
    <t>销售部直营店</t>
  </si>
  <si>
    <t>孙杰</t>
  </si>
  <si>
    <t>销售渠道人员</t>
  </si>
  <si>
    <t>毛婷婷</t>
  </si>
  <si>
    <t>直营店内勤</t>
  </si>
  <si>
    <t>销售CRM专员</t>
  </si>
  <si>
    <t>直营店总监</t>
  </si>
  <si>
    <t>新媒体视频/剪辑</t>
  </si>
  <si>
    <t>销售邀约专员</t>
  </si>
  <si>
    <t>张嘉唯</t>
  </si>
  <si>
    <t>马瑞</t>
  </si>
  <si>
    <t>展厅主管</t>
  </si>
  <si>
    <t>王艳</t>
  </si>
  <si>
    <t>上户主管</t>
  </si>
  <si>
    <t>刘珣</t>
  </si>
  <si>
    <t>王俊茹</t>
  </si>
  <si>
    <t>贾名伟</t>
  </si>
  <si>
    <t>王泽文</t>
  </si>
  <si>
    <t>钟小丽</t>
  </si>
  <si>
    <t>DCC经理</t>
  </si>
  <si>
    <t>DCC运维专员</t>
  </si>
  <si>
    <t>张丹</t>
  </si>
  <si>
    <t>赖跃坤</t>
  </si>
  <si>
    <t>花芸芸</t>
  </si>
  <si>
    <t>邱勇</t>
  </si>
  <si>
    <t>曾吉斌</t>
  </si>
  <si>
    <t>曹磊</t>
  </si>
  <si>
    <t>售后业务部</t>
  </si>
  <si>
    <t>谢尧江</t>
  </si>
  <si>
    <t>售后二线</t>
  </si>
  <si>
    <t>售后财务部</t>
  </si>
  <si>
    <t>张敏</t>
  </si>
  <si>
    <t>邱小艳</t>
  </si>
  <si>
    <t>潘倩</t>
  </si>
  <si>
    <t>售后续保部</t>
  </si>
  <si>
    <t>赵水仙</t>
  </si>
  <si>
    <t>张琴</t>
  </si>
  <si>
    <t>唐芳兰</t>
  </si>
  <si>
    <t>罗文琦</t>
  </si>
  <si>
    <t>高梓绮</t>
  </si>
  <si>
    <t>售后客服部</t>
  </si>
  <si>
    <t>向阳</t>
  </si>
  <si>
    <t>唐梅</t>
  </si>
  <si>
    <t>陈琳琳</t>
  </si>
  <si>
    <t>邱昭丽</t>
  </si>
  <si>
    <t>李彩琼</t>
  </si>
  <si>
    <t>黄雪梅</t>
  </si>
  <si>
    <t>售后索赔部</t>
  </si>
  <si>
    <t>雷维可</t>
  </si>
  <si>
    <t>陈晓波</t>
  </si>
  <si>
    <t>梁宁</t>
  </si>
  <si>
    <t>陈川蓉</t>
  </si>
  <si>
    <t>罗筱凡</t>
  </si>
  <si>
    <t>李佳语</t>
  </si>
  <si>
    <t>售后服务部</t>
  </si>
  <si>
    <t>鞠双双</t>
  </si>
  <si>
    <t>苟艳</t>
  </si>
  <si>
    <t>孙苗</t>
  </si>
  <si>
    <t>曹锟</t>
  </si>
  <si>
    <t>翁林星</t>
  </si>
  <si>
    <t>谢婷</t>
  </si>
  <si>
    <t>况婷婷</t>
  </si>
  <si>
    <t>刘伟生</t>
  </si>
  <si>
    <t>事业部总经理</t>
  </si>
  <si>
    <t>代蓓</t>
  </si>
  <si>
    <t>事业部油车总经理</t>
  </si>
  <si>
    <t>齐坤忠</t>
  </si>
  <si>
    <t>事业部副总经理</t>
  </si>
  <si>
    <t>汤小明</t>
  </si>
  <si>
    <t>事业部水平业务总监</t>
  </si>
  <si>
    <t>唐玲</t>
  </si>
  <si>
    <t>事业部内勤</t>
  </si>
  <si>
    <t>冯岚</t>
  </si>
  <si>
    <t>保客营销总监</t>
  </si>
  <si>
    <t>销售区域</t>
  </si>
  <si>
    <t>交车日期</t>
  </si>
  <si>
    <t>直营店-彭州</t>
  </si>
  <si>
    <t>L6T7924Z1TD052132</t>
  </si>
  <si>
    <t>张长建</t>
  </si>
  <si>
    <t>直营店-崇州</t>
  </si>
  <si>
    <t>吉利星愿</t>
  </si>
  <si>
    <t>L6T75MNN4TF357776</t>
  </si>
  <si>
    <t>宣静</t>
  </si>
  <si>
    <t>LB375HNN5TX412905</t>
  </si>
  <si>
    <t>吴小鹏</t>
  </si>
  <si>
    <t>2026.5.2</t>
  </si>
  <si>
    <t>直营店-邛崃</t>
  </si>
  <si>
    <t>L6T75LNN8TF354678</t>
  </si>
  <si>
    <t>王丽0629</t>
  </si>
  <si>
    <t>LB37722Z0TX312032X</t>
  </si>
  <si>
    <t>唐亮1310</t>
  </si>
  <si>
    <t>LB37822Z4TB045200</t>
  </si>
  <si>
    <t>王菲菲</t>
  </si>
  <si>
    <t>L6T7924Z9TD010145</t>
  </si>
  <si>
    <t>李祥1011</t>
  </si>
  <si>
    <t>2026.5.3</t>
  </si>
  <si>
    <t>LB37852Z3TS057422</t>
  </si>
  <si>
    <t>刘永强0711</t>
  </si>
  <si>
    <t>LB37852Z5TS063755</t>
  </si>
  <si>
    <t>周建483X</t>
  </si>
  <si>
    <t>L6T75MNN3TF358837</t>
  </si>
  <si>
    <t>焦影</t>
  </si>
  <si>
    <t>L6T75MNNXTF359144</t>
  </si>
  <si>
    <t>熊建成</t>
  </si>
  <si>
    <t>2026.5.4</t>
  </si>
  <si>
    <t>直营店-大邑</t>
  </si>
  <si>
    <t>熊猫卡丁</t>
  </si>
  <si>
    <t>LB370ADN4TJ103453</t>
  </si>
  <si>
    <t>张玲6120</t>
  </si>
  <si>
    <t>L6T75MNN0TF359153</t>
  </si>
  <si>
    <t>郑丹1462</t>
  </si>
  <si>
    <t>LB37822Z5TB045917</t>
  </si>
  <si>
    <t>杨世全</t>
  </si>
  <si>
    <t>L6T7924Z5TD051663</t>
  </si>
  <si>
    <t>董罗潇</t>
  </si>
  <si>
    <t>L6T7954Z0TD028728</t>
  </si>
  <si>
    <t>李雪杨</t>
  </si>
  <si>
    <t>LB37852Z5TS057440</t>
  </si>
  <si>
    <t>潘云鑫</t>
  </si>
  <si>
    <t>LB37852Z5TS028259</t>
  </si>
  <si>
    <t>付崇阳</t>
  </si>
  <si>
    <t>2026.5.5</t>
  </si>
  <si>
    <t>直营店二网-崇州</t>
  </si>
  <si>
    <t>LB37622Z5TX812173</t>
  </si>
  <si>
    <t>杜镜鹏</t>
  </si>
  <si>
    <t>L6T75LNN8TF354681</t>
  </si>
  <si>
    <t>李迪0425</t>
  </si>
  <si>
    <t>LB375HNN1TX015661</t>
  </si>
  <si>
    <t>钟季芩</t>
  </si>
  <si>
    <t>L6T75LNN2TF352862</t>
  </si>
  <si>
    <t>张勇3516</t>
  </si>
  <si>
    <t>L6T75MNN8TF357084</t>
  </si>
  <si>
    <t>万又铭</t>
  </si>
  <si>
    <t>L6T75LNNXTF347165</t>
  </si>
  <si>
    <t>张鹏飞</t>
  </si>
  <si>
    <t>直营店-华阳</t>
  </si>
  <si>
    <t>L6T75MNN1TF338974</t>
  </si>
  <si>
    <t>魏春花</t>
  </si>
  <si>
    <t>LB37822Z3TB028484</t>
  </si>
  <si>
    <t xml:space="preserve"> 张毅强</t>
  </si>
  <si>
    <t>LB37622Z2TX618622X</t>
  </si>
  <si>
    <t>罗红3121</t>
  </si>
  <si>
    <t>L6T75LNNXTF352866</t>
  </si>
  <si>
    <t>汤云波</t>
  </si>
  <si>
    <t>L6T75MNN1TF359159</t>
  </si>
  <si>
    <t>赵蓉</t>
  </si>
  <si>
    <t>L6T7924Z2TD052267X</t>
  </si>
  <si>
    <t>李勇祥</t>
  </si>
  <si>
    <t>L6T75LNN5TF351351</t>
  </si>
  <si>
    <t>付志红</t>
  </si>
  <si>
    <t>L6T7924ZXTD027133</t>
  </si>
  <si>
    <t>祝宣文</t>
  </si>
  <si>
    <t>LB37722Z5TX312995</t>
  </si>
  <si>
    <t>杨梅8029</t>
  </si>
  <si>
    <t>LB37722ZXTX310479</t>
  </si>
  <si>
    <t>辜小琴</t>
  </si>
  <si>
    <t>L6T75LNN9TF351384</t>
  </si>
  <si>
    <t>董一锋</t>
  </si>
  <si>
    <t>LB37852Z4TS057445</t>
  </si>
  <si>
    <t>王小兰8217</t>
  </si>
  <si>
    <t>五代帝豪</t>
  </si>
  <si>
    <t>LB37824ZXTG029650</t>
  </si>
  <si>
    <t>龙建忠</t>
  </si>
  <si>
    <t>LB37852Z1TS038514</t>
  </si>
  <si>
    <t>许红</t>
  </si>
  <si>
    <t>LB370ADN7TJ101311</t>
  </si>
  <si>
    <t>刘佳灏</t>
  </si>
  <si>
    <t>L6T75MNN4TF359155</t>
  </si>
  <si>
    <t>杨兵3413</t>
  </si>
  <si>
    <t>LB375HNN1TX412710</t>
  </si>
  <si>
    <t>陈朝俊</t>
  </si>
  <si>
    <t>L6T75LNN9TF344337</t>
  </si>
  <si>
    <t>李再兵</t>
  </si>
  <si>
    <t>LB37822Z5TB022038X</t>
  </si>
  <si>
    <t>李文英6128</t>
  </si>
  <si>
    <t>2026.5.7</t>
  </si>
  <si>
    <t>LB37852Z5TS030187</t>
  </si>
  <si>
    <t>冯波9253</t>
  </si>
  <si>
    <t>L6T7924Z7TD052328</t>
  </si>
  <si>
    <t>钟宇612X</t>
  </si>
  <si>
    <t>LB37822Z6TB046946</t>
  </si>
  <si>
    <t>张纪兵</t>
  </si>
  <si>
    <t>L6T7954Z5TD054385</t>
  </si>
  <si>
    <t>徐国文</t>
  </si>
  <si>
    <t>L6T75MNN8TF358901</t>
  </si>
  <si>
    <t>旦永伟</t>
  </si>
  <si>
    <t>L6T75LNN7TF351478</t>
  </si>
  <si>
    <t>且露艳</t>
  </si>
  <si>
    <t>L6T75LNN8TF352798</t>
  </si>
  <si>
    <t>杨丽7162</t>
  </si>
  <si>
    <t>直营店二网-彭州</t>
  </si>
  <si>
    <t>LB375HNN1TX412917</t>
  </si>
  <si>
    <t>李雨欣</t>
  </si>
  <si>
    <t>LB375GNN1TX405332</t>
  </si>
  <si>
    <t>杨红霞</t>
  </si>
  <si>
    <t>L6T75LNN6TF334607</t>
  </si>
  <si>
    <t>罗太丰</t>
  </si>
  <si>
    <t>银河A7 EV</t>
  </si>
  <si>
    <t>L6T79NBW7TY457107</t>
  </si>
  <si>
    <t>丁应</t>
  </si>
  <si>
    <t>L6T75LNN3TF356080</t>
  </si>
  <si>
    <t>李晓艳</t>
  </si>
  <si>
    <t>2026.5.8</t>
  </si>
  <si>
    <t>雅安车</t>
  </si>
  <si>
    <t>LB37824Z2TG026841</t>
  </si>
  <si>
    <t>杨作英</t>
  </si>
  <si>
    <t>L6T75LNN3TF352868</t>
  </si>
  <si>
    <t>赵德兵</t>
  </si>
  <si>
    <t>LB37822Z4TB021124</t>
  </si>
  <si>
    <t>赵伟005</t>
  </si>
  <si>
    <t>银河E5</t>
  </si>
  <si>
    <t>L6T78CNW6SY216690</t>
  </si>
  <si>
    <t>李玉巧</t>
  </si>
  <si>
    <t>L6T75MNN8TF362091</t>
  </si>
  <si>
    <t>蒋晨</t>
  </si>
  <si>
    <t>2026.5.9</t>
  </si>
  <si>
    <t xml:space="preserve">银河A7 </t>
  </si>
  <si>
    <t>L6T791RZ5SY537531</t>
  </si>
  <si>
    <t>彭浩岚</t>
  </si>
  <si>
    <t>LB37722Z5TX314522</t>
  </si>
  <si>
    <t>黄鑫6335</t>
  </si>
  <si>
    <t>L6T7924Z3TD048728</t>
  </si>
  <si>
    <t>魏宇</t>
  </si>
  <si>
    <t>LB37822Z1TB034705</t>
  </si>
  <si>
    <t>邓定海</t>
  </si>
  <si>
    <t>2026.5.11</t>
  </si>
  <si>
    <t>LB37622Z0TX812517X</t>
  </si>
  <si>
    <t>张华杰</t>
  </si>
  <si>
    <t>LB37822Z1TB034056</t>
  </si>
  <si>
    <t>涂国华</t>
  </si>
  <si>
    <t>LB37824Z1TG026166X</t>
  </si>
  <si>
    <t>肖杨4878</t>
  </si>
  <si>
    <t>L6T75LNN8TF364627</t>
  </si>
  <si>
    <t>陈娇</t>
  </si>
  <si>
    <t>L6T75LNN4TF339868</t>
  </si>
  <si>
    <t>姚敏</t>
  </si>
  <si>
    <t>L6T75LNN1TF364596</t>
  </si>
  <si>
    <t>黄永华</t>
  </si>
  <si>
    <t>L6T75LNN6TF346711</t>
  </si>
  <si>
    <t>李梅7144</t>
  </si>
  <si>
    <t>L6T75MNN8TF362687</t>
  </si>
  <si>
    <t>杨琳4841</t>
  </si>
  <si>
    <t>L6T75MNN2TF362944</t>
  </si>
  <si>
    <t>袁章文</t>
  </si>
  <si>
    <t>2026.5.12</t>
  </si>
  <si>
    <t>L6T75LNN1TF363142</t>
  </si>
  <si>
    <t>张秋4867</t>
  </si>
  <si>
    <t>L6T78XCZ4TY781977</t>
  </si>
  <si>
    <t>杨建茹</t>
  </si>
  <si>
    <t>LB37852Z2TS067259</t>
  </si>
  <si>
    <t>罗兵6973</t>
  </si>
  <si>
    <t>L6T75MNNXTF365140</t>
  </si>
  <si>
    <t>赵巧珍</t>
  </si>
  <si>
    <t>2026.5.13</t>
  </si>
  <si>
    <t>L6T75MNN5TF365157</t>
  </si>
  <si>
    <t>成都红安物流</t>
  </si>
  <si>
    <t>2026.5.14</t>
  </si>
  <si>
    <t>L6T75MNN3TF365206</t>
  </si>
  <si>
    <t>陈书敏</t>
  </si>
  <si>
    <t>L6T75MNN7TF364270</t>
  </si>
  <si>
    <t>罗庆阳</t>
  </si>
  <si>
    <t>L6T75MNN4TF367191</t>
  </si>
  <si>
    <t>唐钢</t>
  </si>
  <si>
    <t>L6T75MNN3TF367408</t>
  </si>
  <si>
    <t>刘晓红</t>
  </si>
  <si>
    <t>L6T75MNN0TF367446</t>
  </si>
  <si>
    <t>付文彬</t>
  </si>
  <si>
    <t>LB37852Z5TS057437X</t>
  </si>
  <si>
    <t>庄红武</t>
  </si>
  <si>
    <t>LB37722Z6TX313959X</t>
  </si>
  <si>
    <t>骆蓉3162</t>
  </si>
  <si>
    <t>L6T78CNW9SY218224</t>
  </si>
  <si>
    <t>王睿</t>
  </si>
  <si>
    <t>LB37822Z7TB069314</t>
  </si>
  <si>
    <t>毛平</t>
  </si>
  <si>
    <t>2025.5.15</t>
  </si>
  <si>
    <t>L6T75MNN1TF366385</t>
  </si>
  <si>
    <t>罗力荣</t>
  </si>
  <si>
    <t>L6T75MNN1TF364281</t>
  </si>
  <si>
    <t>刘谢杰</t>
  </si>
  <si>
    <t>L6T75MNN2TF367397</t>
  </si>
  <si>
    <t>贺李茜</t>
  </si>
  <si>
    <t>L6T75MNNXTF367308</t>
  </si>
  <si>
    <t>韩远霞</t>
  </si>
  <si>
    <t>L6T75LNN4TF363135</t>
  </si>
  <si>
    <t>姚燕琼</t>
  </si>
  <si>
    <t>L6T75MNN4TF367384</t>
  </si>
  <si>
    <t>袁波5415</t>
  </si>
  <si>
    <t>L6T75MNN0TF367785</t>
  </si>
  <si>
    <t>卓林红</t>
  </si>
  <si>
    <t>L6T75MNN9TF367168</t>
  </si>
  <si>
    <t>王银3664</t>
  </si>
  <si>
    <t>2026.5.16</t>
  </si>
  <si>
    <t>LB37852ZXTS027950X</t>
  </si>
  <si>
    <t>直营店二网-大邑</t>
  </si>
  <si>
    <t>LB37822Z2TB048046</t>
  </si>
  <si>
    <t>刘波7131</t>
  </si>
  <si>
    <t>2026.5.17</t>
  </si>
  <si>
    <t>LB37722Z8TX314529</t>
  </si>
  <si>
    <t>徐杰2315</t>
  </si>
  <si>
    <t>杨敏3927</t>
  </si>
  <si>
    <t>LB37722Z4TX311191</t>
  </si>
  <si>
    <t>张志6225</t>
  </si>
  <si>
    <t>LB37852Z6TS067040</t>
  </si>
  <si>
    <t>刘刚11915</t>
  </si>
  <si>
    <t>L6T75MNN1TF364264</t>
  </si>
  <si>
    <t>张德君1314</t>
  </si>
  <si>
    <t>L6T75MNN7TF367783</t>
  </si>
  <si>
    <t>徐月</t>
  </si>
  <si>
    <t>L6T75LNN2TF363117</t>
  </si>
  <si>
    <t>张艳红</t>
  </si>
  <si>
    <t>L6T75MNN3TF367487</t>
  </si>
  <si>
    <t>刘学建</t>
  </si>
  <si>
    <t>L6T75MNN4TF367093</t>
  </si>
  <si>
    <t>牟馨宁</t>
  </si>
  <si>
    <t>L6T75LNN1TF360533</t>
  </si>
  <si>
    <t>张力7932</t>
  </si>
  <si>
    <t>L6T75LNN7TF352789</t>
  </si>
  <si>
    <t>任桃仙</t>
  </si>
  <si>
    <t>L6T78CNW0SY208326</t>
  </si>
  <si>
    <t>亢勇</t>
  </si>
  <si>
    <t>银河M7</t>
  </si>
  <si>
    <t>LB3781NZ0TB050450</t>
  </si>
  <si>
    <t>龚泽莉</t>
  </si>
  <si>
    <t>LB3781NZ2TB050529</t>
  </si>
  <si>
    <t>岳晓琴</t>
  </si>
  <si>
    <t>银河M9</t>
  </si>
  <si>
    <t>L6T79BAZ2SV374176</t>
  </si>
  <si>
    <t>竹志雯</t>
  </si>
  <si>
    <t>L6T79NBW4TY458800</t>
  </si>
  <si>
    <t>吉则石伍</t>
  </si>
  <si>
    <t>2026.5.18</t>
  </si>
  <si>
    <t>L6T7924Z0TD055703</t>
  </si>
  <si>
    <t>蔡祥</t>
  </si>
  <si>
    <t>直营店二网-邛崃</t>
  </si>
  <si>
    <t>LB37824Z3TG031370</t>
  </si>
  <si>
    <t>陈均1611</t>
  </si>
  <si>
    <t>LB37822Z5SB214140</t>
  </si>
  <si>
    <t>李毅029x</t>
  </si>
  <si>
    <t>LB37722Z9TX313826</t>
  </si>
  <si>
    <t>叶大军</t>
  </si>
  <si>
    <t>L6T7924Z3TD049894</t>
  </si>
  <si>
    <t>江虹辉</t>
  </si>
  <si>
    <t>L6T75LNN6TF343534</t>
  </si>
  <si>
    <t>徐江</t>
  </si>
  <si>
    <t>LB3781NZ6TB080262</t>
  </si>
  <si>
    <t>赵子明</t>
  </si>
  <si>
    <t>2026.5.20</t>
  </si>
  <si>
    <t>LB3781NZ9TB080255</t>
  </si>
  <si>
    <t>杨友芳</t>
  </si>
  <si>
    <t>L6T75LNN9TF352860</t>
  </si>
  <si>
    <t>谢贤惠</t>
  </si>
  <si>
    <t>LB37722Z5TX313967</t>
  </si>
  <si>
    <t>谢志军3013</t>
  </si>
  <si>
    <t>任连英</t>
  </si>
  <si>
    <t>2026.5.21</t>
  </si>
  <si>
    <t>LB375GNN8TX407546</t>
  </si>
  <si>
    <t>杨雨佳</t>
  </si>
  <si>
    <t>L6T75LNN2TF366700</t>
  </si>
  <si>
    <t>刘静1326</t>
  </si>
  <si>
    <t>L6T791RZ6SY537442</t>
  </si>
  <si>
    <t>余远辉</t>
  </si>
  <si>
    <t>L6T75MNN2TF367173</t>
  </si>
  <si>
    <t>吴悠</t>
  </si>
  <si>
    <t>2026.5.22</t>
  </si>
  <si>
    <t>LB37822Z4TB044757</t>
  </si>
  <si>
    <t>丁佳秀</t>
  </si>
  <si>
    <t>LB37822Z6TB078909</t>
  </si>
  <si>
    <t>张志远1496</t>
  </si>
  <si>
    <t>唐庆2459</t>
  </si>
  <si>
    <t>直营店二网-华阳</t>
  </si>
  <si>
    <t>26款ICON</t>
  </si>
  <si>
    <t>L6T7622Z2TV010641X</t>
  </si>
  <si>
    <t>白林933x</t>
  </si>
  <si>
    <t>2026.5.23</t>
  </si>
  <si>
    <t>L6T75LNN1TF347099</t>
  </si>
  <si>
    <t>廖朗</t>
  </si>
  <si>
    <t>2026.5.24</t>
  </si>
  <si>
    <t>L6T75LNN6TF352086</t>
  </si>
  <si>
    <t>魏华池</t>
  </si>
  <si>
    <t>L6T78CNW1SY218184</t>
  </si>
  <si>
    <t>李勇2014</t>
  </si>
  <si>
    <t>2026.5.25</t>
  </si>
  <si>
    <t>L6T75LNN8TF360545</t>
  </si>
  <si>
    <t>祝荣茂</t>
  </si>
  <si>
    <t>L6T75LNN8TF363090</t>
  </si>
  <si>
    <t>郭亚敏</t>
  </si>
  <si>
    <t>LB375GNN6TX411191</t>
  </si>
  <si>
    <t>赵辰星</t>
  </si>
  <si>
    <t>L6T75LNN4TF352863</t>
  </si>
  <si>
    <t>刘艳0129</t>
  </si>
  <si>
    <t>L6T75LNN4TF346612</t>
  </si>
  <si>
    <t>袁德菊</t>
  </si>
  <si>
    <t>L6T75LNN3TF329316</t>
  </si>
  <si>
    <t>戚杨</t>
  </si>
  <si>
    <t>LB375GNN6TX407738</t>
  </si>
  <si>
    <t>赵晶</t>
  </si>
  <si>
    <t>LB37852Z3TS067058</t>
  </si>
  <si>
    <t>李帅8679</t>
  </si>
  <si>
    <t>LB37722Z1TX319460</t>
  </si>
  <si>
    <t>蒋欣妤</t>
  </si>
  <si>
    <t>LB37852Z7TS067239</t>
  </si>
  <si>
    <t>倪修贵</t>
  </si>
  <si>
    <t>LB37852Z0TS068037</t>
  </si>
  <si>
    <t>辜英豪</t>
  </si>
  <si>
    <t>LB37822ZXTB078914X</t>
  </si>
  <si>
    <t>滕建财</t>
  </si>
  <si>
    <t>LB37622Z1TX804149</t>
  </si>
  <si>
    <t>赵仕才0219</t>
  </si>
  <si>
    <t>LB37852Z9TS016650</t>
  </si>
  <si>
    <t>张思琦</t>
  </si>
  <si>
    <t>LB37822Z3TB017095X</t>
  </si>
  <si>
    <t>李吉超</t>
  </si>
  <si>
    <t>LB37852Z3SS260129</t>
  </si>
  <si>
    <t>陈琴2329</t>
  </si>
  <si>
    <t>LB37824Z5TG031368</t>
  </si>
  <si>
    <t>李雪7148</t>
  </si>
  <si>
    <t>LB37722Z4TX319002</t>
  </si>
  <si>
    <t>周春霞7128</t>
  </si>
  <si>
    <t>贾明强</t>
  </si>
  <si>
    <t>LB37852Z8TS067752</t>
  </si>
  <si>
    <t>孟杰</t>
  </si>
  <si>
    <t>2026.5.26</t>
  </si>
  <si>
    <t>LB37852Z8TS057352</t>
  </si>
  <si>
    <t>杨仲伟</t>
  </si>
  <si>
    <t>LB37852Z4TS057588</t>
  </si>
  <si>
    <t>侯莲</t>
  </si>
  <si>
    <t>L6T75LNN6TF344599</t>
  </si>
  <si>
    <t>杨帆2327</t>
  </si>
  <si>
    <t>LB375GNN1TX410840</t>
  </si>
  <si>
    <t>骆建君</t>
  </si>
  <si>
    <t>L6T75MNNXTF350282</t>
  </si>
  <si>
    <t>罗志旭</t>
  </si>
  <si>
    <t>L6T791RZ1SY537929</t>
  </si>
  <si>
    <t>雷华勇</t>
  </si>
  <si>
    <t>2026.5.27</t>
  </si>
  <si>
    <t>L6T75LNN6TF357515</t>
  </si>
  <si>
    <t>胡建洪</t>
  </si>
  <si>
    <t>绵阳车</t>
  </si>
  <si>
    <t>LB370ADN3TJ106070</t>
  </si>
  <si>
    <t>岳倩</t>
  </si>
  <si>
    <t>LB37822Z4TB021026X</t>
  </si>
  <si>
    <t>鄢淑芳</t>
  </si>
  <si>
    <t>LB37852Z9TS050801</t>
  </si>
  <si>
    <t>贾勇7318</t>
  </si>
  <si>
    <t>L6T7924Z9TD052802X</t>
  </si>
  <si>
    <t>张志友2222</t>
  </si>
  <si>
    <t>LB37852ZXTS028581</t>
  </si>
  <si>
    <t>齐晚霞</t>
  </si>
  <si>
    <t>L6T7924Z3TD056019X</t>
  </si>
  <si>
    <t>陈静5120</t>
  </si>
  <si>
    <t>L6T7922Z6TY871603X</t>
  </si>
  <si>
    <t>王志康</t>
  </si>
  <si>
    <t>LB37822ZXSB207636</t>
  </si>
  <si>
    <t>雷杰9236</t>
  </si>
  <si>
    <t>2026.5.28</t>
  </si>
  <si>
    <t>直营店-金堂</t>
  </si>
  <si>
    <t>LB37822Z1TB043856X</t>
  </si>
  <si>
    <t>蒲佳赓</t>
  </si>
  <si>
    <t>文科</t>
  </si>
  <si>
    <t>2026.5.29</t>
  </si>
  <si>
    <t>L6T7924Z1TD010009X</t>
  </si>
  <si>
    <t>杨建伟5812</t>
  </si>
  <si>
    <t>2026.5.30</t>
  </si>
  <si>
    <t>银河星舰7</t>
  </si>
  <si>
    <t>LB3781NZ3SH151932</t>
  </si>
  <si>
    <t>晏光燕</t>
  </si>
  <si>
    <t>LB37852Z4TS067456</t>
  </si>
  <si>
    <t>刘光才5832</t>
  </si>
  <si>
    <t>2026.5.31</t>
  </si>
  <si>
    <t>L6T791RZ7SY529592</t>
  </si>
  <si>
    <t>刘姗</t>
  </si>
  <si>
    <t>LB37822Z4TB045181X</t>
  </si>
  <si>
    <t>李思宇0234</t>
  </si>
  <si>
    <t>LB37852Z6SS265065</t>
  </si>
  <si>
    <t>刘丛鑫</t>
  </si>
  <si>
    <t>LB37822Z5TB045223</t>
  </si>
  <si>
    <t>王伊婷</t>
  </si>
  <si>
    <t>LB37722Z3TX307553</t>
  </si>
  <si>
    <t>刘芳3721</t>
  </si>
  <si>
    <t>银河星耀8</t>
  </si>
  <si>
    <t>L6T791RZ1SU027846</t>
  </si>
  <si>
    <t>高燕红</t>
  </si>
  <si>
    <t>L6T7924Z4TD055770X</t>
  </si>
  <si>
    <t>孟银花1123</t>
  </si>
  <si>
    <t>LB37852Z9TS067243</t>
  </si>
  <si>
    <t>倪邦洪</t>
  </si>
  <si>
    <t>LB375GNN3TX009970</t>
  </si>
  <si>
    <t>阳文松</t>
  </si>
  <si>
    <t>翼真考核数据统计表-5月</t>
  </si>
  <si>
    <t>集客-600</t>
  </si>
  <si>
    <t>邀约进店率-600</t>
  </si>
  <si>
    <t>试驾率-800</t>
  </si>
  <si>
    <t>任务达成率-600</t>
  </si>
  <si>
    <t>垂媒发帖率-200</t>
  </si>
  <si>
    <t>直播率-200</t>
  </si>
  <si>
    <t>有责底薪合计</t>
  </si>
  <si>
    <t>实际达成</t>
  </si>
  <si>
    <t>翼真-销售</t>
  </si>
  <si>
    <t>兼职销售</t>
  </si>
  <si>
    <t>新媒体考核数据</t>
  </si>
  <si>
    <t>直播任务（月/场）</t>
  </si>
  <si>
    <t>提成标准（实习期80/场）</t>
  </si>
  <si>
    <t>实际播放场次</t>
  </si>
  <si>
    <t>实际提成金额</t>
  </si>
  <si>
    <t>视频（月/条）</t>
  </si>
  <si>
    <t>提成标准（元）40</t>
  </si>
  <si>
    <t>实际视频量</t>
  </si>
  <si>
    <t>线索量（月/条）</t>
  </si>
  <si>
    <t>提成标准（元）</t>
  </si>
  <si>
    <t>线索量</t>
  </si>
  <si>
    <t>自行邀约量</t>
  </si>
  <si>
    <t>提成标准</t>
  </si>
  <si>
    <t>他人邀约量</t>
  </si>
  <si>
    <t>大定成交量</t>
  </si>
  <si>
    <t>交付量</t>
  </si>
  <si>
    <t>合计金额</t>
  </si>
  <si>
    <t>翼真-新媒体</t>
  </si>
  <si>
    <t>直播专员</t>
  </si>
  <si>
    <t>交易类型</t>
  </si>
  <si>
    <t>新车出库日期</t>
  </si>
  <si>
    <t>旧车车主</t>
  </si>
  <si>
    <t>车主电话</t>
  </si>
  <si>
    <t>旧车上户日期</t>
  </si>
  <si>
    <t>车型名称</t>
  </si>
  <si>
    <t>车牌号</t>
  </si>
  <si>
    <t>购进日期</t>
  </si>
  <si>
    <t>购进金额</t>
  </si>
  <si>
    <t>处置日期</t>
  </si>
  <si>
    <t>二手车商名称</t>
  </si>
  <si>
    <t>处置金额</t>
  </si>
  <si>
    <t>毛利</t>
  </si>
  <si>
    <t>新客户姓名</t>
  </si>
  <si>
    <t>联系电话</t>
  </si>
  <si>
    <t>销售公司</t>
  </si>
  <si>
    <t>整车开票金额</t>
  </si>
  <si>
    <t>厂家置换政策</t>
  </si>
  <si>
    <t>客户置换补贴</t>
  </si>
  <si>
    <t>押金金额</t>
  </si>
  <si>
    <t>公司留存补贴</t>
  </si>
  <si>
    <t>业务员</t>
  </si>
  <si>
    <t>旧车处置人员</t>
  </si>
  <si>
    <t>结余提成</t>
  </si>
  <si>
    <t>置换提成</t>
  </si>
  <si>
    <t>比对信息</t>
  </si>
  <si>
    <t>情况说明</t>
  </si>
  <si>
    <t>置换</t>
  </si>
  <si>
    <t>雪佛兰牌</t>
  </si>
  <si>
    <t>LSGHD52H2FY302833</t>
  </si>
  <si>
    <t>川AV8M25</t>
  </si>
  <si>
    <t>5月</t>
  </si>
  <si>
    <t>二手车合计情况</t>
  </si>
  <si>
    <t>黄鹏</t>
  </si>
  <si>
    <t>2016.08.41</t>
  </si>
  <si>
    <t>长安</t>
  </si>
  <si>
    <t>LS5A2BBR8GH004621</t>
  </si>
  <si>
    <t>渝BHP571</t>
  </si>
  <si>
    <t>和信汇二手车</t>
  </si>
  <si>
    <t>3代豪越L</t>
  </si>
  <si>
    <t>L6T7922Z8TY871196</t>
  </si>
  <si>
    <t>成交率考核标准</t>
  </si>
  <si>
    <t>总毛利</t>
  </si>
  <si>
    <t>王超</t>
  </si>
  <si>
    <t>大众</t>
  </si>
  <si>
    <t>LFV2A11K6D4227521</t>
  </si>
  <si>
    <t>浙BK2G86</t>
  </si>
  <si>
    <t>LB37852Z5TS032506</t>
  </si>
  <si>
    <t>店面销量(除熊猫)</t>
  </si>
  <si>
    <t>50%以上(含)</t>
  </si>
  <si>
    <t>叶文冰</t>
  </si>
  <si>
    <t>LFV2A2154G3055127</t>
  </si>
  <si>
    <t>冀TL8P01</t>
  </si>
  <si>
    <t>LB37852Z5TS031596</t>
  </si>
  <si>
    <t>置换台次</t>
  </si>
  <si>
    <t>30%(含)至50%</t>
  </si>
  <si>
    <t>邱思维</t>
  </si>
  <si>
    <t>东风标致</t>
  </si>
  <si>
    <t>LDC633T24K3001150</t>
  </si>
  <si>
    <t>川M0233T</t>
  </si>
  <si>
    <t>锦栖汇二手车</t>
  </si>
  <si>
    <t>LB37852Z0TS057572</t>
  </si>
  <si>
    <t>置换率</t>
  </si>
  <si>
    <t>低于30%</t>
  </si>
  <si>
    <t>曹世华</t>
  </si>
  <si>
    <t>帝豪牌</t>
  </si>
  <si>
    <t>LB37824Z7SG012710</t>
  </si>
  <si>
    <t>川F7L0T0</t>
  </si>
  <si>
    <t>L6T7924Z5TD018081</t>
  </si>
  <si>
    <t>认证二手车台次</t>
  </si>
  <si>
    <t>奖励(台/元)</t>
  </si>
  <si>
    <t>报废</t>
  </si>
  <si>
    <t>张燕</t>
  </si>
  <si>
    <t>东风牌D</t>
  </si>
  <si>
    <t>LDC613P2990950642</t>
  </si>
  <si>
    <t>川A0G84L</t>
  </si>
  <si>
    <t>LB37822Z4TB046993</t>
  </si>
  <si>
    <t>二手车按揭台次</t>
  </si>
  <si>
    <t>按新车销售顾问方式</t>
  </si>
  <si>
    <t>王钰萱</t>
  </si>
  <si>
    <t>荣威</t>
  </si>
  <si>
    <t>LSJA16E35CG064357</t>
  </si>
  <si>
    <t>川AT1142</t>
  </si>
  <si>
    <t>L6T7954Z9TD054437</t>
  </si>
  <si>
    <t>黄欠</t>
  </si>
  <si>
    <t>2014.12.14</t>
  </si>
  <si>
    <t>吉利英伦</t>
  </si>
  <si>
    <t>LB37824S4EX044568</t>
  </si>
  <si>
    <t>川A7J239</t>
  </si>
  <si>
    <t>八千熊猫二手车</t>
  </si>
  <si>
    <t>LB37822Z6TB045151</t>
  </si>
  <si>
    <t>双星新媒体</t>
  </si>
  <si>
    <t>张龙（武侯店+精锐店+超市银河A）</t>
  </si>
  <si>
    <t>白林（机场店+星瑞店+西物银河A）</t>
  </si>
  <si>
    <t>李祥</t>
  </si>
  <si>
    <t>LSGGJ5456JS195529</t>
  </si>
  <si>
    <t>川A21LF0</t>
  </si>
  <si>
    <t>收购台次</t>
  </si>
  <si>
    <t>评估台次</t>
  </si>
  <si>
    <t>袁静</t>
  </si>
  <si>
    <t>名爵</t>
  </si>
  <si>
    <t>LSJZ14E60CS102186</t>
  </si>
  <si>
    <t>川G9C9H0</t>
  </si>
  <si>
    <t>ICON</t>
  </si>
  <si>
    <t>L6T7622Z2TV010719</t>
  </si>
  <si>
    <t>刘永强</t>
  </si>
  <si>
    <t>LB37722Z9JH152000</t>
  </si>
  <si>
    <t>川AS04F9</t>
  </si>
  <si>
    <t>置换毛利</t>
  </si>
  <si>
    <t>绩效毛利</t>
  </si>
  <si>
    <t>徐高平</t>
  </si>
  <si>
    <t>2016.11.16</t>
  </si>
  <si>
    <t>LS5A3DBE3GA083386</t>
  </si>
  <si>
    <t>陕A66CP1</t>
  </si>
  <si>
    <t>LB37852Z7TS038503</t>
  </si>
  <si>
    <t>双星网销</t>
  </si>
  <si>
    <t>毛利提成标准</t>
  </si>
  <si>
    <t>考核执行标准</t>
  </si>
  <si>
    <t>朱晓攀</t>
  </si>
  <si>
    <t>2017.5.16</t>
  </si>
  <si>
    <t>吉利</t>
  </si>
  <si>
    <t>L6T7824S4HN183370</t>
  </si>
  <si>
    <t>川MMJ885</t>
  </si>
  <si>
    <t>LB37852Z1TS064711</t>
  </si>
  <si>
    <t>台次提成</t>
  </si>
  <si>
    <t>毛利提成</t>
  </si>
  <si>
    <t>周建</t>
  </si>
  <si>
    <t>起亚牌</t>
  </si>
  <si>
    <t>LJDLAA29700277597</t>
  </si>
  <si>
    <t>川A0G631</t>
  </si>
  <si>
    <t>许航</t>
  </si>
  <si>
    <t>认证二手车提成</t>
  </si>
  <si>
    <t>杨金良</t>
  </si>
  <si>
    <t>大众牌</t>
  </si>
  <si>
    <t>LSVAA4BR5EN050100</t>
  </si>
  <si>
    <t>川A9VB58</t>
  </si>
  <si>
    <t>LB37852Z7SS272252</t>
  </si>
  <si>
    <t>机场新媒体</t>
  </si>
  <si>
    <t>按揭服务费</t>
  </si>
  <si>
    <t>按揭服务费提成</t>
  </si>
  <si>
    <t>周祥甫</t>
  </si>
  <si>
    <t>吉利牌</t>
  </si>
  <si>
    <t>LB37824S8AX048228</t>
  </si>
  <si>
    <t>川A4L60F</t>
  </si>
  <si>
    <t>全新博越</t>
  </si>
  <si>
    <t>LB37722ZXTX314905</t>
  </si>
  <si>
    <t>罗廷芳</t>
  </si>
  <si>
    <t>北京现代牌</t>
  </si>
  <si>
    <t>LBERCACB4CX204570</t>
  </si>
  <si>
    <t>川A198KG</t>
  </si>
  <si>
    <t>LB37852Z7TS065233</t>
  </si>
  <si>
    <t>昂科雷</t>
  </si>
  <si>
    <t>5GALVCED0AJ241498</t>
  </si>
  <si>
    <t>川1A30G91</t>
  </si>
  <si>
    <t>张龙（精锐）</t>
  </si>
  <si>
    <t>白林（星瑞）</t>
  </si>
  <si>
    <t>猎豹汽车</t>
  </si>
  <si>
    <t>LN86GABF8HB024049</t>
  </si>
  <si>
    <t>川S139J1</t>
  </si>
  <si>
    <t>别克牌</t>
  </si>
  <si>
    <t>LSGJA52U5CH010628</t>
  </si>
  <si>
    <t>川GN1U51</t>
  </si>
  <si>
    <t>LSVFD26R4B2718347</t>
  </si>
  <si>
    <t>川1A1H4C9</t>
  </si>
  <si>
    <t>何超杰</t>
  </si>
  <si>
    <t>大众捷达</t>
  </si>
  <si>
    <t>LFV2A2BS1C4002216</t>
  </si>
  <si>
    <t>川A9V3C9</t>
  </si>
  <si>
    <t>LB37852Z2SS272207</t>
  </si>
  <si>
    <t>李昌洪</t>
  </si>
  <si>
    <t>L6T7824Z1RD014508</t>
  </si>
  <si>
    <t>川E033G7</t>
  </si>
  <si>
    <t>LB37852Z5TS027063</t>
  </si>
  <si>
    <t>何继武</t>
  </si>
  <si>
    <t>LB37752Z8FC256225</t>
  </si>
  <si>
    <t>川DUG686</t>
  </si>
  <si>
    <t>LB37852D7TS072297</t>
  </si>
  <si>
    <t>别克</t>
  </si>
  <si>
    <t>LSGER5354NW165302</t>
  </si>
  <si>
    <t>川A804RM</t>
  </si>
  <si>
    <t>李征</t>
  </si>
  <si>
    <t>江淮</t>
  </si>
  <si>
    <t>LJ12EKS43G4755762</t>
  </si>
  <si>
    <t>川A4X35F</t>
  </si>
  <si>
    <t>LB37822Z6TB028513</t>
  </si>
  <si>
    <t>LB37724S4FX098005</t>
  </si>
  <si>
    <t>川A5H02J</t>
  </si>
  <si>
    <t>L6T7922Z2SY000681</t>
  </si>
  <si>
    <t>东风雪铁龙牌</t>
  </si>
  <si>
    <t>LDCC13T28E1123423</t>
  </si>
  <si>
    <t>川A3K926</t>
  </si>
  <si>
    <t>张龙（超市银河A网）</t>
  </si>
  <si>
    <t>白林（西物银河A网）</t>
  </si>
  <si>
    <t>夏永章</t>
  </si>
  <si>
    <t>海马牌</t>
  </si>
  <si>
    <t>LH17C2JFXBH330320</t>
  </si>
  <si>
    <t>川A485EU</t>
  </si>
  <si>
    <t>LB37822Z5TB034108</t>
  </si>
  <si>
    <t>张毅强</t>
  </si>
  <si>
    <t>观致牌</t>
  </si>
  <si>
    <t>LLNCKACB8GA002433</t>
  </si>
  <si>
    <t>川A14Q9L</t>
  </si>
  <si>
    <t>罗红</t>
  </si>
  <si>
    <t>2017.8.7</t>
  </si>
  <si>
    <t>长安牌</t>
  </si>
  <si>
    <t>LS5A3ABE8HA013785</t>
  </si>
  <si>
    <t>川K23E36</t>
  </si>
  <si>
    <t>LB37622Z2TX618622</t>
  </si>
  <si>
    <t>2016.2.22</t>
  </si>
  <si>
    <t>哈佛牌</t>
  </si>
  <si>
    <t>LGWEF4A55GF021821</t>
  </si>
  <si>
    <t>川H6389E</t>
  </si>
  <si>
    <t>L6T7924Z2TD052267</t>
  </si>
  <si>
    <t>杨梅</t>
  </si>
  <si>
    <t>2012.11.27</t>
  </si>
  <si>
    <t>东南</t>
  </si>
  <si>
    <t>LDNB43AZ3C0449272</t>
  </si>
  <si>
    <t>川AU373V</t>
  </si>
  <si>
    <t>奇瑞牌</t>
  </si>
  <si>
    <t>LVVDA11A4AD436510</t>
  </si>
  <si>
    <t>川A50LN6</t>
  </si>
  <si>
    <t>刘庭</t>
  </si>
  <si>
    <t>LB37742S7JA014852</t>
  </si>
  <si>
    <t>川A48YC1</t>
  </si>
  <si>
    <t>L6T7924Z8TD052130</t>
  </si>
  <si>
    <t>谭霞</t>
  </si>
  <si>
    <t>2016.7.4</t>
  </si>
  <si>
    <t>中华牌</t>
  </si>
  <si>
    <t>LSYYDACB5GC033501</t>
  </si>
  <si>
    <t>川J9671D</t>
  </si>
  <si>
    <t>4代帝豪</t>
  </si>
  <si>
    <t>李大平</t>
  </si>
  <si>
    <t>LSVGX46R4E2128435</t>
  </si>
  <si>
    <t>陕F1967K</t>
  </si>
  <si>
    <t>LB37852Z4SS262178</t>
  </si>
  <si>
    <t>辜玉容</t>
  </si>
  <si>
    <t>比亚迪牌</t>
  </si>
  <si>
    <t>LGXCG6CF9G0034382</t>
  </si>
  <si>
    <t>川CG7829</t>
  </si>
  <si>
    <t>LB37822Z1TB069339</t>
  </si>
  <si>
    <t>刘国华</t>
  </si>
  <si>
    <t>博越</t>
  </si>
  <si>
    <t>LB37852ZXRS075361</t>
  </si>
  <si>
    <t>川Q20G91</t>
  </si>
  <si>
    <t>LB37852D9TS072298</t>
  </si>
  <si>
    <t>刘显平</t>
  </si>
  <si>
    <t>大众波罗</t>
  </si>
  <si>
    <t>LSVFB66R8B2061100</t>
  </si>
  <si>
    <t>川AT8A78</t>
  </si>
  <si>
    <t>LB37852Z2TS063812</t>
  </si>
  <si>
    <t>王寿刚</t>
  </si>
  <si>
    <t>宝马5系</t>
  </si>
  <si>
    <t>LBV21AF08NS319206</t>
  </si>
  <si>
    <t>川A0C3B4</t>
  </si>
  <si>
    <t>LB37852Z9TS065234</t>
  </si>
  <si>
    <t>王小兰</t>
  </si>
  <si>
    <t>2015.11.25</t>
  </si>
  <si>
    <t>吉利美日牌</t>
  </si>
  <si>
    <t>L6T7824S1FN199345</t>
  </si>
  <si>
    <t>川A8K95T</t>
  </si>
  <si>
    <t>连志玮</t>
  </si>
  <si>
    <t>福克斯</t>
  </si>
  <si>
    <t>LVSHCFAE4CF255438</t>
  </si>
  <si>
    <t>贵AX8U17</t>
  </si>
  <si>
    <t>L6T7924Z4TD054442</t>
  </si>
  <si>
    <t>蒋凯</t>
  </si>
  <si>
    <t>1878414 0316</t>
  </si>
  <si>
    <t>LB37722Z2JA029759</t>
  </si>
  <si>
    <t>川Q988G6</t>
  </si>
  <si>
    <t>LB37822Z3TB046967</t>
  </si>
  <si>
    <t>L6T7722S2HN014857</t>
  </si>
  <si>
    <t>川A03G1Q</t>
  </si>
  <si>
    <t>李文英</t>
  </si>
  <si>
    <t>2015.06.23</t>
  </si>
  <si>
    <t>奇瑞</t>
  </si>
  <si>
    <t>LVVDC11B0EC088462</t>
  </si>
  <si>
    <t>川A5L0E0</t>
  </si>
  <si>
    <t>LB37822Z5TB022038</t>
  </si>
  <si>
    <t>徐能能</t>
  </si>
  <si>
    <t>L6T7824S3DN105656</t>
  </si>
  <si>
    <t>川GV0383</t>
  </si>
  <si>
    <t>LB37852Z2TS064748</t>
  </si>
  <si>
    <t>李龙兵</t>
  </si>
  <si>
    <t>雪佛兰</t>
  </si>
  <si>
    <t>LSGSA52S4BY073382</t>
  </si>
  <si>
    <t>川AG13B7</t>
  </si>
  <si>
    <t>LB37822Z1TB072662</t>
  </si>
  <si>
    <t>冯波</t>
  </si>
  <si>
    <t>福特嘉年华</t>
  </si>
  <si>
    <t>LVRFFFML8DN535655</t>
  </si>
  <si>
    <t>川AL46V3</t>
  </si>
  <si>
    <t>雪佛兰乐驰</t>
  </si>
  <si>
    <t>LSGSA52S9DD241821</t>
  </si>
  <si>
    <t>川AEB803</t>
  </si>
  <si>
    <t>蒋波</t>
  </si>
  <si>
    <t>2019.01.03</t>
  </si>
  <si>
    <t>五菱牌</t>
  </si>
  <si>
    <t>LZWADAGA6JE069404</t>
  </si>
  <si>
    <t>川A14W0Y</t>
  </si>
  <si>
    <t>L6T7924Z7TD045816</t>
  </si>
  <si>
    <t>唐炳文</t>
  </si>
  <si>
    <t>LJDFAA14480030451</t>
  </si>
  <si>
    <t>川G7PG70</t>
  </si>
  <si>
    <t>LB37852Z6SS299801</t>
  </si>
  <si>
    <t>颜挺</t>
  </si>
  <si>
    <t>LSYYBACAXAC069849</t>
  </si>
  <si>
    <t>川AN913V</t>
  </si>
  <si>
    <t>LB37852Z2SS242382</t>
  </si>
  <si>
    <t>珍珠</t>
  </si>
  <si>
    <t>五菱</t>
  </si>
  <si>
    <t>LZWADAGA4JC512449</t>
  </si>
  <si>
    <t>川VF1583</t>
  </si>
  <si>
    <t>LB37822Z1TB051102</t>
  </si>
  <si>
    <t>冯前军</t>
  </si>
  <si>
    <t>五菱面包车</t>
  </si>
  <si>
    <t>LZWACAGA8A7233923</t>
  </si>
  <si>
    <t>川A2AW03</t>
  </si>
  <si>
    <t>L6T7922Z2TY871694</t>
  </si>
  <si>
    <t>铃木天语</t>
  </si>
  <si>
    <t>LS5A3ABE2EB064477</t>
  </si>
  <si>
    <t>川AB08Y9</t>
  </si>
  <si>
    <t>余崇恩</t>
  </si>
  <si>
    <t>现代</t>
  </si>
  <si>
    <t>LBEXDAEB66X385757</t>
  </si>
  <si>
    <t>川U31889</t>
  </si>
  <si>
    <t>LB37852D4SS256921</t>
  </si>
  <si>
    <t>赵伟</t>
  </si>
  <si>
    <t>大众途观</t>
  </si>
  <si>
    <t>LSVXU25N9E2091684</t>
  </si>
  <si>
    <t>川A7Q18X</t>
  </si>
  <si>
    <t>陈诗富</t>
  </si>
  <si>
    <t>LSGSA52M5AY232913</t>
  </si>
  <si>
    <t>川C5T612</t>
  </si>
  <si>
    <t>LB37622Z7TX621239</t>
  </si>
  <si>
    <t>陈卓</t>
  </si>
  <si>
    <t>2016.05.26</t>
  </si>
  <si>
    <t>哈弗牌</t>
  </si>
  <si>
    <t>LGWED2A41GE012167</t>
  </si>
  <si>
    <t>川A52BH9</t>
  </si>
  <si>
    <t>LB37852Z5TS051928</t>
  </si>
  <si>
    <t>郭成</t>
  </si>
  <si>
    <t>本田</t>
  </si>
  <si>
    <t>LVHFB2546D6024533</t>
  </si>
  <si>
    <t>川AU024G</t>
  </si>
  <si>
    <t>LB37852Z8TS029230</t>
  </si>
  <si>
    <t>张建丽</t>
  </si>
  <si>
    <t>高尔夫牌</t>
  </si>
  <si>
    <t>LFV2B21K4D3550295</t>
  </si>
  <si>
    <t>川A564JL</t>
  </si>
  <si>
    <t>星越i-HEV</t>
  </si>
  <si>
    <t>刘志祥</t>
  </si>
  <si>
    <t>2017.06.26</t>
  </si>
  <si>
    <t>LS4ASJ2E8HA691170</t>
  </si>
  <si>
    <t>川UG6565</t>
  </si>
  <si>
    <t>LB37852Z1TS033958</t>
  </si>
  <si>
    <t>杨波</t>
  </si>
  <si>
    <t>北京现代</t>
  </si>
  <si>
    <t>LBEXDAEB78X652634</t>
  </si>
  <si>
    <t>川FC9565</t>
  </si>
  <si>
    <t>L6T7924Z6TD045810</t>
  </si>
  <si>
    <t>LSGSA52S1EY203168</t>
  </si>
  <si>
    <t>川R19FF3</t>
  </si>
  <si>
    <t>LSYYBACA6EC008794</t>
  </si>
  <si>
    <t>川A7K3J2</t>
  </si>
  <si>
    <t>何春兰</t>
  </si>
  <si>
    <t>2021.4.2</t>
  </si>
  <si>
    <t>帝豪</t>
  </si>
  <si>
    <t>LB37622Z4MX604254</t>
  </si>
  <si>
    <t>川F7J9X1</t>
  </si>
  <si>
    <t>L6T7924Z9TD045736</t>
  </si>
  <si>
    <t>北京牌</t>
  </si>
  <si>
    <t>LNBMDBAF3FU138026</t>
  </si>
  <si>
    <t>川A6F00Q</t>
  </si>
  <si>
    <t>曲卫鹏</t>
  </si>
  <si>
    <t>东风</t>
  </si>
  <si>
    <t>LDC953T3XD1760531</t>
  </si>
  <si>
    <t>川F5C3U5</t>
  </si>
  <si>
    <t>L6T7924Z6TD048710</t>
  </si>
  <si>
    <t>王胜</t>
  </si>
  <si>
    <t>2021.5.14</t>
  </si>
  <si>
    <t>LSJA36E64MZ123747</t>
  </si>
  <si>
    <t>川Z64B63</t>
  </si>
  <si>
    <t>L6T7924Z2TD059204</t>
  </si>
  <si>
    <t>李来亮</t>
  </si>
  <si>
    <t>2013.5.29</t>
  </si>
  <si>
    <t>起亚</t>
  </si>
  <si>
    <t>LJDLAA297D0229047</t>
  </si>
  <si>
    <t>川A8JV08</t>
  </si>
  <si>
    <t>LB37852ZXTS031920</t>
  </si>
  <si>
    <t>王文</t>
  </si>
  <si>
    <t>2014.7.30</t>
  </si>
  <si>
    <t>LS4AAB3R5EG153903</t>
  </si>
  <si>
    <t>川AT79W7</t>
  </si>
  <si>
    <t>L6T7922Z3TY871848</t>
  </si>
  <si>
    <t>段正常</t>
  </si>
  <si>
    <t>LS5A2ABR4DH017338</t>
  </si>
  <si>
    <t>川川LC6K19</t>
  </si>
  <si>
    <t>LB37822Z7TB050858</t>
  </si>
  <si>
    <t>LS5A2BBR4FH035184</t>
  </si>
  <si>
    <t>川A3K2T9</t>
  </si>
  <si>
    <t>刘强</t>
  </si>
  <si>
    <t>LB37622Z4KX637655</t>
  </si>
  <si>
    <t>粤E523LQ</t>
  </si>
  <si>
    <t>LB37852Z4TS065223</t>
  </si>
  <si>
    <t>2017.07.14</t>
  </si>
  <si>
    <t>比亚迪</t>
  </si>
  <si>
    <t>LGXC14DF9H0091493</t>
  </si>
  <si>
    <t>川A65T1D</t>
  </si>
  <si>
    <t>四郎志玛</t>
  </si>
  <si>
    <t>黄海皮卡</t>
  </si>
  <si>
    <t>LDDC8A305J0002584</t>
  </si>
  <si>
    <t>川VL5757</t>
  </si>
  <si>
    <t>星瑞(2.0T)</t>
  </si>
  <si>
    <t>L6T7954Z7TD023753</t>
  </si>
  <si>
    <t>冯二毛</t>
  </si>
  <si>
    <t>吉利全球鹰</t>
  </si>
  <si>
    <t>LB37122Z5AH019168</t>
  </si>
  <si>
    <t>川A423V4</t>
  </si>
  <si>
    <t>LB37852ZXTS033960</t>
  </si>
  <si>
    <t>罗兵</t>
  </si>
  <si>
    <t>2015.09.28</t>
  </si>
  <si>
    <t>标志</t>
  </si>
  <si>
    <t>LDC953T2XF1272111</t>
  </si>
  <si>
    <t>川A2A65D</t>
  </si>
  <si>
    <t>蒋涛</t>
  </si>
  <si>
    <t>马自达</t>
  </si>
  <si>
    <t>LVRHDFML0HN024798</t>
  </si>
  <si>
    <t>川MAJ826</t>
  </si>
  <si>
    <t>L6T7924Z2TD050339</t>
  </si>
  <si>
    <t>张德友</t>
  </si>
  <si>
    <t>长安逸动</t>
  </si>
  <si>
    <t>LS5A2ABE4FA026842</t>
  </si>
  <si>
    <t>川ZFM19</t>
  </si>
  <si>
    <t>LB37852Z6SS290631</t>
  </si>
  <si>
    <t>汪璐</t>
  </si>
  <si>
    <t>日产</t>
  </si>
  <si>
    <t>LGBH52E08HY295072</t>
  </si>
  <si>
    <t>川GB9K22</t>
  </si>
  <si>
    <t>LB37822Z0TB052029</t>
  </si>
  <si>
    <t>2017.08.15</t>
  </si>
  <si>
    <t>LS5A33FE2HB329599</t>
  </si>
  <si>
    <t>川R6W522</t>
  </si>
  <si>
    <t>魏天平</t>
  </si>
  <si>
    <t>2021.10.28</t>
  </si>
  <si>
    <t>LB37622Z1MX731740</t>
  </si>
  <si>
    <t>川AL5156</t>
  </si>
  <si>
    <t>L6T78XCZ5TY782006</t>
  </si>
  <si>
    <t>东风标致牌</t>
  </si>
  <si>
    <t>LDC931L23A0151557</t>
  </si>
  <si>
    <t>川A3M59P</t>
  </si>
  <si>
    <t>吴晓娟</t>
  </si>
  <si>
    <t>LS5A2ABE7FA068518</t>
  </si>
  <si>
    <t>川A6X5M4</t>
  </si>
  <si>
    <t>星越L(智擎)</t>
  </si>
  <si>
    <t>宋霞</t>
  </si>
  <si>
    <t>LSGJB84J3EY051375</t>
  </si>
  <si>
    <t>川A7QT62</t>
  </si>
  <si>
    <t>LB37852D2TS069484</t>
  </si>
  <si>
    <t>王玉</t>
  </si>
  <si>
    <t>2012.6.14</t>
  </si>
  <si>
    <t>LSGSA52S6CY295116</t>
  </si>
  <si>
    <t>川GLP521</t>
  </si>
  <si>
    <t>L6T7954Z9TD032759</t>
  </si>
  <si>
    <t>尹秀珍</t>
  </si>
  <si>
    <t>LDC633T20F3294776</t>
  </si>
  <si>
    <t>川AL606B</t>
  </si>
  <si>
    <t>LB37852Z0TS057457</t>
  </si>
  <si>
    <t>廖容</t>
  </si>
  <si>
    <t>L6T7824S7FN010553</t>
  </si>
  <si>
    <t>川GY5E77</t>
  </si>
  <si>
    <t>L6T7924Z2TD010052</t>
  </si>
  <si>
    <t>陈涛</t>
  </si>
  <si>
    <t>L6T7824S0HN078079</t>
  </si>
  <si>
    <t>川Y7J761</t>
  </si>
  <si>
    <t>慧生</t>
  </si>
  <si>
    <t>L6T7924Z2TD050406</t>
  </si>
  <si>
    <t>杨华猛</t>
  </si>
  <si>
    <t>大众朗逸</t>
  </si>
  <si>
    <t>LSVAH2184B2318320</t>
  </si>
  <si>
    <t>川A3G75Q</t>
  </si>
  <si>
    <t>5代帝豪1.5L</t>
  </si>
  <si>
    <t>LB37824ZXTG035433</t>
  </si>
  <si>
    <t>黄俊芳</t>
  </si>
  <si>
    <t>LB37824Z1NG149985</t>
  </si>
  <si>
    <t>川G0BG50</t>
  </si>
  <si>
    <t>L6T7924Z6TD056032</t>
  </si>
  <si>
    <t>135 4005 9461</t>
  </si>
  <si>
    <t>L6T7824S1JN043511</t>
  </si>
  <si>
    <t>川A85E80</t>
  </si>
  <si>
    <t>鑫源牌</t>
  </si>
  <si>
    <t>LM6AFABDXMX325730</t>
  </si>
  <si>
    <t>川A37Z1F</t>
  </si>
  <si>
    <t>潘志建</t>
  </si>
  <si>
    <t>纳智捷</t>
  </si>
  <si>
    <t>LUXC71H02GB099402</t>
  </si>
  <si>
    <t>川Z0BE36</t>
  </si>
  <si>
    <t>L6T7924Z2TD050437</t>
  </si>
  <si>
    <t>袁霄庆</t>
  </si>
  <si>
    <t>137 3066 6165</t>
  </si>
  <si>
    <t>2012.1.18</t>
  </si>
  <si>
    <t>LSVFC26R8B2723134</t>
  </si>
  <si>
    <t>川A EF300</t>
  </si>
  <si>
    <t>LB37822Z0TB072670</t>
  </si>
  <si>
    <t>成都咚林怡涛商贸部</t>
  </si>
  <si>
    <t xml:space="preserve"> 名爵牌</t>
  </si>
  <si>
    <t>LSJZ14E64FS064501</t>
  </si>
  <si>
    <t>川AK683X</t>
  </si>
  <si>
    <t>董林涛</t>
  </si>
  <si>
    <t>LB37852Z4TS031606</t>
  </si>
  <si>
    <t>杨敏</t>
  </si>
  <si>
    <t>雪佛兰赛欧</t>
  </si>
  <si>
    <t>LSGSA52M6CY191744</t>
  </si>
  <si>
    <t>川G5F3Z5</t>
  </si>
  <si>
    <t>星越L HEV</t>
  </si>
  <si>
    <t>张志</t>
  </si>
  <si>
    <t>荣威牌</t>
  </si>
  <si>
    <t>LLSJA16E33BG039519</t>
  </si>
  <si>
    <t>川A0E5X3</t>
  </si>
  <si>
    <t>刘刚</t>
  </si>
  <si>
    <t>2017.01.12</t>
  </si>
  <si>
    <t>LB37742ZXGB035856</t>
  </si>
  <si>
    <t>川A 7C7X3</t>
  </si>
  <si>
    <t>李月华</t>
  </si>
  <si>
    <t>雪铁龙</t>
  </si>
  <si>
    <t>LDCC41L3X90096578</t>
  </si>
  <si>
    <t>川 G E13U6</t>
  </si>
  <si>
    <t>LB37852Z1TS067219</t>
  </si>
  <si>
    <t>帝豪HiF</t>
  </si>
  <si>
    <t>LB3784EZ5NH055385</t>
  </si>
  <si>
    <t>川AFJ2650</t>
  </si>
  <si>
    <t>5代帝豪1.5TD</t>
  </si>
  <si>
    <t>陈堂华</t>
  </si>
  <si>
    <t>LSGJA52H9ES007501</t>
  </si>
  <si>
    <t>川ZDL529</t>
  </si>
  <si>
    <t>LB37852Z9TS028135</t>
  </si>
  <si>
    <t>李全勇</t>
  </si>
  <si>
    <t>LBERCADB8FX883388</t>
  </si>
  <si>
    <t>川A6L2M1</t>
  </si>
  <si>
    <t>LB37822Z8TB066633</t>
  </si>
  <si>
    <t>陈均</t>
  </si>
  <si>
    <t>波罗牌</t>
  </si>
  <si>
    <t>LSVGR29J4A2023117</t>
  </si>
  <si>
    <t>川A5JM15</t>
  </si>
  <si>
    <t>5代帝豪</t>
  </si>
  <si>
    <t>LS4AAB3D2FA556164</t>
  </si>
  <si>
    <t>川A5U0A8</t>
  </si>
  <si>
    <t>彭小军</t>
  </si>
  <si>
    <t>斯柯达</t>
  </si>
  <si>
    <t>LSVNX41Z0B2715483</t>
  </si>
  <si>
    <t>川J0J168</t>
  </si>
  <si>
    <t>LB37852Z8TS025906</t>
  </si>
  <si>
    <t>2012.7.11</t>
  </si>
  <si>
    <t>马自达牌</t>
  </si>
  <si>
    <t>LFPM4ACC0C1A13009</t>
  </si>
  <si>
    <t>川G1N443</t>
  </si>
  <si>
    <t>袁发辉</t>
  </si>
  <si>
    <t>大众汽车牌</t>
  </si>
  <si>
    <t>LSVFK46RXC2102946</t>
  </si>
  <si>
    <t>川A6AM62</t>
  </si>
  <si>
    <t>LB37852ZXTS067218</t>
  </si>
  <si>
    <t>彭春</t>
  </si>
  <si>
    <t>LSGWS52X79S037760</t>
  </si>
  <si>
    <t>川Q915S5</t>
  </si>
  <si>
    <t>L6T7924Z5TD052215</t>
  </si>
  <si>
    <t>谢志军</t>
  </si>
  <si>
    <t>2018.2.1</t>
  </si>
  <si>
    <t>LB37624S5HL094655</t>
  </si>
  <si>
    <t>川AU4N95</t>
  </si>
  <si>
    <t>LJDLAA29XD0264634</t>
  </si>
  <si>
    <t>川A0PC21</t>
  </si>
  <si>
    <t>粟苋殊</t>
  </si>
  <si>
    <t>LB37824Z4NG160656</t>
  </si>
  <si>
    <t>川IGF07Y9</t>
  </si>
  <si>
    <t>LB37852Z5TS065263</t>
  </si>
  <si>
    <t>徐小琴</t>
  </si>
  <si>
    <t>LBERCACB6BX105845</t>
  </si>
  <si>
    <t>川A786DK</t>
  </si>
  <si>
    <t>龙斌</t>
  </si>
  <si>
    <t>2016.03.30</t>
  </si>
  <si>
    <t>江淮牌</t>
  </si>
  <si>
    <t>LJ12EKR29G4751803</t>
  </si>
  <si>
    <t>川A98EM6</t>
  </si>
  <si>
    <t>LB37822Z0TB071499</t>
  </si>
  <si>
    <t>邓峰</t>
  </si>
  <si>
    <t xml:space="preserve">2018.07.04 </t>
  </si>
  <si>
    <t>LSVWT2187J2127185</t>
  </si>
  <si>
    <t>川G54144</t>
  </si>
  <si>
    <t>L6T7954Z1SD141666</t>
  </si>
  <si>
    <t>138 8092 7112</t>
  </si>
  <si>
    <t>2019.1.3</t>
  </si>
  <si>
    <t>LB37824S6JH129352</t>
  </si>
  <si>
    <t>川A72HD1</t>
  </si>
  <si>
    <t>倪钢</t>
  </si>
  <si>
    <t>2012.2.20</t>
  </si>
  <si>
    <t>LBELMBKB5CY171910</t>
  </si>
  <si>
    <t>川KK2996</t>
  </si>
  <si>
    <t>路路顺通</t>
  </si>
  <si>
    <t>LB37852D4TS070295</t>
  </si>
  <si>
    <t>旧车5月交付</t>
  </si>
  <si>
    <t>邵文强</t>
  </si>
  <si>
    <t>帝豪GS</t>
  </si>
  <si>
    <t>LB37712Z9HH084043</t>
  </si>
  <si>
    <t>川A4K3Q2</t>
  </si>
  <si>
    <t>LB37852Z6TS057446</t>
  </si>
  <si>
    <t>范敏</t>
  </si>
  <si>
    <t>LVRHDFALXFN383531</t>
  </si>
  <si>
    <t>川A9Y9K6</t>
  </si>
  <si>
    <t>L6T7924Z3TD056022</t>
  </si>
  <si>
    <t>朱光莉</t>
  </si>
  <si>
    <t>LB37622ZXNX715019</t>
  </si>
  <si>
    <t>川G8CT59</t>
  </si>
  <si>
    <t>L6T7954Z0TD061051</t>
  </si>
  <si>
    <t>标志308</t>
  </si>
  <si>
    <t>LDC633T28E3104382</t>
  </si>
  <si>
    <t>LB37822ZXTB078914</t>
  </si>
  <si>
    <t>王凤</t>
  </si>
  <si>
    <t>LH17CKJF6BH342139</t>
  </si>
  <si>
    <t>川A676ZE</t>
  </si>
  <si>
    <t>LB37822Z9TB052143</t>
  </si>
  <si>
    <t>徐刚</t>
  </si>
  <si>
    <t>LS5A2ABE8GA076130</t>
  </si>
  <si>
    <t>川A8560P</t>
  </si>
  <si>
    <t>LB37822Z6TB045134</t>
  </si>
  <si>
    <t>LBERCADB8GX032788</t>
  </si>
  <si>
    <t>川GW1X92</t>
  </si>
  <si>
    <t>宋建</t>
  </si>
  <si>
    <t>2015.12.31</t>
  </si>
  <si>
    <t>L6T7824S7FN212194</t>
  </si>
  <si>
    <t>川A8E15H</t>
  </si>
  <si>
    <t>L6T7924Z1TD024203</t>
  </si>
  <si>
    <t>甘雨雪</t>
  </si>
  <si>
    <t xml:space="preserve"> 海马</t>
  </si>
  <si>
    <t>LH17CKKF7CH219305</t>
  </si>
  <si>
    <t>川Q812KZ</t>
  </si>
  <si>
    <t>LB37722Z2TX319712</t>
  </si>
  <si>
    <t>LSGPC52H5GF012601</t>
  </si>
  <si>
    <t>川A39SP6</t>
  </si>
  <si>
    <t xml:space="preserve"> 大众牌</t>
  </si>
  <si>
    <t>LFV2B2A14N5412866</t>
  </si>
  <si>
    <t>川GD6B56</t>
  </si>
  <si>
    <t>蒋进</t>
  </si>
  <si>
    <t>L6T7854Z5PD011643</t>
  </si>
  <si>
    <t>苏UL395B</t>
  </si>
  <si>
    <t>L6T7924Z2TD055721</t>
  </si>
  <si>
    <t>LZWADAGA6E8156904</t>
  </si>
  <si>
    <t>川A38FD7</t>
  </si>
  <si>
    <t>LB37822Z3TB017095</t>
  </si>
  <si>
    <t>LDC953T27E1336816</t>
  </si>
  <si>
    <t>川G9YG81</t>
  </si>
  <si>
    <t>陈琴</t>
  </si>
  <si>
    <t>吉利远景X6</t>
  </si>
  <si>
    <t>LB37742S7GC309284</t>
  </si>
  <si>
    <t>川A702K5</t>
  </si>
  <si>
    <t>周春霞</t>
  </si>
  <si>
    <t>福特牌</t>
  </si>
  <si>
    <t>LVSHFAALIAN087270</t>
  </si>
  <si>
    <t>川A02R8C</t>
  </si>
  <si>
    <t>李雪</t>
  </si>
  <si>
    <t>2025.07.26</t>
  </si>
  <si>
    <t>LDC703L2190114840</t>
  </si>
  <si>
    <t>川G2E2Y7</t>
  </si>
  <si>
    <t>张恒辉</t>
  </si>
  <si>
    <t>现代图胜</t>
  </si>
  <si>
    <t>LBEJMBJB1BX270480</t>
  </si>
  <si>
    <t>川MR6666</t>
  </si>
  <si>
    <t>LB37852Z0TS067034</t>
  </si>
  <si>
    <t>LBERCACB7BX156965</t>
  </si>
  <si>
    <t>川A714GM</t>
  </si>
  <si>
    <t>唐海</t>
  </si>
  <si>
    <t>L837724S2GX052304</t>
  </si>
  <si>
    <t>川A67TH6</t>
  </si>
  <si>
    <t>LB37822Z1TB017130</t>
  </si>
  <si>
    <t>2012.06.08</t>
  </si>
  <si>
    <t>LJDJAA148C0096827</t>
  </si>
  <si>
    <t>川A0G9J6</t>
  </si>
  <si>
    <t>罗体顺</t>
  </si>
  <si>
    <t>LS5A3DBE0GA060518</t>
  </si>
  <si>
    <t>川QKB928</t>
  </si>
  <si>
    <t>LB37852Z3TS057596</t>
  </si>
  <si>
    <t>胡海艳</t>
  </si>
  <si>
    <t>吉普牌</t>
  </si>
  <si>
    <t>LWVDA2041KB084052</t>
  </si>
  <si>
    <t>川JF5067</t>
  </si>
  <si>
    <t>L6T7924Z4TD055767</t>
  </si>
  <si>
    <t>邓春梅</t>
  </si>
  <si>
    <t>2024.03.30</t>
  </si>
  <si>
    <t>LS5A2ABE7HA019077</t>
  </si>
  <si>
    <t>川GGL178</t>
  </si>
  <si>
    <t>LB37822Z1TB023347</t>
  </si>
  <si>
    <t>东风标致207</t>
  </si>
  <si>
    <t>LDC611P2XC1291279</t>
  </si>
  <si>
    <t>川A4W57D</t>
  </si>
  <si>
    <t>谢金龙</t>
  </si>
  <si>
    <t>LBERCACBIFX892208</t>
  </si>
  <si>
    <t>川GV6W00</t>
  </si>
  <si>
    <t>L6T7924Z4TD055977</t>
  </si>
  <si>
    <t>雷科</t>
  </si>
  <si>
    <t>LDC633T20F3476879</t>
  </si>
  <si>
    <t>川A6Z13H</t>
  </si>
  <si>
    <t>LB37722Z3TX307696</t>
  </si>
  <si>
    <t>刘鑫荣</t>
  </si>
  <si>
    <t>L6T7854Z6P0033456</t>
  </si>
  <si>
    <t>川Q6592B</t>
  </si>
  <si>
    <t>L6T7924Z3TD052732</t>
  </si>
  <si>
    <t>LSVFB26R3C2093270</t>
  </si>
  <si>
    <t>川A1CF51</t>
  </si>
  <si>
    <t>LB37852Z8SS299847</t>
  </si>
  <si>
    <t>张栋良</t>
  </si>
  <si>
    <t>LB37824S5EX0396315</t>
  </si>
  <si>
    <t>川GPY021</t>
  </si>
  <si>
    <t>熊猫好车</t>
  </si>
  <si>
    <t>LB37852Z0TS057555</t>
  </si>
  <si>
    <t>卢玉容</t>
  </si>
  <si>
    <t>LFV2B21KXA3211259</t>
  </si>
  <si>
    <t>川GF7340</t>
  </si>
  <si>
    <t>陈凯</t>
  </si>
  <si>
    <t>LDC953T2XE1068469</t>
  </si>
  <si>
    <t>川AJ2Q68</t>
  </si>
  <si>
    <t>LB37722Z0TX319112</t>
  </si>
  <si>
    <t>王用红</t>
  </si>
  <si>
    <t>LVVDB11B1GD252561</t>
  </si>
  <si>
    <t>川KMK973</t>
  </si>
  <si>
    <t>L6T7954Z6TD054394</t>
  </si>
  <si>
    <t>李德霞</t>
  </si>
  <si>
    <t>LSJW26H38AS043821</t>
  </si>
  <si>
    <t>川AX619W</t>
  </si>
  <si>
    <t>宋春艳</t>
  </si>
  <si>
    <t>LB37724SXEX103398</t>
  </si>
  <si>
    <t>川LVF813</t>
  </si>
  <si>
    <t>L6T7924Z1TD054852</t>
  </si>
  <si>
    <t>贾勇</t>
  </si>
  <si>
    <t>189 8216 1645</t>
  </si>
  <si>
    <t>2021.9.1</t>
  </si>
  <si>
    <t>L6T7854Z8MD054000</t>
  </si>
  <si>
    <t>川A6EA28</t>
  </si>
  <si>
    <t>LZWACAGA3C2131784</t>
  </si>
  <si>
    <t>川GVW991</t>
  </si>
  <si>
    <t>LB37822Z4TB021026</t>
  </si>
  <si>
    <t>L6T7824S4NW007473</t>
  </si>
  <si>
    <t>川B6V192</t>
  </si>
  <si>
    <t>2015.07.02</t>
  </si>
  <si>
    <t>LSVG026R9F2081980</t>
  </si>
  <si>
    <t>川AF22G7</t>
  </si>
  <si>
    <t>黄珍璐</t>
  </si>
  <si>
    <t>LGBL2AE3DS198694</t>
  </si>
  <si>
    <t>川A36H511</t>
  </si>
  <si>
    <t>LB37852Z7TS067225</t>
  </si>
  <si>
    <t>周贵兰</t>
  </si>
  <si>
    <t>LVVDC11B1ED071793</t>
  </si>
  <si>
    <t>川A82Y60</t>
  </si>
  <si>
    <t>LB37852Z4TS017561</t>
  </si>
  <si>
    <t>谭仕杰</t>
  </si>
  <si>
    <t>LB37522Z0JL120264</t>
  </si>
  <si>
    <t>川A60W4J</t>
  </si>
  <si>
    <t>LB37852Z4TS067246</t>
  </si>
  <si>
    <t>冯文刚</t>
  </si>
  <si>
    <t>LSGPC52H9FF165481</t>
  </si>
  <si>
    <t>川AH53D7</t>
  </si>
  <si>
    <t>星瑞i-HEV</t>
  </si>
  <si>
    <t>高虎</t>
  </si>
  <si>
    <t>长城牌</t>
  </si>
  <si>
    <t>LGWED2A31DE026945</t>
  </si>
  <si>
    <t>川W907KW</t>
  </si>
  <si>
    <t>LB37822Z2TB051092</t>
  </si>
  <si>
    <t>罗海</t>
  </si>
  <si>
    <t>2015.03.03</t>
  </si>
  <si>
    <t>哈弗H1</t>
  </si>
  <si>
    <t>LGWED2A4XEE015694</t>
  </si>
  <si>
    <t>川TX1996</t>
  </si>
  <si>
    <t>LB37852Z4TS057560</t>
  </si>
  <si>
    <t>刘思毅</t>
  </si>
  <si>
    <t>2022.01.04</t>
  </si>
  <si>
    <t>L6T7854Z8MD089555</t>
  </si>
  <si>
    <t>川GX0S69</t>
  </si>
  <si>
    <t>L6T7954Z1TD020489</t>
  </si>
  <si>
    <t>李香花</t>
  </si>
  <si>
    <t>2019.6.17</t>
  </si>
  <si>
    <t>LS5A2ABR4KD004707</t>
  </si>
  <si>
    <t>川A84WU1</t>
  </si>
  <si>
    <t>LB37822Z1TB071477</t>
  </si>
  <si>
    <t>彭旭</t>
  </si>
  <si>
    <t>奔驰GlA200</t>
  </si>
  <si>
    <t>LE4TG4DB0GL070371</t>
  </si>
  <si>
    <t>川Z9015S</t>
  </si>
  <si>
    <t>LB37852Z4SS233800</t>
  </si>
  <si>
    <t>陈俊明</t>
  </si>
  <si>
    <t>LBELFAFC4FY036560</t>
  </si>
  <si>
    <t>川AMN839</t>
  </si>
  <si>
    <t>LB37852Z1SS238954</t>
  </si>
  <si>
    <t>张中军</t>
  </si>
  <si>
    <t>大众途安</t>
  </si>
  <si>
    <t>LSVRR21T0A2551095</t>
  </si>
  <si>
    <t>川A9L630</t>
  </si>
  <si>
    <t>LB37822Z1TB066148</t>
  </si>
  <si>
    <t>韩强</t>
  </si>
  <si>
    <t>LB37624S8FL032518</t>
  </si>
  <si>
    <t>川B2B298</t>
  </si>
  <si>
    <t>LB37822Z7TB066154</t>
  </si>
  <si>
    <t>罗万平</t>
  </si>
  <si>
    <t>LGWEF4A55GF262830</t>
  </si>
  <si>
    <t>川TJY271</t>
  </si>
  <si>
    <t>LB37822Z9TB020468</t>
  </si>
  <si>
    <t>赵波</t>
  </si>
  <si>
    <t>LGWEF4A52FF052331</t>
  </si>
  <si>
    <t>川A0F5P2</t>
  </si>
  <si>
    <t>LB37822Z9TB070982</t>
  </si>
  <si>
    <t>杨建伟</t>
  </si>
  <si>
    <t>LS5A3ABR7EA108613</t>
  </si>
  <si>
    <t>川A453BZ</t>
  </si>
  <si>
    <t>L6T7924Z1TD010009</t>
  </si>
  <si>
    <t>赖俊</t>
  </si>
  <si>
    <t>LFV2A5BSXJ4724654</t>
  </si>
  <si>
    <t>川GCH179</t>
  </si>
  <si>
    <t>LB37822Z9TB017117</t>
  </si>
  <si>
    <t>兰强</t>
  </si>
  <si>
    <t>LSGJM82J3FY180487</t>
  </si>
  <si>
    <t>川A2Q3V7</t>
  </si>
  <si>
    <t>LB37852Z0TS017573</t>
  </si>
  <si>
    <t>刘光才</t>
  </si>
  <si>
    <t>LB37624S0GL053400</t>
  </si>
  <si>
    <t>川A8W8D5</t>
  </si>
  <si>
    <t>李思宇</t>
  </si>
  <si>
    <t>LGXC16CF9F0178434</t>
  </si>
  <si>
    <t>川AV36S0</t>
  </si>
  <si>
    <t>LB37822Z4TB045181</t>
  </si>
  <si>
    <t>LSJW56U63JG141357</t>
  </si>
  <si>
    <t>川A5318H</t>
  </si>
  <si>
    <t>潘首宇</t>
  </si>
  <si>
    <t>吉利帝豪</t>
  </si>
  <si>
    <t>L6T7824Z0JN085648</t>
  </si>
  <si>
    <t>川S0Q010</t>
  </si>
  <si>
    <t>LB37852Z6TS063120</t>
  </si>
  <si>
    <t>LJDLAA125D0022029</t>
  </si>
  <si>
    <t>川 GB033F</t>
  </si>
  <si>
    <t>孟银花</t>
  </si>
  <si>
    <t>L6T7824S5JN023388</t>
  </si>
  <si>
    <t>川AX754J</t>
  </si>
  <si>
    <t>L6T7924Z4TD055770</t>
  </si>
  <si>
    <t>黄桂兰</t>
  </si>
  <si>
    <t>LGXC76C32J0025553</t>
  </si>
  <si>
    <t>川AF19057</t>
  </si>
  <si>
    <t>LB37852Z5TS057602</t>
  </si>
  <si>
    <t>陈泽伟</t>
  </si>
  <si>
    <t>LSVGR49J792053204</t>
  </si>
  <si>
    <t>川AW6002</t>
  </si>
  <si>
    <t>李中华</t>
  </si>
  <si>
    <t>LS4ASB3R9FA672549</t>
  </si>
  <si>
    <t>川Y87J38</t>
  </si>
  <si>
    <t>LB37824Z0TG033206</t>
  </si>
  <si>
    <t>郑仕川</t>
  </si>
  <si>
    <t>LB37724S3FX029516</t>
  </si>
  <si>
    <t>川A1N1A5</t>
  </si>
  <si>
    <t>LB37852Z6SS238917</t>
  </si>
  <si>
    <t>收售</t>
  </si>
  <si>
    <t>吴志琴</t>
  </si>
  <si>
    <t>LSGLP84X3HF046501</t>
  </si>
  <si>
    <t>川[A9U397</t>
  </si>
  <si>
    <t>几何星瑞网销</t>
  </si>
  <si>
    <t>杜全尧</t>
  </si>
  <si>
    <t>董旭磊</t>
  </si>
  <si>
    <t>新甲壳虫</t>
  </si>
  <si>
    <t>WVWHP59C2AM003324</t>
  </si>
  <si>
    <t>川A007PL</t>
  </si>
  <si>
    <t>张藜仁</t>
  </si>
  <si>
    <t>徐静</t>
  </si>
  <si>
    <t>君威</t>
  </si>
  <si>
    <t>LSGZR53L3JH011999</t>
  </si>
  <si>
    <t>川A1F44Y</t>
  </si>
  <si>
    <t>LB3781NZ6SH153450</t>
  </si>
  <si>
    <t>几何精锐网销</t>
  </si>
  <si>
    <t>刘正春</t>
  </si>
  <si>
    <t>王天鑫</t>
  </si>
  <si>
    <t>L106D2A52C1004229</t>
  </si>
  <si>
    <t>陕AN6X37</t>
  </si>
  <si>
    <t>星耀8</t>
  </si>
  <si>
    <t>L6T791RZ5TV082358</t>
  </si>
  <si>
    <t>王吴超</t>
  </si>
  <si>
    <t>罗臣</t>
  </si>
  <si>
    <t>吉利牌HQ6453D20</t>
  </si>
  <si>
    <t>LB37742ZXMB061174</t>
  </si>
  <si>
    <t>川R88FX8</t>
  </si>
  <si>
    <t>L6T791RZ2TV087940</t>
  </si>
  <si>
    <t>周宇杰</t>
  </si>
  <si>
    <t>LJDYAA199H0027873</t>
  </si>
  <si>
    <t>川A61RU4</t>
  </si>
  <si>
    <t>星愿</t>
  </si>
  <si>
    <t>L6T75LNN1TF363903</t>
  </si>
  <si>
    <t>罗亮</t>
  </si>
  <si>
    <t>张荣</t>
  </si>
  <si>
    <t>雨燕</t>
  </si>
  <si>
    <t>LS5W3ABR5AB125680</t>
  </si>
  <si>
    <t>川AA4A04</t>
  </si>
  <si>
    <t>L6T75LNN4TF352801</t>
  </si>
  <si>
    <t>李海洋</t>
  </si>
  <si>
    <t>王建学</t>
  </si>
  <si>
    <t>轩逸</t>
  </si>
  <si>
    <t>LGBH52E09HY251890</t>
  </si>
  <si>
    <t>川A20Q9B</t>
  </si>
  <si>
    <t>L6T75MNNXTF365073</t>
  </si>
  <si>
    <t>几何星瑞新媒体</t>
  </si>
  <si>
    <t>张金源</t>
  </si>
  <si>
    <t>银伟祁</t>
  </si>
  <si>
    <t>LS4ASL2E4KG189076</t>
  </si>
  <si>
    <t>川A6H6C9</t>
  </si>
  <si>
    <t>LB370ADN4TJ103727</t>
  </si>
  <si>
    <t>张仕良</t>
  </si>
  <si>
    <t>袁晓玲</t>
  </si>
  <si>
    <t>2012.06.25</t>
  </si>
  <si>
    <t>标致308</t>
  </si>
  <si>
    <t>LDC953L25C1146816</t>
  </si>
  <si>
    <t>川ADJ380</t>
  </si>
  <si>
    <t>L6T75MNN1TF344077</t>
  </si>
  <si>
    <t>王磊</t>
  </si>
  <si>
    <t>2014.02.26</t>
  </si>
  <si>
    <t>标志408</t>
  </si>
  <si>
    <t>LDC943X49D1579619</t>
  </si>
  <si>
    <t>川A7A408</t>
  </si>
  <si>
    <t>L6T75LNN3TF362493</t>
  </si>
  <si>
    <t>郭智铭</t>
  </si>
  <si>
    <t>徐知友</t>
  </si>
  <si>
    <t>江淮汽车S3</t>
  </si>
  <si>
    <t>LJ12EKR20G4909929</t>
  </si>
  <si>
    <t>川ZSA724</t>
  </si>
  <si>
    <t>星舰7</t>
  </si>
  <si>
    <t>LB3781NZ5SH143640</t>
  </si>
  <si>
    <t>程媛</t>
  </si>
  <si>
    <t>LK6ADCE16MG530331</t>
  </si>
  <si>
    <t>川ADE1196</t>
  </si>
  <si>
    <t>L6T75MNN2TF347425</t>
  </si>
  <si>
    <t>李菊才</t>
  </si>
  <si>
    <t>L6T7824Z0KN024060</t>
  </si>
  <si>
    <t>川AW941V</t>
  </si>
  <si>
    <t>L6T75MNN4TF367210</t>
  </si>
  <si>
    <t>王培尧</t>
  </si>
  <si>
    <t>黄国军</t>
  </si>
  <si>
    <t>北汽X35</t>
  </si>
  <si>
    <t>LNBSCUAK2GF541178</t>
  </si>
  <si>
    <t>川RA439B</t>
  </si>
  <si>
    <t>L6T75LNN4TF367038</t>
  </si>
  <si>
    <t>几何星瑞展厅</t>
  </si>
  <si>
    <t>2015.1.20</t>
  </si>
  <si>
    <t>雷诺牌</t>
  </si>
  <si>
    <t>VF1VYRJ9EC536753</t>
  </si>
  <si>
    <t>鲁K4A628</t>
  </si>
  <si>
    <t>LB3781NZXTB039441</t>
  </si>
  <si>
    <t>银河超市展厅</t>
  </si>
  <si>
    <t>吴善角</t>
  </si>
  <si>
    <t>杜波</t>
  </si>
  <si>
    <t>大众迈特威</t>
  </si>
  <si>
    <t>WV2D887H9JH080407</t>
  </si>
  <si>
    <t>川A09U7F</t>
  </si>
  <si>
    <t>L6T79BAZ9TK600359</t>
  </si>
  <si>
    <t>银河西物展厅</t>
  </si>
  <si>
    <t>廖潇</t>
  </si>
  <si>
    <t>张奎</t>
  </si>
  <si>
    <t>2011.12.22</t>
  </si>
  <si>
    <t>LJDGAA221B0253944</t>
  </si>
  <si>
    <t>川GCP907</t>
  </si>
  <si>
    <t>LB3781NZ5TB047026</t>
  </si>
  <si>
    <t>银河超市网销</t>
  </si>
  <si>
    <t>蒋志强</t>
  </si>
  <si>
    <t>李智雄</t>
  </si>
  <si>
    <t>2016.4.25</t>
  </si>
  <si>
    <t>LFV2B15G965034782</t>
  </si>
  <si>
    <t>川A1Z10X</t>
  </si>
  <si>
    <t>LB3781NZ2TB049008</t>
  </si>
  <si>
    <t>王炟丹</t>
  </si>
  <si>
    <t>2013.12.23</t>
  </si>
  <si>
    <t>LDC953T33D1685378</t>
  </si>
  <si>
    <t>川AME632</t>
  </si>
  <si>
    <t>银河A7</t>
  </si>
  <si>
    <t>L6T791RZ1SY219079</t>
  </si>
  <si>
    <t>陈良清</t>
  </si>
  <si>
    <t>哈佛</t>
  </si>
  <si>
    <t>LGWEF4A56EF218915</t>
  </si>
  <si>
    <t>川AW79H3</t>
  </si>
  <si>
    <t>成都和信汇</t>
  </si>
  <si>
    <t>L6T79BAZ0TK600380</t>
  </si>
  <si>
    <t>杨涛</t>
  </si>
  <si>
    <t>LB3752CW2NA303364</t>
  </si>
  <si>
    <t>川BD86290</t>
  </si>
  <si>
    <t>LB3781NZ1TB050991</t>
  </si>
  <si>
    <t>银河西物网销</t>
  </si>
  <si>
    <t>刘建容</t>
  </si>
  <si>
    <t>宋冬梅</t>
  </si>
  <si>
    <t>2015.9.21</t>
  </si>
  <si>
    <t>LSGKE54J5FW076124</t>
  </si>
  <si>
    <t>川A774MB</t>
  </si>
  <si>
    <t>LB3781NZ6TB058262</t>
  </si>
  <si>
    <t>彭顺姣</t>
  </si>
  <si>
    <t>2021.8.03</t>
  </si>
  <si>
    <t>LGWEF5A57MH532338</t>
  </si>
  <si>
    <t>川A4G16L</t>
  </si>
  <si>
    <t>LB3781NZ4TB060687</t>
  </si>
  <si>
    <t>何建灵</t>
  </si>
  <si>
    <t>黄从安</t>
  </si>
  <si>
    <t>L6T7824S2FN163003</t>
  </si>
  <si>
    <t>辽AS69G9</t>
  </si>
  <si>
    <t>LB3781NZ4TB059376</t>
  </si>
  <si>
    <t>银河西物新媒体</t>
  </si>
  <si>
    <t>卢瑶</t>
  </si>
  <si>
    <t>蒋承江</t>
  </si>
  <si>
    <t>2015.9.23</t>
  </si>
  <si>
    <t>LGWEFEA54DB000399</t>
  </si>
  <si>
    <t>川A0CJ23</t>
  </si>
  <si>
    <t>L6T79BAZ6TK600237</t>
  </si>
  <si>
    <t>刘云强</t>
  </si>
  <si>
    <t>2016.04.28</t>
  </si>
  <si>
    <t>东风雪铁龙</t>
  </si>
  <si>
    <t>LDCC13T20G1448439</t>
  </si>
  <si>
    <t>川AG7QW87</t>
  </si>
  <si>
    <t>L6T79NBW6TY458569</t>
  </si>
  <si>
    <t>熊鑫</t>
  </si>
  <si>
    <t>褚钢</t>
  </si>
  <si>
    <t>2014.03.04</t>
  </si>
  <si>
    <t>奥迪Q3</t>
  </si>
  <si>
    <t>LFV3B28U1E3003921</t>
  </si>
  <si>
    <t>苏E019Z0</t>
  </si>
  <si>
    <t>LB3781NZ3TB064004</t>
  </si>
  <si>
    <t>梁伟</t>
  </si>
  <si>
    <t>吴远军</t>
  </si>
  <si>
    <t>LS4ASE2E4MJ144883</t>
  </si>
  <si>
    <t>川A73K7J</t>
  </si>
  <si>
    <t>LB3781NZ0TB049007</t>
  </si>
  <si>
    <t>钟雨佟</t>
  </si>
  <si>
    <t>彭富兰</t>
  </si>
  <si>
    <t>CS85</t>
  </si>
  <si>
    <t>LS4ASE2AXXOP086625</t>
  </si>
  <si>
    <t>川U7137D</t>
  </si>
  <si>
    <t>L6T78CNW7SY211255</t>
  </si>
  <si>
    <t>李婷</t>
  </si>
  <si>
    <t>2022-07.07</t>
  </si>
  <si>
    <t>几何</t>
  </si>
  <si>
    <t>L6T75N2WXNV301336</t>
  </si>
  <si>
    <t>川ADS2224</t>
  </si>
  <si>
    <t>包映梅</t>
  </si>
  <si>
    <t>2013.6.3</t>
  </si>
  <si>
    <t>LJDLAA192D0025161</t>
  </si>
  <si>
    <t>川AAD680</t>
  </si>
  <si>
    <t>L6T79BAZXTK600838</t>
  </si>
  <si>
    <t>贾娜</t>
  </si>
  <si>
    <t>2015.9.18</t>
  </si>
  <si>
    <t>LDCCI3T33F1275846</t>
  </si>
  <si>
    <t>川A6S0Y2</t>
  </si>
  <si>
    <t>LB3781NZ5TB049827</t>
  </si>
  <si>
    <t>李承新</t>
  </si>
  <si>
    <t>LB37852Z1NS124005</t>
  </si>
  <si>
    <t>川AT80L7</t>
  </si>
  <si>
    <t>L6T78CNWXSY194046</t>
  </si>
  <si>
    <t>马彬其</t>
  </si>
  <si>
    <t>东风牌</t>
  </si>
  <si>
    <t>LVZMN2594JA033444</t>
  </si>
  <si>
    <t>川B5TQ33</t>
  </si>
  <si>
    <t>LB3781NZ9TB051483</t>
  </si>
  <si>
    <t>杜健生</t>
  </si>
  <si>
    <t>埃安</t>
  </si>
  <si>
    <t>LNAA3AA17L5407191</t>
  </si>
  <si>
    <t>川AD53650</t>
  </si>
  <si>
    <t>银河E8</t>
  </si>
  <si>
    <t>L6T79BRN5TV060444</t>
  </si>
  <si>
    <t>成都欣博泰装饰工程有限公司</t>
  </si>
  <si>
    <t>2022-04-20</t>
  </si>
  <si>
    <t>梅赛德斯-奔驰牌</t>
  </si>
  <si>
    <t>LE4WG4CB6FL014318</t>
  </si>
  <si>
    <t>川ALI4N9</t>
  </si>
  <si>
    <t>卢坡</t>
  </si>
  <si>
    <t>L6T79CAD9TK601232</t>
  </si>
  <si>
    <t>东风日产</t>
  </si>
  <si>
    <t>LGBP12E07EY251647</t>
  </si>
  <si>
    <t>川A5SP75</t>
  </si>
  <si>
    <t>梅英</t>
  </si>
  <si>
    <t>2017.06.07</t>
  </si>
  <si>
    <t>LB37724ZXHX681016</t>
  </si>
  <si>
    <t>川F261C1</t>
  </si>
  <si>
    <t>LB3781NZXTB049791</t>
  </si>
  <si>
    <t>2019.04.16</t>
  </si>
  <si>
    <t>LGBH52E07KY631320</t>
  </si>
  <si>
    <t>川A1PPZ47</t>
  </si>
  <si>
    <t>LB3781NZXTB082211</t>
  </si>
  <si>
    <t>宝马牌</t>
  </si>
  <si>
    <t>WBAJA5107KB442369</t>
  </si>
  <si>
    <t>川A735V5</t>
  </si>
  <si>
    <t>LSVND2180D2043173</t>
  </si>
  <si>
    <t>川Y502C3</t>
  </si>
  <si>
    <t>彭滢萤</t>
  </si>
  <si>
    <t>LB378B2Z4NS045636</t>
  </si>
  <si>
    <t>川G91C17</t>
  </si>
  <si>
    <t>L6T79BAZ5TK600228</t>
  </si>
  <si>
    <t>魏巍</t>
  </si>
  <si>
    <t>李静</t>
  </si>
  <si>
    <t>LSVWD4180HN383086</t>
  </si>
  <si>
    <t>川A9290J</t>
  </si>
  <si>
    <t>LB3781NZ7TB080240</t>
  </si>
  <si>
    <t>黄浩原</t>
  </si>
  <si>
    <t>宋健宇</t>
  </si>
  <si>
    <t>LFV2A1K0J4044000</t>
  </si>
  <si>
    <t>川TVY950</t>
  </si>
  <si>
    <t>L6T791RZ1SY147798</t>
  </si>
  <si>
    <t>郭雪花</t>
  </si>
  <si>
    <t>LJD0AA290K0116900</t>
  </si>
  <si>
    <t>川A0A05P</t>
  </si>
  <si>
    <t>LB3781NZ8TB058876</t>
  </si>
  <si>
    <t>代君杨</t>
  </si>
  <si>
    <t>LS4ASE2E5MA507935</t>
  </si>
  <si>
    <t>川AF831</t>
  </si>
  <si>
    <t>LB3781NZ8TB082210</t>
  </si>
  <si>
    <t>2014.09.24</t>
  </si>
  <si>
    <t>奥迪牌</t>
  </si>
  <si>
    <t>LFV3A24G9E3094455</t>
  </si>
  <si>
    <t>川AA8A05</t>
  </si>
  <si>
    <t>肖琳</t>
  </si>
  <si>
    <t>2021.4.29</t>
  </si>
  <si>
    <t>沃尔沃牌</t>
  </si>
  <si>
    <t>LVYZBAKD5MP120261</t>
  </si>
  <si>
    <t>贵F001R5</t>
  </si>
  <si>
    <t>LB3781NZ9TB069756</t>
  </si>
  <si>
    <t>马向阳</t>
  </si>
  <si>
    <t>2015.5.26</t>
  </si>
  <si>
    <t>速锐</t>
  </si>
  <si>
    <t>LGXC16CF5F0067556</t>
  </si>
  <si>
    <t>川A7C1F5</t>
  </si>
  <si>
    <t>蜀车网</t>
  </si>
  <si>
    <t>L6T79BAZ9TV185753</t>
  </si>
  <si>
    <t>王刚</t>
  </si>
  <si>
    <t>万里</t>
  </si>
  <si>
    <t>2014.1.6</t>
  </si>
  <si>
    <t>LSGPB54U4DD410290</t>
  </si>
  <si>
    <t>川A453J6</t>
  </si>
  <si>
    <t>LB3781NZ1TB087510</t>
  </si>
  <si>
    <t>屈顺元</t>
  </si>
  <si>
    <t>LGWED2A42DE003070</t>
  </si>
  <si>
    <t>渝AW8Y18</t>
  </si>
  <si>
    <t>LB3781NZ7TB082229</t>
  </si>
  <si>
    <t>杨琥</t>
  </si>
  <si>
    <t>宝骏牌</t>
  </si>
  <si>
    <t>LZWADAGA8LB463507</t>
  </si>
  <si>
    <t>川AJ23Y2</t>
  </si>
  <si>
    <t>LB3781NZ3TB084303</t>
  </si>
  <si>
    <t>陈锐</t>
  </si>
  <si>
    <t>长城哈弗</t>
  </si>
  <si>
    <t>LGWEF4A54GH083912</t>
  </si>
  <si>
    <t>川R2D503</t>
  </si>
  <si>
    <t>L6T791RZ8TY050177</t>
  </si>
  <si>
    <t>陆彤</t>
  </si>
  <si>
    <t>2025.1.8</t>
  </si>
  <si>
    <t>LS5A2DKE8RA061311</t>
  </si>
  <si>
    <t>川Q750M0</t>
  </si>
  <si>
    <t>L6T791RZ5SY148890</t>
  </si>
  <si>
    <t>银河超市二网</t>
  </si>
  <si>
    <t>徐尊剑</t>
  </si>
  <si>
    <t>冯莉莉</t>
  </si>
  <si>
    <t>埃安牌</t>
  </si>
  <si>
    <t>LNADJAB27M5031796</t>
  </si>
  <si>
    <t>闽ADF8385</t>
  </si>
  <si>
    <t>L6T79NBW0TY458129</t>
  </si>
  <si>
    <t>刘作伟</t>
  </si>
  <si>
    <t>LDCC13L30C1248292</t>
  </si>
  <si>
    <t>川R26LL3</t>
  </si>
  <si>
    <t>LB3781NZ0TB067507</t>
  </si>
  <si>
    <t>王洪永</t>
  </si>
  <si>
    <t>LB37852Z5PB016814</t>
  </si>
  <si>
    <t>川Y0L037</t>
  </si>
  <si>
    <t>L6T79BAZ1SV374797</t>
  </si>
  <si>
    <t>曾广梅</t>
  </si>
  <si>
    <t>奥迪</t>
  </si>
  <si>
    <t>LFV3A24G2G3084241</t>
  </si>
  <si>
    <t>川J0C095</t>
  </si>
  <si>
    <t>LB3781NZ0TB087515</t>
  </si>
  <si>
    <t>吴凡</t>
  </si>
  <si>
    <t>LB37852D3MS024992</t>
  </si>
  <si>
    <t>川A0W41D</t>
  </si>
  <si>
    <t>L6T79CAD2TK601623</t>
  </si>
  <si>
    <t>唐熠</t>
  </si>
  <si>
    <t>2014–8–14</t>
  </si>
  <si>
    <t>雪佛兰科鲁兹</t>
  </si>
  <si>
    <t>LSGPC54U79F067631</t>
  </si>
  <si>
    <t>川MV3901</t>
  </si>
  <si>
    <t>LB3781NZ4TB084343</t>
  </si>
  <si>
    <t>李秀秀</t>
  </si>
  <si>
    <t>LB37742Z2JB151883</t>
  </si>
  <si>
    <t>川B69DG1</t>
  </si>
  <si>
    <t>L6T79CAD3TK601663</t>
  </si>
  <si>
    <t>施永辉</t>
  </si>
  <si>
    <t>LB37722ZXJC071195</t>
  </si>
  <si>
    <t>新NC9Y05</t>
  </si>
  <si>
    <t>L6T79CAD1TK601743</t>
  </si>
  <si>
    <t>龚克</t>
  </si>
  <si>
    <t>LSJA16E39EG096344</t>
  </si>
  <si>
    <t>川AG6H57</t>
  </si>
  <si>
    <t>LB3781NZ6TB089107</t>
  </si>
  <si>
    <t>何天甫</t>
  </si>
  <si>
    <t>名爵牌</t>
  </si>
  <si>
    <t>LSJW24G36ES026219</t>
  </si>
  <si>
    <t>川A6YA10</t>
  </si>
  <si>
    <t>LB3781NZXTB089207</t>
  </si>
  <si>
    <t>徐黄彬</t>
  </si>
  <si>
    <t>LS4ADG3R6FF023849</t>
  </si>
  <si>
    <t>川A9UH25</t>
  </si>
  <si>
    <t>L6T79BAZXSV371770</t>
  </si>
  <si>
    <t>5月考核     (油车)</t>
  </si>
  <si>
    <t>展厅部分</t>
  </si>
  <si>
    <t>二网部分</t>
  </si>
  <si>
    <t>分公司</t>
  </si>
  <si>
    <t>5月绩效(油车)</t>
  </si>
  <si>
    <t>必达项
(扣)</t>
  </si>
  <si>
    <t>合计金额
（工资卡）</t>
  </si>
  <si>
    <t>新保绩效+临牌提成</t>
  </si>
  <si>
    <t>安心宝</t>
  </si>
  <si>
    <t>抵押业务</t>
  </si>
  <si>
    <t>二手车
核销</t>
  </si>
  <si>
    <t>分公司过票提成</t>
  </si>
  <si>
    <t>全转按
服务费</t>
  </si>
  <si>
    <t>店面熊猫+翼真+雷达</t>
  </si>
  <si>
    <t>武侯店(除熊猫)</t>
  </si>
  <si>
    <t>机场店(除熊猫)</t>
  </si>
  <si>
    <t>直营店店面(除熊猫)</t>
  </si>
  <si>
    <t>绩效比例</t>
  </si>
  <si>
    <t>渗透率考核目标</t>
  </si>
  <si>
    <t>销量</t>
  </si>
  <si>
    <t>按揭量(小计)</t>
  </si>
  <si>
    <t>按揭量(部门)</t>
  </si>
  <si>
    <t>按揭渗透率</t>
  </si>
  <si>
    <t>专员提成基础数</t>
  </si>
  <si>
    <t>按揭量合计</t>
  </si>
  <si>
    <t>2026年金融考核</t>
  </si>
  <si>
    <t>KPI</t>
  </si>
  <si>
    <t>新保提成</t>
  </si>
  <si>
    <t>48、60期</t>
  </si>
  <si>
    <t>二手车</t>
  </si>
  <si>
    <t>意外险</t>
  </si>
  <si>
    <t>服务费</t>
  </si>
  <si>
    <t>实发提成金额</t>
  </si>
  <si>
    <t>熊宇考核武侯店渗透率，刘彦考核机场店，李彦林考核直营店店面，按完成率发放绩效。</t>
  </si>
  <si>
    <t>按揭</t>
  </si>
  <si>
    <t>目标（渗透）</t>
  </si>
  <si>
    <t>目标(公司销售台次）</t>
  </si>
  <si>
    <t>达成台次</t>
  </si>
  <si>
    <t>提成标准（完成率）</t>
  </si>
  <si>
    <t>系数分配</t>
  </si>
  <si>
    <t>专员岗-武侯</t>
  </si>
  <si>
    <t>自有店店面</t>
  </si>
  <si>
    <t>必达项</t>
  </si>
  <si>
    <t>直营店面</t>
  </si>
  <si>
    <t>按揭培训</t>
  </si>
  <si>
    <t>完成</t>
  </si>
  <si>
    <t>直营店网络</t>
  </si>
  <si>
    <t>全转按</t>
  </si>
  <si>
    <t>专员岗-机场</t>
  </si>
  <si>
    <t>客户满意度</t>
  </si>
  <si>
    <t>全款转按揭</t>
  </si>
  <si>
    <t>服务费金额</t>
  </si>
  <si>
    <t>二网/分公司</t>
  </si>
  <si>
    <t>GPS专项奖励</t>
  </si>
  <si>
    <t>全转按/二手车</t>
  </si>
  <si>
    <t>团队合计奖励收益20%的55%。</t>
  </si>
  <si>
    <t>经理</t>
  </si>
  <si>
    <t>二车手核销</t>
  </si>
  <si>
    <t>团队合计1000元。</t>
  </si>
  <si>
    <t>团队按照盈利性占比提成。</t>
  </si>
  <si>
    <t>二网/直营店网络/分公司</t>
  </si>
  <si>
    <t>大客户核销</t>
  </si>
  <si>
    <t>团队合计400元。</t>
  </si>
  <si>
    <t>盈利性产品占比</t>
  </si>
  <si>
    <t>按揭量</t>
  </si>
  <si>
    <t>占比</t>
  </si>
  <si>
    <t>双星店</t>
  </si>
  <si>
    <t>店面合计</t>
  </si>
  <si>
    <t>工资明细表</t>
  </si>
  <si>
    <t xml:space="preserve">                             编制单位：成都西物汽车有限公司          </t>
  </si>
  <si>
    <t xml:space="preserve">   所属月份：2026年5月</t>
  </si>
  <si>
    <t xml:space="preserve">    部    门：西物营销部</t>
  </si>
  <si>
    <t>金额单位：元</t>
  </si>
  <si>
    <t>出勤情况</t>
  </si>
  <si>
    <t>职  务</t>
  </si>
  <si>
    <t>应发工资</t>
  </si>
  <si>
    <t>其他应发</t>
  </si>
  <si>
    <t>单位承担社会保险</t>
  </si>
  <si>
    <t>代扣款项</t>
  </si>
  <si>
    <t>实发金额</t>
  </si>
  <si>
    <t>保密工资</t>
  </si>
  <si>
    <t>津贴补贴</t>
  </si>
  <si>
    <t>车展补贴</t>
  </si>
  <si>
    <t>交通补贴</t>
  </si>
  <si>
    <t>通讯补贴</t>
  </si>
  <si>
    <t>其他补贴</t>
  </si>
  <si>
    <t>减：病假、事假、缺勤、罚款</t>
  </si>
  <si>
    <t>减：未发绩效</t>
  </si>
  <si>
    <t>应发小计</t>
  </si>
  <si>
    <t>预发</t>
  </si>
  <si>
    <t>*月绩效</t>
  </si>
  <si>
    <t>其他小计</t>
  </si>
  <si>
    <t>基本养老保险16％</t>
  </si>
  <si>
    <t>基本医疗保险7.7％</t>
  </si>
  <si>
    <t>失业保险0.6%</t>
  </si>
  <si>
    <t>工伤保险0.1%</t>
  </si>
  <si>
    <t>大病医疗补充保险0.6%</t>
  </si>
  <si>
    <t>*月社保补差</t>
  </si>
  <si>
    <t>公积金（公司）</t>
  </si>
  <si>
    <t>单位承担小计</t>
  </si>
  <si>
    <t>社保个人承担</t>
  </si>
  <si>
    <t>公积金个人承担</t>
  </si>
  <si>
    <t>爱心基金</t>
  </si>
  <si>
    <t>代垫社保</t>
  </si>
  <si>
    <t>代扣合计</t>
  </si>
  <si>
    <t>事业部</t>
  </si>
  <si>
    <t>燃油车总经理</t>
  </si>
  <si>
    <t>综合部副总</t>
  </si>
  <si>
    <t>王斌</t>
  </si>
  <si>
    <t>陈军</t>
  </si>
  <si>
    <t>资金总监</t>
  </si>
  <si>
    <t>陶兰</t>
  </si>
  <si>
    <t>财务副总</t>
  </si>
  <si>
    <t>平行业务</t>
  </si>
  <si>
    <t>助理</t>
  </si>
  <si>
    <t>总经办</t>
  </si>
  <si>
    <t>实习销售总监</t>
  </si>
  <si>
    <t>实习销售经理</t>
  </si>
  <si>
    <t>丧假2天</t>
  </si>
  <si>
    <t>干小楠</t>
  </si>
  <si>
    <t>5月17日离职生效，本月实际出勤16天</t>
  </si>
  <si>
    <t>迟到1次</t>
  </si>
  <si>
    <t>销售助理</t>
  </si>
  <si>
    <t>事假0.15天</t>
  </si>
  <si>
    <t>年假1天</t>
  </si>
  <si>
    <t>后台维护</t>
  </si>
  <si>
    <t>出差3天</t>
  </si>
  <si>
    <t>按揭经理</t>
  </si>
  <si>
    <t>按揭专员</t>
  </si>
  <si>
    <t>保险出单员</t>
  </si>
  <si>
    <t>财务部</t>
  </si>
  <si>
    <t>会计审计</t>
  </si>
  <si>
    <t>主办会计</t>
  </si>
  <si>
    <t>年休1天</t>
  </si>
  <si>
    <t>年休3天</t>
  </si>
  <si>
    <t>市场总监</t>
  </si>
  <si>
    <t>何莉</t>
  </si>
  <si>
    <t>设计主管</t>
  </si>
  <si>
    <t>事假3小时</t>
  </si>
  <si>
    <t>前台接待</t>
  </si>
  <si>
    <t>新媒体专员</t>
  </si>
  <si>
    <t>综合部</t>
  </si>
  <si>
    <t>刘菁妍</t>
  </si>
  <si>
    <t>专员</t>
  </si>
  <si>
    <t>行政人事经理</t>
  </si>
  <si>
    <t>行政主管</t>
  </si>
  <si>
    <t>行政专员</t>
  </si>
  <si>
    <t>销售辅助</t>
  </si>
  <si>
    <t>吧员</t>
  </si>
  <si>
    <t>出差5天</t>
  </si>
  <si>
    <t>主管</t>
  </si>
  <si>
    <t>库管</t>
  </si>
  <si>
    <t>客户关系部</t>
  </si>
  <si>
    <t>回访经理</t>
  </si>
  <si>
    <t>回访专员</t>
  </si>
  <si>
    <t>总经理：</t>
  </si>
  <si>
    <t>审批：</t>
  </si>
  <si>
    <t>复核：</t>
  </si>
  <si>
    <t>财务审核：</t>
  </si>
  <si>
    <t>直属主管：</t>
  </si>
  <si>
    <t>制表：</t>
  </si>
  <si>
    <t>说明：应发工资填列计入个人所得税基数的内容；其他应发填列不计入个人所得税基数的内容；单位和个人所承担的五险一金与有权部门实际收取金额不一致的，请以本表格式为模板单独列表；</t>
  </si>
  <si>
    <t>代扣款项中的员工基金和其他代扣款项系指不能在个人所得税税前扣除的集团代垫款项或借款，需在备注栏中说明。</t>
  </si>
  <si>
    <t xml:space="preserve">编制单位：成都吉利汽车超市连锁有限公司          </t>
  </si>
  <si>
    <t>所属月份：2026年5月</t>
  </si>
  <si>
    <t>部    门：各直营店（超市）</t>
  </si>
  <si>
    <t>签名</t>
  </si>
  <si>
    <t>社保补贴</t>
  </si>
  <si>
    <t>公积金公司承担</t>
  </si>
  <si>
    <t>服装</t>
  </si>
  <si>
    <t>其他代扣款项</t>
  </si>
  <si>
    <t>渠道经理</t>
  </si>
  <si>
    <t>病假23天，年休冲抵8天，病假15天</t>
  </si>
  <si>
    <t>直营店交车支持</t>
  </si>
  <si>
    <t>直营店管理</t>
  </si>
  <si>
    <t>彭州实习店长</t>
  </si>
  <si>
    <t>牟春柳</t>
  </si>
  <si>
    <t>销售内勤</t>
  </si>
  <si>
    <t>大邑店长</t>
  </si>
  <si>
    <t>邛崃店长</t>
  </si>
  <si>
    <t>王巧巧</t>
  </si>
  <si>
    <t>内勤</t>
  </si>
  <si>
    <t>崇州实习店长</t>
  </si>
  <si>
    <t>李良英</t>
  </si>
  <si>
    <t>出纳</t>
  </si>
  <si>
    <t>华阳店长</t>
  </si>
  <si>
    <t>车部总：</t>
  </si>
  <si>
    <t xml:space="preserve">                                                                      工资明细表</t>
  </si>
  <si>
    <t>编制单位：成都吉利汽车超市连锁有限公司</t>
  </si>
  <si>
    <t>部    门：吉利超市</t>
  </si>
  <si>
    <t>销售管理</t>
  </si>
  <si>
    <t>网销经理</t>
  </si>
  <si>
    <t>财务外勤</t>
  </si>
  <si>
    <t>年休0.5天</t>
  </si>
  <si>
    <t>收银</t>
  </si>
  <si>
    <t>销售支持</t>
  </si>
  <si>
    <t>物流内勤</t>
  </si>
  <si>
    <t>机场店（展厅）</t>
  </si>
  <si>
    <t>5月25日离职生效，本月实际出勤24天</t>
  </si>
  <si>
    <t>机场店（网销）</t>
  </si>
  <si>
    <t>年休5天</t>
  </si>
  <si>
    <t>5月28日离职生效，本月实际出勤27天</t>
  </si>
  <si>
    <t>病假1天，迟到1次</t>
  </si>
  <si>
    <t>事假0.5天</t>
  </si>
  <si>
    <t>查验员</t>
  </si>
  <si>
    <t>机场销售合计</t>
  </si>
  <si>
    <t>机场总计</t>
  </si>
  <si>
    <t xml:space="preserve">                                                                                                                                                                                                                                                                                                            2026年05月提成工资发放表             
编制单位：直营店
所属月份：2026年05月份
</t>
  </si>
  <si>
    <t>发放公司</t>
  </si>
  <si>
    <t>挂账公司</t>
  </si>
  <si>
    <t>职务</t>
  </si>
  <si>
    <t>考核量</t>
  </si>
  <si>
    <t>销售数量</t>
  </si>
  <si>
    <t>整车绩效</t>
  </si>
  <si>
    <t>权限结余绩效</t>
  </si>
  <si>
    <t>附加1绩效</t>
  </si>
  <si>
    <t>附加2绩效</t>
  </si>
  <si>
    <t>附加3绩效</t>
  </si>
  <si>
    <t>附加4绩效</t>
  </si>
  <si>
    <t>专项提成</t>
  </si>
  <si>
    <t>超期绩效</t>
  </si>
  <si>
    <t>附加</t>
  </si>
  <si>
    <t>整车完成考核</t>
  </si>
  <si>
    <t>附加1考核</t>
  </si>
  <si>
    <t>综合</t>
  </si>
  <si>
    <t>已发绩效</t>
  </si>
  <si>
    <t>其它1</t>
  </si>
  <si>
    <t>活动内促奖励</t>
  </si>
  <si>
    <t>交车支出</t>
  </si>
  <si>
    <t>特殊车型</t>
  </si>
  <si>
    <t>考核小计</t>
  </si>
  <si>
    <t>应发放合计</t>
  </si>
  <si>
    <t>代发放绩效</t>
  </si>
  <si>
    <t>实际发放=AE-X</t>
  </si>
  <si>
    <t>基本工资（含补助）</t>
  </si>
  <si>
    <t>社保个人</t>
  </si>
  <si>
    <t>应纳税所得额</t>
  </si>
  <si>
    <t>个人所得税</t>
  </si>
  <si>
    <t>已交个税</t>
  </si>
  <si>
    <t>本次扣税</t>
  </si>
  <si>
    <t>基本代扣款</t>
  </si>
  <si>
    <t>服装代扣</t>
  </si>
  <si>
    <t>年终标准</t>
  </si>
  <si>
    <t>年终绩效</t>
  </si>
  <si>
    <t>直营店渠道</t>
  </si>
  <si>
    <t>王秀梅</t>
  </si>
  <si>
    <t>陶小忠</t>
  </si>
  <si>
    <t>杨丽</t>
  </si>
  <si>
    <t>何松</t>
  </si>
  <si>
    <t>李容</t>
  </si>
  <si>
    <t>王渔浩</t>
  </si>
  <si>
    <t>杨念慈</t>
  </si>
  <si>
    <t>出纳+内勤</t>
  </si>
  <si>
    <t>王伟</t>
  </si>
  <si>
    <t>胡刚</t>
  </si>
  <si>
    <t>向凤</t>
  </si>
  <si>
    <t>姚佳秀</t>
  </si>
  <si>
    <t>杨凤华</t>
  </si>
  <si>
    <t>张家耀</t>
  </si>
  <si>
    <t>事业部总经理审核：</t>
  </si>
  <si>
    <t>事业部审核：</t>
  </si>
  <si>
    <t>主管审核：</t>
  </si>
  <si>
    <t>制表人：</t>
  </si>
  <si>
    <t>赵可</t>
  </si>
  <si>
    <t>核销公司</t>
  </si>
  <si>
    <t xml:space="preserve">                                                                                                                                                                                                                                                                                                            2026年05月提成工资发放表             
编制单位：成都西物汽车有限公司+精锐
</t>
  </si>
  <si>
    <t>台阶奖励</t>
  </si>
  <si>
    <t>已发合并扣税</t>
  </si>
  <si>
    <t>满意度考核</t>
  </si>
  <si>
    <t>已发并</t>
  </si>
  <si>
    <t>已发合并扣税项</t>
  </si>
  <si>
    <t>税前工资合计</t>
  </si>
  <si>
    <t>银河</t>
  </si>
  <si>
    <t>银河西物渠道</t>
  </si>
  <si>
    <t>何煜佳</t>
  </si>
  <si>
    <t>罗小雄</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</si>
</sst>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F400]h:mm:ss\ AM/PM"/>
    <numFmt numFmtId="178" formatCode="0_);[Red]\(0\)"/>
    <numFmt numFmtId="179" formatCode="[$-F800]dddd\,\ mmmm\ dd\,\ yyyy"/>
    <numFmt numFmtId="180" formatCode="#,##0.0_ "/>
    <numFmt numFmtId="181" formatCode="yyyy&quot;年&quot;m&quot;月&quot;d&quot;日&quot;;@"/>
    <numFmt numFmtId="182" formatCode="#,##0.00_ "/>
    <numFmt numFmtId="183" formatCode="0.00_ "/>
    <numFmt numFmtId="184" formatCode="#,##0.00_);[Red]\(#,##0.00\)"/>
    <numFmt numFmtId="185" formatCode="yyyy/m/d;@"/>
    <numFmt numFmtId="186" formatCode="_ * #,##0_ ;_ * \-#,##0_ ;_ * &quot;-&quot;??_ ;_ @_ "/>
    <numFmt numFmtId="187" formatCode="_ * #,##0.00_ ;_ * \-#,##0.00_ ;_ * &quot;-&quot;_ ;_ @_ "/>
    <numFmt numFmtId="188" formatCode="0_ "/>
    <numFmt numFmtId="189" formatCode="0_ ;[Red]\-0\ "/>
    <numFmt numFmtId="190" formatCode="[$-404]e/m/d;@"/>
    <numFmt numFmtId="191" formatCode="0;[Red]0"/>
    <numFmt numFmtId="192" formatCode="m/d;@"/>
    <numFmt numFmtId="193" formatCode="0.0%"/>
  </numFmts>
  <fonts count="141">
    <font>
      <sz val="11"/>
      <color theme="1"/>
      <name val="宋体"/>
      <charset val="134"/>
      <scheme val="minor"/>
    </font>
    <font>
      <sz val="9"/>
      <name val="Times New Roman"/>
      <charset val="134"/>
    </font>
    <font>
      <sz val="10"/>
      <name val="Times New Roman"/>
      <charset val="134"/>
    </font>
    <font>
      <b/>
      <sz val="10"/>
      <name val="Times New Roman"/>
      <charset val="134"/>
    </font>
    <font>
      <b/>
      <sz val="10"/>
      <name val="宋体"/>
      <charset val="134"/>
    </font>
    <font>
      <b/>
      <sz val="10"/>
      <color indexed="53"/>
      <name val="宋体"/>
      <charset val="134"/>
    </font>
    <font>
      <sz val="9"/>
      <name val="宋体"/>
      <charset val="134"/>
    </font>
    <font>
      <sz val="10"/>
      <name val="Arial"/>
      <charset val="134"/>
    </font>
    <font>
      <sz val="10"/>
      <name val="宋体"/>
      <charset val="134"/>
    </font>
    <font>
      <b/>
      <sz val="9"/>
      <name val="宋体"/>
      <charset val="134"/>
    </font>
    <font>
      <b/>
      <sz val="9"/>
      <name val="Times New Roman"/>
      <charset val="134"/>
    </font>
    <font>
      <sz val="9"/>
      <color indexed="53"/>
      <name val="Times New Roman"/>
      <charset val="134"/>
    </font>
    <font>
      <sz val="16"/>
      <name val="楷体_GB2312"/>
      <charset val="134"/>
    </font>
    <font>
      <sz val="9"/>
      <name val="楷体_GB2312"/>
      <charset val="134"/>
    </font>
    <font>
      <sz val="9"/>
      <name val="Arial"/>
      <charset val="134"/>
    </font>
    <font>
      <sz val="8"/>
      <name val="Arial"/>
      <charset val="134"/>
    </font>
    <font>
      <sz val="8"/>
      <name val="宋体"/>
      <charset val="134"/>
    </font>
    <font>
      <sz val="8"/>
      <name val="楷体_GB2312"/>
      <charset val="134"/>
    </font>
    <font>
      <sz val="10"/>
      <color theme="1"/>
      <name val="宋体"/>
      <charset val="134"/>
    </font>
    <font>
      <sz val="10"/>
      <color theme="1"/>
      <name val="Arial"/>
      <charset val="134"/>
    </font>
    <font>
      <b/>
      <sz val="20"/>
      <name val="宋体"/>
      <charset val="134"/>
    </font>
    <font>
      <b/>
      <sz val="8"/>
      <name val="楷体_GB2312"/>
      <charset val="134"/>
    </font>
    <font>
      <sz val="9"/>
      <color theme="1"/>
      <name val="Arial"/>
      <charset val="134"/>
    </font>
    <font>
      <b/>
      <sz val="12"/>
      <color theme="1"/>
      <name val="楷体_GB2312"/>
      <charset val="134"/>
    </font>
    <font>
      <sz val="12"/>
      <name val="宋体"/>
      <charset val="134"/>
    </font>
    <font>
      <sz val="10"/>
      <color theme="1"/>
      <name val="楷体_GB2312"/>
      <charset val="134"/>
    </font>
    <font>
      <sz val="9"/>
      <color theme="1"/>
      <name val="宋体"/>
      <charset val="134"/>
    </font>
    <font>
      <sz val="10"/>
      <color theme="1"/>
      <name val="宋体"/>
      <charset val="134"/>
      <scheme val="major"/>
    </font>
    <font>
      <sz val="10"/>
      <name val="宋体"/>
      <charset val="134"/>
      <scheme val="major"/>
    </font>
    <font>
      <sz val="8"/>
      <name val="宋体"/>
      <charset val="134"/>
      <scheme val="minor"/>
    </font>
    <font>
      <b/>
      <sz val="8"/>
      <name val="宋体"/>
      <charset val="134"/>
      <scheme val="minor"/>
    </font>
    <font>
      <b/>
      <sz val="10"/>
      <name val="宋体"/>
      <charset val="134"/>
      <scheme val="minor"/>
    </font>
    <font>
      <sz val="8"/>
      <color rgb="FFFF0000"/>
      <name val="宋体"/>
      <charset val="134"/>
      <scheme val="minor"/>
    </font>
    <font>
      <sz val="8"/>
      <name val="simsun"/>
      <charset val="134"/>
    </font>
    <font>
      <b/>
      <sz val="11"/>
      <color theme="1"/>
      <name val="宋体"/>
      <charset val="134"/>
      <scheme val="minor"/>
    </font>
    <font>
      <sz val="11"/>
      <color theme="1"/>
      <name val="宋体"/>
      <charset val="134"/>
      <scheme val="minor"/>
    </font>
    <font>
      <sz val="8"/>
      <color rgb="FFFF0000"/>
      <name val="simsun"/>
      <charset val="134"/>
    </font>
    <font>
      <sz val="8"/>
      <color theme="1"/>
      <name val="宋体"/>
      <charset val="134"/>
      <scheme val="minor"/>
    </font>
    <font>
      <sz val="10"/>
      <color rgb="FFFF0000"/>
      <name val="宋体"/>
      <charset val="134"/>
    </font>
    <font>
      <sz val="8"/>
      <color rgb="FF000000"/>
      <name val="宋体"/>
      <charset val="134"/>
      <scheme val="minor"/>
    </font>
    <font>
      <sz val="8"/>
      <color rgb="FF000000"/>
      <name val="simsun"/>
      <charset val="134"/>
    </font>
    <font>
      <sz val="11"/>
      <name val="宋体"/>
      <charset val="134"/>
      <scheme val="minor"/>
    </font>
    <font>
      <sz val="10"/>
      <name val="Times New Roman"/>
      <charset val="134"/>
    </font>
    <font>
      <sz val="10"/>
      <color theme="1"/>
      <name val="宋体"/>
      <charset val="134"/>
      <scheme val="minor"/>
    </font>
    <font>
      <sz val="11"/>
      <color rgb="FF00B0F0"/>
      <name val="宋体"/>
      <charset val="134"/>
      <scheme val="minor"/>
    </font>
    <font>
      <sz val="11"/>
      <color rgb="FF00B050"/>
      <name val="宋体"/>
      <charset val="134"/>
      <scheme val="minor"/>
    </font>
    <font>
      <sz val="10"/>
      <name val="宋体"/>
      <charset val="134"/>
      <scheme val="minor"/>
    </font>
    <font>
      <b/>
      <sz val="9"/>
      <name val="宋体"/>
      <charset val="134"/>
    </font>
    <font>
      <sz val="9"/>
      <color theme="1"/>
      <name val="宋体"/>
      <charset val="134"/>
      <scheme val="minor"/>
    </font>
    <font>
      <sz val="9"/>
      <color theme="1"/>
      <name val="宋体"/>
      <charset val="134"/>
    </font>
    <font>
      <b/>
      <sz val="10"/>
      <color theme="1"/>
      <name val="宋体"/>
      <charset val="134"/>
      <scheme val="minor"/>
    </font>
    <font>
      <b/>
      <sz val="20"/>
      <color rgb="FFFF0000"/>
      <name val="幼圆"/>
      <charset val="134"/>
    </font>
    <font>
      <sz val="20"/>
      <name val="Arial"/>
      <charset val="134"/>
    </font>
    <font>
      <sz val="11"/>
      <color theme="1"/>
      <name val="宋体"/>
      <charset val="134"/>
    </font>
    <font>
      <sz val="11"/>
      <color theme="1"/>
      <name val="幼圆"/>
      <charset val="134"/>
    </font>
    <font>
      <sz val="12"/>
      <name val="幼圆"/>
      <charset val="134"/>
    </font>
    <font>
      <sz val="12"/>
      <color rgb="FFFF0000"/>
      <name val="幼圆"/>
      <charset val="134"/>
    </font>
    <font>
      <sz val="11"/>
      <color rgb="FFFF0000"/>
      <name val="宋体"/>
      <charset val="134"/>
      <scheme val="minor"/>
    </font>
    <font>
      <sz val="14"/>
      <color theme="1"/>
      <name val="宋体"/>
      <charset val="134"/>
      <scheme val="minor"/>
    </font>
    <font>
      <b/>
      <sz val="18"/>
      <color theme="1"/>
      <name val="宋体"/>
      <charset val="134"/>
      <scheme val="minor"/>
    </font>
    <font>
      <sz val="11"/>
      <color rgb="FF000000"/>
      <name val="宋体"/>
      <charset val="134"/>
    </font>
    <font>
      <sz val="11"/>
      <color rgb="FF000000"/>
      <name val="宋体"/>
      <charset val="134"/>
      <scheme val="minor"/>
    </font>
    <font>
      <sz val="11"/>
      <color theme="1"/>
      <name val="微软雅黑"/>
      <charset val="134"/>
    </font>
    <font>
      <sz val="11"/>
      <color indexed="8"/>
      <name val="宋体"/>
      <charset val="134"/>
    </font>
    <font>
      <sz val="9"/>
      <color indexed="8"/>
      <name val="宋体"/>
      <charset val="134"/>
    </font>
    <font>
      <b/>
      <sz val="10"/>
      <color rgb="FFFF0000"/>
      <name val="宋体"/>
      <charset val="134"/>
      <scheme val="minor"/>
    </font>
    <font>
      <sz val="9"/>
      <color indexed="53"/>
      <name val="宋体"/>
      <charset val="134"/>
    </font>
    <font>
      <sz val="9"/>
      <name val="Arial"/>
      <charset val="134"/>
    </font>
    <font>
      <sz val="9"/>
      <color indexed="53"/>
      <name val="Arial"/>
      <charset val="134"/>
    </font>
    <font>
      <b/>
      <sz val="18"/>
      <name val="宋体"/>
      <charset val="134"/>
    </font>
    <font>
      <b/>
      <sz val="11"/>
      <name val="宋体"/>
      <charset val="134"/>
    </font>
    <font>
      <sz val="10"/>
      <color indexed="8"/>
      <name val="宋体"/>
      <charset val="134"/>
    </font>
    <font>
      <sz val="10"/>
      <color indexed="53"/>
      <name val="宋体"/>
      <charset val="134"/>
    </font>
    <font>
      <sz val="10"/>
      <color indexed="53"/>
      <name val="Arial"/>
      <charset val="134"/>
    </font>
    <font>
      <sz val="10"/>
      <color rgb="FFFF6600"/>
      <name val="宋体"/>
      <charset val="134"/>
    </font>
    <font>
      <sz val="9"/>
      <name val="宋体"/>
      <charset val="134"/>
      <scheme val="minor"/>
    </font>
    <font>
      <b/>
      <sz val="9"/>
      <color rgb="FF000000"/>
      <name val="宋体"/>
      <charset val="134"/>
      <scheme val="minor"/>
    </font>
    <font>
      <sz val="9"/>
      <color rgb="FF000000"/>
      <name val="宋体"/>
      <charset val="134"/>
      <scheme val="minor"/>
    </font>
    <font>
      <sz val="9"/>
      <color indexed="8"/>
      <name val="微软雅黑"/>
      <charset val="134"/>
    </font>
    <font>
      <b/>
      <sz val="9"/>
      <color indexed="8"/>
      <name val="宋体"/>
      <charset val="134"/>
      <scheme val="minor"/>
    </font>
    <font>
      <b/>
      <sz val="8"/>
      <color rgb="FF000000"/>
      <name val="宋体"/>
      <charset val="134"/>
      <scheme val="minor"/>
    </font>
    <font>
      <sz val="11"/>
      <name val="微软雅黑"/>
      <charset val="134"/>
    </font>
    <font>
      <sz val="14"/>
      <color indexed="8"/>
      <name val="宋体"/>
      <charset val="134"/>
    </font>
    <font>
      <sz val="12"/>
      <color indexed="8"/>
      <name val="宋体"/>
      <charset val="134"/>
    </font>
    <font>
      <sz val="10"/>
      <color rgb="FFFF0000"/>
      <name val="宋体"/>
      <charset val="134"/>
      <scheme val="minor"/>
    </font>
    <font>
      <b/>
      <sz val="18"/>
      <color rgb="FF000000"/>
      <name val="宋体"/>
      <charset val="134"/>
    </font>
    <font>
      <sz val="12"/>
      <color rgb="FF000000"/>
      <name val="宋体"/>
      <charset val="134"/>
    </font>
    <font>
      <sz val="10"/>
      <color rgb="FF000000"/>
      <name val="宋体"/>
      <charset val="134"/>
    </font>
    <font>
      <sz val="9"/>
      <color rgb="FF000000"/>
      <name val="宋体"/>
      <charset val="134"/>
    </font>
    <font>
      <sz val="16"/>
      <color theme="1"/>
      <name val="宋体"/>
      <charset val="134"/>
      <scheme val="minor"/>
    </font>
    <font>
      <sz val="14"/>
      <name val="Arial"/>
      <charset val="134"/>
    </font>
    <font>
      <sz val="14"/>
      <name val="微软雅黑"/>
      <charset val="134"/>
    </font>
    <font>
      <sz val="14"/>
      <name val="宋体"/>
      <charset val="134"/>
    </font>
    <font>
      <sz val="12"/>
      <color theme="1"/>
      <name val="宋体"/>
      <charset val="134"/>
    </font>
    <font>
      <sz val="11"/>
      <color rgb="FFFF0000"/>
      <name val="宋体"/>
      <charset val="134"/>
    </font>
    <font>
      <sz val="12"/>
      <name val="微软雅黑"/>
      <charset val="134"/>
    </font>
    <font>
      <sz val="10"/>
      <name val="微软雅黑"/>
      <charset val="134"/>
    </font>
    <font>
      <b/>
      <sz val="10"/>
      <name val="微软雅黑"/>
      <charset val="134"/>
    </font>
    <font>
      <sz val="16"/>
      <color rgb="FF000000"/>
      <name val="微软雅黑"/>
      <charset val="134"/>
    </font>
    <font>
      <sz val="12"/>
      <color rgb="FF000000"/>
      <name val="微软雅黑"/>
      <charset val="134"/>
    </font>
    <font>
      <sz val="8"/>
      <name val="微软雅黑"/>
      <charset val="134"/>
    </font>
    <font>
      <sz val="9"/>
      <color theme="1"/>
      <name val="微软雅黑"/>
      <charset val="134"/>
    </font>
    <font>
      <b/>
      <sz val="10"/>
      <color theme="1"/>
      <name val="微软雅黑"/>
      <charset val="134"/>
    </font>
    <font>
      <b/>
      <sz val="10"/>
      <color rgb="FFFF0000"/>
      <name val="微软雅黑"/>
      <charset val="134"/>
    </font>
    <font>
      <b/>
      <sz val="12"/>
      <name val="宋体"/>
      <charset val="134"/>
    </font>
    <font>
      <b/>
      <sz val="11"/>
      <color indexed="13"/>
      <name val="宋体"/>
      <charset val="134"/>
    </font>
    <font>
      <b/>
      <sz val="11"/>
      <color theme="0"/>
      <name val="宋体"/>
      <charset val="134"/>
      <scheme val="minor"/>
    </font>
    <font>
      <b/>
      <sz val="11"/>
      <color rgb="FFFF0000"/>
      <name val="宋体"/>
      <charset val="134"/>
      <scheme val="minor"/>
    </font>
    <font>
      <b/>
      <sz val="9"/>
      <color theme="1"/>
      <name val="微软雅黑"/>
      <charset val="134"/>
    </font>
    <font>
      <b/>
      <sz val="14"/>
      <color theme="1"/>
      <name val="微软雅黑"/>
      <charset val="134"/>
    </font>
    <font>
      <b/>
      <sz val="9"/>
      <color rgb="FF000000"/>
      <name val="微软雅黑"/>
      <charset val="134"/>
    </font>
    <font>
      <b/>
      <sz val="9"/>
      <name val="微软雅黑"/>
      <charset val="134"/>
    </font>
    <font>
      <b/>
      <sz val="14"/>
      <name val="Microsoft YaHei"/>
      <charset val="134"/>
    </font>
    <font>
      <b/>
      <sz val="9"/>
      <color rgb="FFFF0000"/>
      <name val="微软雅黑"/>
      <charset val="134"/>
    </font>
    <font>
      <b/>
      <sz val="11"/>
      <color rgb="FFFFFFFF"/>
      <name val="Microsoft YaHei"/>
      <charset val="134"/>
    </font>
    <font>
      <sz val="11"/>
      <color rgb="FF000000"/>
      <name val="Microsoft YaHei"/>
      <charset val="134"/>
    </font>
    <font>
      <b/>
      <sz val="9"/>
      <color rgb="FF212121"/>
      <name val="微软雅黑"/>
      <charset val="134"/>
    </font>
    <font>
      <b/>
      <sz val="10"/>
      <color rgb="FF000000"/>
      <name val="微软雅黑"/>
      <charset val="134"/>
    </font>
    <font>
      <b/>
      <sz val="10"/>
      <name val="Microsoft YaHei"/>
      <charset val="134"/>
    </font>
    <font>
      <b/>
      <sz val="8"/>
      <name val="微软雅黑"/>
      <charset val="134"/>
    </font>
    <font>
      <b/>
      <sz val="12"/>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105">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34"/>
        <bgColor indexed="64"/>
      </patternFill>
    </fill>
    <fill>
      <patternFill patternType="solid">
        <fgColor indexed="13"/>
        <bgColor indexed="64"/>
      </patternFill>
    </fill>
    <fill>
      <patternFill patternType="solid">
        <fgColor theme="0"/>
        <bgColor indexed="64"/>
      </patternFill>
    </fill>
    <fill>
      <patternFill patternType="solid">
        <fgColor theme="2" tint="-0.0999786370433668"/>
        <bgColor indexed="64"/>
      </patternFill>
    </fill>
    <fill>
      <patternFill patternType="solid">
        <fgColor theme="3" tint="0.599993896298105"/>
        <bgColor indexed="64"/>
      </patternFill>
    </fill>
    <fill>
      <patternFill patternType="solid">
        <fgColor rgb="FFFFFF00"/>
        <bgColor indexed="64"/>
      </patternFill>
    </fill>
    <fill>
      <patternFill patternType="solid">
        <fgColor rgb="FF92D050"/>
        <bgColor indexed="64"/>
      </patternFill>
    </fill>
    <fill>
      <patternFill patternType="solid">
        <fgColor theme="3" tint="0.397106845301675"/>
        <bgColor indexed="64"/>
      </patternFill>
    </fill>
    <fill>
      <patternFill patternType="solid">
        <fgColor theme="5" tint="0.399121066927091"/>
        <bgColor indexed="64"/>
      </patternFill>
    </fill>
    <fill>
      <patternFill patternType="solid">
        <fgColor theme="3" tint="0.399121066927091"/>
        <bgColor indexed="64"/>
      </patternFill>
    </fill>
    <fill>
      <patternFill patternType="solid">
        <fgColor theme="3" tint="0.399456770531327"/>
        <bgColor indexed="64"/>
      </patternFill>
    </fill>
    <fill>
      <patternFill patternType="solid">
        <fgColor theme="3" tint="0.398297067171239"/>
        <bgColor indexed="64"/>
      </patternFill>
    </fill>
    <fill>
      <patternFill patternType="solid">
        <fgColor theme="3" tint="0.399761955626087"/>
        <bgColor indexed="64"/>
      </patternFill>
    </fill>
    <fill>
      <patternFill patternType="solid">
        <fgColor theme="3" tint="0.799737540818506"/>
        <bgColor indexed="64"/>
      </patternFill>
    </fill>
    <fill>
      <patternFill patternType="solid">
        <fgColor theme="0" tint="-0.148838770714438"/>
        <bgColor indexed="64"/>
      </patternFill>
    </fill>
    <fill>
      <patternFill patternType="solid">
        <fgColor theme="5" tint="0.599993896298105"/>
        <bgColor indexed="64"/>
      </patternFill>
    </fill>
    <fill>
      <patternFill patternType="solid">
        <fgColor rgb="FF00B0F0"/>
        <bgColor indexed="64"/>
      </patternFill>
    </fill>
    <fill>
      <patternFill patternType="solid">
        <fgColor theme="9" tint="0.399914548173467"/>
        <bgColor indexed="64"/>
      </patternFill>
    </fill>
    <fill>
      <patternFill patternType="solid">
        <fgColor theme="6" tint="0.799890133365886"/>
        <bgColor indexed="64"/>
      </patternFill>
    </fill>
    <fill>
      <patternFill patternType="solid">
        <fgColor indexed="41"/>
        <bgColor indexed="64"/>
      </patternFill>
    </fill>
    <fill>
      <patternFill patternType="solid">
        <fgColor theme="6" tint="0.599993896298105"/>
        <bgColor indexed="64"/>
      </patternFill>
    </fill>
    <fill>
      <patternFill patternType="solid">
        <fgColor rgb="FFFF0000"/>
        <bgColor indexed="64"/>
      </patternFill>
    </fill>
    <fill>
      <patternFill patternType="solid">
        <fgColor theme="4" tint="0.799340800195319"/>
        <bgColor indexed="64"/>
      </patternFill>
    </fill>
    <fill>
      <patternFill patternType="solid">
        <fgColor theme="8" tint="0.599993896298105"/>
        <bgColor indexed="64"/>
      </patternFill>
    </fill>
    <fill>
      <patternFill patternType="solid">
        <fgColor theme="9" tint="0.799920651875362"/>
        <bgColor indexed="64"/>
      </patternFill>
    </fill>
    <fill>
      <patternFill patternType="solid">
        <fgColor theme="9" tint="0.599993896298105"/>
        <bgColor indexed="64"/>
      </patternFill>
    </fill>
    <fill>
      <patternFill patternType="solid">
        <fgColor theme="3" tint="0.599993896298105"/>
        <bgColor indexed="64"/>
      </patternFill>
    </fill>
    <fill>
      <patternFill patternType="solid">
        <fgColor theme="4" tint="0.599993896298105"/>
        <bgColor indexed="64"/>
      </patternFill>
    </fill>
    <fill>
      <patternFill patternType="solid">
        <fgColor theme="9" tint="0.399884029663991"/>
        <bgColor indexed="64"/>
      </patternFill>
    </fill>
    <fill>
      <patternFill patternType="solid">
        <fgColor theme="0" tint="-0.147038178655354"/>
        <bgColor indexed="64"/>
      </patternFill>
    </fill>
    <fill>
      <patternFill patternType="solid">
        <fgColor theme="0" tint="-0.146671956541643"/>
        <bgColor indexed="64"/>
      </patternFill>
    </fill>
    <fill>
      <patternFill patternType="solid">
        <fgColor rgb="FFFFFFFF"/>
        <bgColor indexed="64"/>
      </patternFill>
    </fill>
    <fill>
      <patternFill patternType="solid">
        <fgColor theme="3" tint="0.799340800195319"/>
        <bgColor indexed="64"/>
      </patternFill>
    </fill>
    <fill>
      <patternFill patternType="solid">
        <fgColor theme="5" tint="0.799340800195319"/>
        <bgColor indexed="64"/>
      </patternFill>
    </fill>
    <fill>
      <patternFill patternType="solid">
        <fgColor rgb="FFC5E0B4"/>
        <bgColor indexed="64"/>
      </patternFill>
    </fill>
    <fill>
      <patternFill patternType="solid">
        <fgColor rgb="FFA9D18E"/>
        <bgColor indexed="64"/>
      </patternFill>
    </fill>
    <fill>
      <patternFill patternType="solid">
        <fgColor theme="0" tint="-0.249977111117893"/>
        <bgColor indexed="64"/>
      </patternFill>
    </fill>
    <fill>
      <patternFill patternType="solid">
        <fgColor theme="9" tint="0.396649067659536"/>
        <bgColor indexed="64"/>
      </patternFill>
    </fill>
    <fill>
      <patternFill patternType="solid">
        <fgColor rgb="FFFFC000"/>
        <bgColor indexed="64"/>
      </patternFill>
    </fill>
    <fill>
      <patternFill patternType="solid">
        <fgColor theme="8" tint="0.398327585680715"/>
        <bgColor indexed="64"/>
      </patternFill>
    </fill>
    <fill>
      <patternFill patternType="solid">
        <fgColor rgb="FFAEAAAA"/>
        <bgColor indexed="64"/>
      </patternFill>
    </fill>
    <fill>
      <patternFill patternType="solid">
        <fgColor theme="7" tint="0.799920651875362"/>
        <bgColor indexed="64"/>
      </patternFill>
    </fill>
    <fill>
      <patternFill patternType="solid">
        <fgColor theme="5" tint="0.399914548173467"/>
        <bgColor indexed="64"/>
      </patternFill>
    </fill>
    <fill>
      <patternFill patternType="solid">
        <fgColor theme="8" tint="0.399914548173467"/>
        <bgColor indexed="64"/>
      </patternFill>
    </fill>
    <fill>
      <patternFill patternType="solid">
        <fgColor theme="8" tint="0.399700918607135"/>
        <bgColor indexed="64"/>
      </patternFill>
    </fill>
    <fill>
      <patternFill patternType="solid">
        <fgColor theme="7" tint="0.799340800195319"/>
        <bgColor indexed="64"/>
      </patternFill>
    </fill>
    <fill>
      <patternFill patternType="solid">
        <fgColor theme="5" tint="0.397137363811151"/>
        <bgColor indexed="64"/>
      </patternFill>
    </fill>
    <fill>
      <patternFill patternType="solid">
        <fgColor theme="8" tint="0.397137363811151"/>
        <bgColor indexed="64"/>
      </patternFill>
    </fill>
    <fill>
      <patternFill patternType="solid">
        <fgColor indexed="30"/>
        <bgColor indexed="64"/>
      </patternFill>
    </fill>
    <fill>
      <patternFill patternType="solid">
        <fgColor rgb="FF0070C0"/>
        <bgColor indexed="64"/>
      </patternFill>
    </fill>
    <fill>
      <patternFill patternType="solid">
        <fgColor theme="7" tint="0.799615466780602"/>
        <bgColor indexed="64"/>
      </patternFill>
    </fill>
    <fill>
      <patternFill patternType="solid">
        <fgColor rgb="FFFFE9E8"/>
        <bgColor indexed="64"/>
      </patternFill>
    </fill>
    <fill>
      <patternFill patternType="solid">
        <fgColor rgb="FFFFEEAD"/>
        <bgColor indexed="64"/>
      </patternFill>
    </fill>
    <fill>
      <patternFill patternType="solid">
        <fgColor rgb="FFFFF9E3"/>
        <bgColor indexed="64"/>
      </patternFill>
    </fill>
    <fill>
      <patternFill patternType="solid">
        <fgColor rgb="FF2972F4"/>
        <bgColor indexed="64"/>
      </patternFill>
    </fill>
    <fill>
      <patternFill patternType="solid">
        <fgColor rgb="FFEAFAF1"/>
        <bgColor indexed="64"/>
      </patternFill>
    </fill>
    <fill>
      <patternFill patternType="solid">
        <fgColor rgb="FF01F0F6"/>
        <bgColor indexed="64"/>
      </patternFill>
    </fill>
    <fill>
      <patternFill patternType="solid">
        <fgColor rgb="FFE5F6FF"/>
        <bgColor indexed="64"/>
      </patternFill>
    </fill>
    <fill>
      <patternFill patternType="solid">
        <fgColor indexed="22"/>
        <bgColor indexed="64"/>
      </patternFill>
    </fill>
    <fill>
      <patternFill patternType="solid">
        <fgColor indexed="51"/>
        <bgColor indexed="64"/>
      </patternFill>
    </fill>
    <fill>
      <patternFill patternType="solid">
        <fgColor indexed="49"/>
        <bgColor indexed="64"/>
      </patternFill>
    </fill>
    <fill>
      <patternFill patternType="solid">
        <fgColor theme="3" tint="0.396649067659536"/>
        <bgColor indexed="64"/>
      </patternFill>
    </fill>
    <fill>
      <patternFill patternType="solid">
        <fgColor theme="3" tint="0.399884029663991"/>
        <bgColor indexed="64"/>
      </patternFill>
    </fill>
    <fill>
      <patternFill patternType="solid">
        <fgColor theme="6" tint="0.799340800195319"/>
        <bgColor indexed="64"/>
      </patternFill>
    </fill>
    <fill>
      <patternFill patternType="solid">
        <fgColor theme="0" tint="-0.0499893185216834"/>
        <bgColor indexed="64"/>
      </patternFill>
    </fill>
    <fill>
      <patternFill patternType="solid">
        <fgColor rgb="FF4472C4"/>
        <bgColor indexed="64"/>
      </patternFill>
    </fill>
    <fill>
      <patternFill patternType="solid">
        <fgColor rgb="FFD9E1F2"/>
        <bgColor indexed="64"/>
      </patternFill>
    </fill>
    <fill>
      <patternFill patternType="solid">
        <fgColor rgb="FFE2EFDA"/>
        <bgColor indexed="64"/>
      </patternFill>
    </fill>
    <fill>
      <patternFill patternType="solid">
        <fgColor rgb="FFEDF2FA"/>
        <bgColor indexed="64"/>
      </patternFill>
    </fill>
    <fill>
      <patternFill patternType="solid">
        <fgColor rgb="FFF1FAF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5">
    <border>
      <left/>
      <right/>
      <top/>
      <bottom/>
      <diagonal/>
    </border>
    <border>
      <left/>
      <right/>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right style="hair">
        <color auto="1"/>
      </right>
      <top style="medium">
        <color auto="1"/>
      </top>
      <bottom style="medium">
        <color auto="1"/>
      </bottom>
      <diagonal/>
    </border>
    <border>
      <left style="hair">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hair">
        <color auto="1"/>
      </right>
      <top style="medium">
        <color auto="1"/>
      </top>
      <bottom style="thick">
        <color auto="1"/>
      </bottom>
      <diagonal/>
    </border>
    <border>
      <left style="hair">
        <color auto="1"/>
      </left>
      <right style="medium">
        <color auto="1"/>
      </right>
      <top style="medium">
        <color auto="1"/>
      </top>
      <bottom style="thick">
        <color auto="1"/>
      </bottom>
      <diagonal/>
    </border>
    <border>
      <left style="medium">
        <color auto="1"/>
      </left>
      <right style="hair">
        <color auto="1"/>
      </right>
      <top/>
      <bottom style="hair">
        <color auto="1"/>
      </bottom>
      <diagonal/>
    </border>
    <border>
      <left style="hair">
        <color auto="1"/>
      </left>
      <right style="hair">
        <color auto="1"/>
      </right>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style="medium">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style="medium">
        <color auto="1"/>
      </left>
      <right style="medium">
        <color auto="1"/>
      </right>
      <top/>
      <bottom style="hair">
        <color auto="1"/>
      </bottom>
      <diagonal/>
    </border>
    <border>
      <left/>
      <right/>
      <top/>
      <bottom style="hair">
        <color auto="1"/>
      </bottom>
      <diagonal/>
    </border>
    <border>
      <left style="medium">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bottom/>
      <diagonal/>
    </border>
    <border>
      <left style="hair">
        <color auto="1"/>
      </left>
      <right style="hair">
        <color auto="1"/>
      </right>
      <top style="double">
        <color auto="1"/>
      </top>
      <bottom style="double">
        <color auto="1"/>
      </bottom>
      <diagonal/>
    </border>
    <border>
      <left style="hair">
        <color auto="1"/>
      </left>
      <right style="medium">
        <color auto="1"/>
      </right>
      <top style="double">
        <color auto="1"/>
      </top>
      <bottom style="double">
        <color auto="1"/>
      </bottom>
      <diagonal/>
    </border>
    <border>
      <left style="hair">
        <color auto="1"/>
      </left>
      <right style="medium">
        <color auto="1"/>
      </right>
      <top/>
      <bottom/>
      <diagonal/>
    </border>
    <border>
      <left style="hair">
        <color auto="1"/>
      </left>
      <right style="hair">
        <color auto="1"/>
      </right>
      <top style="hair">
        <color auto="1"/>
      </top>
      <bottom/>
      <diagonal/>
    </border>
    <border>
      <left style="hair">
        <color auto="1"/>
      </left>
      <right/>
      <top/>
      <bottom/>
      <diagonal/>
    </border>
    <border>
      <left style="medium">
        <color auto="1"/>
      </left>
      <right style="medium">
        <color auto="1"/>
      </right>
      <top/>
      <bottom/>
      <diagonal/>
    </border>
    <border>
      <left style="medium">
        <color auto="1"/>
      </left>
      <right style="hair">
        <color auto="1"/>
      </right>
      <top style="hair">
        <color auto="1"/>
      </top>
      <bottom/>
      <diagonal/>
    </border>
    <border>
      <left/>
      <right style="hair">
        <color auto="1"/>
      </right>
      <top/>
      <bottom/>
      <diagonal/>
    </border>
    <border>
      <left style="hair">
        <color auto="1"/>
      </left>
      <right style="medium">
        <color auto="1"/>
      </right>
      <top style="hair">
        <color auto="1"/>
      </top>
      <bottom/>
      <diagonal/>
    </border>
    <border>
      <left/>
      <right style="hair">
        <color auto="1"/>
      </right>
      <top style="hair">
        <color auto="1"/>
      </top>
      <bottom/>
      <diagonal/>
    </border>
    <border>
      <left style="medium">
        <color auto="1"/>
      </left>
      <right style="hair">
        <color auto="1"/>
      </right>
      <top style="double">
        <color auto="1"/>
      </top>
      <bottom style="double">
        <color auto="1"/>
      </bottom>
      <diagonal/>
    </border>
    <border>
      <left/>
      <right style="hair">
        <color auto="1"/>
      </right>
      <top style="double">
        <color auto="1"/>
      </top>
      <bottom style="double">
        <color auto="1"/>
      </bottom>
      <diagonal/>
    </border>
    <border>
      <left style="hair">
        <color auto="1"/>
      </left>
      <right/>
      <top style="double">
        <color auto="1"/>
      </top>
      <bottom style="double">
        <color auto="1"/>
      </bottom>
      <diagonal/>
    </border>
    <border>
      <left style="medium">
        <color auto="1"/>
      </left>
      <right style="medium">
        <color auto="1"/>
      </right>
      <top style="double">
        <color auto="1"/>
      </top>
      <bottom style="double">
        <color auto="1"/>
      </bottom>
      <diagonal/>
    </border>
    <border>
      <left/>
      <right/>
      <top style="double">
        <color auto="1"/>
      </top>
      <bottom style="double">
        <color auto="1"/>
      </bottom>
      <diagonal/>
    </border>
    <border>
      <left style="hair">
        <color auto="1"/>
      </left>
      <right style="medium">
        <color auto="1"/>
      </right>
      <top style="hair">
        <color auto="1"/>
      </top>
      <bottom style="medium">
        <color auto="1"/>
      </bottom>
      <diagonal/>
    </border>
    <border>
      <left style="hair">
        <color auto="1"/>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hair">
        <color auto="1"/>
      </left>
      <right style="hair">
        <color auto="1"/>
      </right>
      <top style="double">
        <color auto="1"/>
      </top>
      <bottom/>
      <diagonal/>
    </border>
    <border>
      <left/>
      <right style="medium">
        <color auto="1"/>
      </right>
      <top/>
      <bottom style="hair">
        <color auto="1"/>
      </bottom>
      <diagonal/>
    </border>
    <border>
      <left style="medium">
        <color auto="1"/>
      </left>
      <right style="hair">
        <color auto="1"/>
      </right>
      <top style="double">
        <color auto="1"/>
      </top>
      <bottom style="hair">
        <color auto="1"/>
      </bottom>
      <diagonal/>
    </border>
    <border>
      <left style="hair">
        <color auto="1"/>
      </left>
      <right style="hair">
        <color auto="1"/>
      </right>
      <top/>
      <bottom style="double">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style="medium">
        <color auto="1"/>
      </top>
      <bottom style="hair">
        <color auto="1"/>
      </bottom>
      <diagonal/>
    </border>
    <border>
      <left/>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style="hair">
        <color auto="1"/>
      </top>
      <bottom/>
      <diagonal/>
    </border>
    <border>
      <left style="medium">
        <color auto="1"/>
      </left>
      <right/>
      <top style="hair">
        <color auto="1"/>
      </top>
      <bottom style="hair">
        <color auto="1"/>
      </bottom>
      <diagonal/>
    </border>
    <border>
      <left style="hair">
        <color auto="1"/>
      </left>
      <right/>
      <top style="hair">
        <color auto="1"/>
      </top>
      <bottom/>
      <diagonal/>
    </border>
    <border>
      <left/>
      <right/>
      <top style="hair">
        <color auto="1"/>
      </top>
      <bottom/>
      <diagonal/>
    </border>
    <border>
      <left style="medium">
        <color auto="1"/>
      </left>
      <right/>
      <top style="hair">
        <color auto="1"/>
      </top>
      <bottom style="medium">
        <color auto="1"/>
      </bottom>
      <diagonal/>
    </border>
    <border>
      <left style="medium">
        <color auto="1"/>
      </left>
      <right style="medium">
        <color auto="1"/>
      </right>
      <top style="hair">
        <color auto="1"/>
      </top>
      <bottom style="medium">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medium">
        <color auto="1"/>
      </left>
      <right style="hair">
        <color auto="1"/>
      </right>
      <top style="medium">
        <color auto="1"/>
      </top>
      <bottom style="hair">
        <color auto="1"/>
      </bottom>
      <diagonal/>
    </border>
    <border>
      <left/>
      <right style="hair">
        <color auto="1"/>
      </right>
      <top style="medium">
        <color auto="1"/>
      </top>
      <bottom style="hair">
        <color auto="1"/>
      </bottom>
      <diagonal/>
    </border>
    <border>
      <left style="medium">
        <color auto="1"/>
      </left>
      <right style="hair">
        <color auto="1"/>
      </right>
      <top style="hair">
        <color auto="1"/>
      </top>
      <bottom style="medium">
        <color auto="1"/>
      </bottom>
      <diagonal/>
    </border>
    <border>
      <left/>
      <right/>
      <top style="hair">
        <color auto="1"/>
      </top>
      <bottom style="medium">
        <color auto="1"/>
      </bottom>
      <diagonal/>
    </border>
    <border>
      <left style="thin">
        <color auto="1"/>
      </left>
      <right style="thin">
        <color indexed="8"/>
      </right>
      <top style="thin">
        <color auto="1"/>
      </top>
      <bottom style="thin">
        <color auto="1"/>
      </bottom>
      <diagonal/>
    </border>
    <border>
      <left/>
      <right/>
      <top/>
      <bottom style="thin">
        <color auto="1"/>
      </bottom>
      <diagonal/>
    </border>
    <border>
      <left/>
      <right style="medium">
        <color indexed="8"/>
      </right>
      <top/>
      <bottom style="thin">
        <color auto="1"/>
      </bottom>
      <diagonal/>
    </border>
    <border>
      <left style="thin">
        <color auto="1"/>
      </left>
      <right style="medium">
        <color indexed="8"/>
      </right>
      <top style="thin">
        <color auto="1"/>
      </top>
      <bottom style="thin">
        <color auto="1"/>
      </bottom>
      <diagonal/>
    </border>
    <border>
      <left style="medium">
        <color indexed="8"/>
      </left>
      <right style="thin">
        <color auto="1"/>
      </right>
      <top style="thin">
        <color auto="1"/>
      </top>
      <bottom style="thin">
        <color auto="1"/>
      </bottom>
      <diagonal/>
    </border>
    <border>
      <left style="dotted">
        <color auto="1"/>
      </left>
      <right style="dotted">
        <color auto="1"/>
      </right>
      <top/>
      <bottom style="dotted">
        <color auto="1"/>
      </bottom>
      <diagonal/>
    </border>
    <border>
      <left style="thin">
        <color auto="1"/>
      </left>
      <right/>
      <top/>
      <bottom/>
      <diagonal/>
    </border>
    <border>
      <left/>
      <right style="medium">
        <color auto="1"/>
      </right>
      <top/>
      <bottom/>
      <diagonal/>
    </border>
    <border>
      <left style="medium">
        <color auto="1"/>
      </left>
      <right/>
      <top style="medium">
        <color auto="1"/>
      </top>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hair">
        <color auto="1"/>
      </left>
      <right style="medium">
        <color indexed="8"/>
      </right>
      <top style="double">
        <color auto="1"/>
      </top>
      <bottom style="hair">
        <color auto="1"/>
      </bottom>
      <diagonal/>
    </border>
    <border>
      <left style="hair">
        <color auto="1"/>
      </left>
      <right style="medium">
        <color indexed="8"/>
      </right>
      <top style="hair">
        <color auto="1"/>
      </top>
      <bottom style="hair">
        <color auto="1"/>
      </bottom>
      <diagonal/>
    </border>
    <border>
      <left style="thin">
        <color auto="1"/>
      </left>
      <right style="dotted">
        <color auto="1"/>
      </right>
      <top/>
      <bottom/>
      <diagonal/>
    </border>
    <border>
      <left style="thin">
        <color auto="1"/>
      </left>
      <right style="dotted">
        <color auto="1"/>
      </right>
      <top/>
      <bottom style="dotted">
        <color auto="1"/>
      </bottom>
      <diagonal/>
    </border>
    <border>
      <left style="thin">
        <color auto="1"/>
      </left>
      <right style="medium">
        <color auto="1"/>
      </right>
      <top/>
      <bottom/>
      <diagonal/>
    </border>
    <border>
      <left style="thin">
        <color auto="1"/>
      </left>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thin">
        <color auto="1"/>
      </left>
      <right style="hair">
        <color auto="1"/>
      </right>
      <top/>
      <bottom style="hair">
        <color auto="1"/>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auto="1"/>
      </left>
      <right/>
      <top/>
      <bottom style="hair">
        <color auto="1"/>
      </bottom>
      <diagonal/>
    </border>
    <border>
      <left/>
      <right style="double">
        <color auto="1"/>
      </right>
      <top/>
      <bottom style="hair">
        <color auto="1"/>
      </bottom>
      <diagonal/>
    </border>
    <border>
      <left/>
      <right style="double">
        <color auto="1"/>
      </right>
      <top style="hair">
        <color auto="1"/>
      </top>
      <bottom style="hair">
        <color auto="1"/>
      </bottom>
      <diagonal/>
    </border>
    <border>
      <left/>
      <right style="medium">
        <color auto="1"/>
      </right>
      <top style="hair">
        <color auto="1"/>
      </top>
      <bottom style="hair">
        <color auto="1"/>
      </bottom>
      <diagonal/>
    </border>
    <border>
      <left style="hair">
        <color auto="1"/>
      </left>
      <right style="double">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style="hair">
        <color auto="1"/>
      </bottom>
      <diagonal/>
    </border>
    <border>
      <left style="thin">
        <color auto="1"/>
      </left>
      <right style="hair">
        <color auto="1"/>
      </right>
      <top/>
      <bottom style="thin">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thin">
        <color auto="1"/>
      </right>
      <top/>
      <bottom style="thin">
        <color auto="1"/>
      </bottom>
      <diagonal/>
    </border>
    <border>
      <left style="thin">
        <color auto="1"/>
      </left>
      <right style="hair">
        <color auto="1"/>
      </right>
      <top/>
      <bottom/>
      <diagonal/>
    </border>
    <border>
      <left style="hair">
        <color auto="1"/>
      </left>
      <right style="thin">
        <color auto="1"/>
      </right>
      <top style="thin">
        <color auto="1"/>
      </top>
      <bottom/>
      <diagonal/>
    </border>
    <border>
      <left/>
      <right style="hair">
        <color auto="1"/>
      </right>
      <top style="hair">
        <color auto="1"/>
      </top>
      <bottom style="thin">
        <color auto="1"/>
      </bottom>
      <diagonal/>
    </border>
    <border>
      <left style="double">
        <color auto="1"/>
      </left>
      <right style="hair">
        <color auto="1"/>
      </right>
      <top style="hair">
        <color auto="1"/>
      </top>
      <bottom style="thin">
        <color auto="1"/>
      </bottom>
      <diagonal/>
    </border>
    <border>
      <left style="hair">
        <color auto="1"/>
      </left>
      <right style="double">
        <color auto="1"/>
      </right>
      <top style="hair">
        <color auto="1"/>
      </top>
      <bottom style="thin">
        <color auto="1"/>
      </bottom>
      <diagonal/>
    </border>
    <border>
      <left style="double">
        <color auto="1"/>
      </left>
      <right style="medium">
        <color auto="1"/>
      </right>
      <top style="hair">
        <color auto="1"/>
      </top>
      <bottom style="thin">
        <color auto="1"/>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double">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double">
        <color auto="1"/>
      </bottom>
      <diagonal/>
    </border>
    <border>
      <left style="double">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double">
        <color auto="1"/>
      </bottom>
      <diagonal/>
    </border>
    <border>
      <left style="thick">
        <color auto="1"/>
      </left>
      <right style="hair">
        <color auto="1"/>
      </right>
      <top style="thick">
        <color auto="1"/>
      </top>
      <bottom style="thick">
        <color auto="1"/>
      </bottom>
      <diagonal/>
    </border>
    <border>
      <left style="hair">
        <color auto="1"/>
      </left>
      <right style="hair">
        <color auto="1"/>
      </right>
      <top style="thick">
        <color auto="1"/>
      </top>
      <bottom style="thick">
        <color auto="1"/>
      </bottom>
      <diagonal/>
    </border>
    <border>
      <left style="hair">
        <color auto="1"/>
      </left>
      <right/>
      <top style="thick">
        <color auto="1"/>
      </top>
      <bottom style="thick">
        <color auto="1"/>
      </bottom>
      <diagonal/>
    </border>
    <border>
      <left style="hair">
        <color auto="1"/>
      </left>
      <right style="thick">
        <color auto="1"/>
      </right>
      <top style="thick">
        <color auto="1"/>
      </top>
      <bottom style="thick">
        <color auto="1"/>
      </bottom>
      <diagonal/>
    </border>
    <border>
      <left style="thick">
        <color auto="1"/>
      </left>
      <right style="hair">
        <color auto="1"/>
      </right>
      <top style="thick">
        <color auto="1"/>
      </top>
      <bottom style="hair">
        <color auto="1"/>
      </bottom>
      <diagonal/>
    </border>
    <border>
      <left style="hair">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bottom style="hair">
        <color auto="1"/>
      </bottom>
      <diagonal/>
    </border>
    <border>
      <left style="thick">
        <color auto="1"/>
      </left>
      <right style="hair">
        <color auto="1"/>
      </right>
      <top style="hair">
        <color auto="1"/>
      </top>
      <bottom style="hair">
        <color auto="1"/>
      </bottom>
      <diagonal/>
    </border>
    <border>
      <left style="thick">
        <color auto="1"/>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top/>
      <bottom style="thick">
        <color auto="1"/>
      </bottom>
      <diagonal/>
    </border>
    <border>
      <left style="thick">
        <color auto="1"/>
      </left>
      <right/>
      <top style="hair">
        <color auto="1"/>
      </top>
      <bottom style="thick">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otted">
        <color auto="1"/>
      </left>
      <right style="dotted">
        <color auto="1"/>
      </right>
      <top style="dotted">
        <color auto="1"/>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diagonal/>
    </border>
    <border>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top/>
      <bottom/>
      <diagonal/>
    </border>
    <border>
      <left style="hair">
        <color rgb="FF000000"/>
      </left>
      <right style="medium">
        <color rgb="FF000000"/>
      </right>
      <top/>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medium">
        <color rgb="FF000000"/>
      </bottom>
      <diagonal/>
    </border>
    <border>
      <left/>
      <right style="hair">
        <color rgb="FF000000"/>
      </right>
      <top style="hair">
        <color rgb="FF000000"/>
      </top>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right style="hair">
        <color rgb="FF000000"/>
      </right>
      <top/>
      <bottom style="hair">
        <color rgb="FF000000"/>
      </bottom>
      <diagonal/>
    </border>
    <border>
      <left style="hair">
        <color rgb="FF000000"/>
      </left>
      <right/>
      <top/>
      <bottom style="medium">
        <color rgb="FF000000"/>
      </bottom>
      <diagonal/>
    </border>
    <border>
      <left/>
      <right style="medium">
        <color rgb="FF000000"/>
      </right>
      <top/>
      <bottom/>
      <diagonal/>
    </border>
    <border>
      <left style="hair">
        <color rgb="FF000000"/>
      </left>
      <right style="medium">
        <color rgb="FF000000"/>
      </right>
      <top style="hair">
        <color rgb="FF000000"/>
      </top>
      <bottom style="medium">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style="medium">
        <color rgb="FF000000"/>
      </left>
      <right/>
      <top/>
      <bottom style="hair">
        <color rgb="FF000000"/>
      </bottom>
      <diagonal/>
    </border>
    <border>
      <left style="hair">
        <color rgb="FF000000"/>
      </left>
      <right style="hair">
        <color rgb="FF000000"/>
      </right>
      <top style="medium">
        <color auto="1"/>
      </top>
      <bottom style="hair">
        <color rgb="FF000000"/>
      </bottom>
      <diagonal/>
    </border>
    <border>
      <left/>
      <right style="hair">
        <color rgb="FF000000"/>
      </right>
      <top style="medium">
        <color auto="1"/>
      </top>
      <bottom style="hair">
        <color rgb="FF000000"/>
      </bottom>
      <diagonal/>
    </border>
    <border>
      <left style="double">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right/>
      <top style="double">
        <color auto="1"/>
      </top>
      <bottom style="hair">
        <color auto="1"/>
      </bottom>
      <diagonal/>
    </border>
    <border>
      <left/>
      <right style="hair">
        <color auto="1"/>
      </right>
      <top style="double">
        <color auto="1"/>
      </top>
      <bottom style="hair">
        <color auto="1"/>
      </bottom>
      <diagonal/>
    </border>
    <border>
      <left style="double">
        <color auto="1"/>
      </left>
      <right style="hair">
        <color auto="1"/>
      </right>
      <top/>
      <bottom/>
      <diagonal/>
    </border>
    <border>
      <left style="double">
        <color auto="1"/>
      </left>
      <right style="hair">
        <color auto="1"/>
      </right>
      <top/>
      <bottom style="hair">
        <color auto="1"/>
      </bottom>
      <diagonal/>
    </border>
    <border>
      <left style="double">
        <color auto="1"/>
      </left>
      <right style="hair">
        <color auto="1"/>
      </right>
      <top style="hair">
        <color auto="1"/>
      </top>
      <bottom style="hair">
        <color auto="1"/>
      </bottom>
      <diagonal/>
    </border>
    <border>
      <left style="double">
        <color auto="1"/>
      </left>
      <right style="hair">
        <color auto="1"/>
      </right>
      <top style="hair">
        <color auto="1"/>
      </top>
      <bottom/>
      <diagonal/>
    </border>
    <border>
      <left style="hair">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right/>
      <top style="double">
        <color auto="1"/>
      </top>
      <bottom/>
      <diagonal/>
    </border>
    <border>
      <left style="hair">
        <color auto="1"/>
      </left>
      <right style="hair">
        <color auto="1"/>
      </right>
      <top style="medium">
        <color auto="1"/>
      </top>
      <bottom style="hair">
        <color auto="1"/>
      </bottom>
      <diagonal/>
    </border>
    <border>
      <left style="medium">
        <color auto="1"/>
      </left>
      <right style="hair">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122"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35" fillId="74" borderId="207" applyNumberFormat="0" applyFont="0" applyAlignment="0" applyProtection="0">
      <alignment vertical="center"/>
    </xf>
    <xf numFmtId="0" fontId="124"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7" fillId="0" borderId="208" applyNumberFormat="0" applyFill="0" applyAlignment="0" applyProtection="0">
      <alignment vertical="center"/>
    </xf>
    <xf numFmtId="0" fontId="128" fillId="0" borderId="208" applyNumberFormat="0" applyFill="0" applyAlignment="0" applyProtection="0">
      <alignment vertical="center"/>
    </xf>
    <xf numFmtId="0" fontId="129" fillId="0" borderId="209" applyNumberFormat="0" applyFill="0" applyAlignment="0" applyProtection="0">
      <alignment vertical="center"/>
    </xf>
    <xf numFmtId="0" fontId="129" fillId="0" borderId="0" applyNumberFormat="0" applyFill="0" applyBorder="0" applyAlignment="0" applyProtection="0">
      <alignment vertical="center"/>
    </xf>
    <xf numFmtId="0" fontId="130" fillId="75" borderId="210" applyNumberFormat="0" applyAlignment="0" applyProtection="0">
      <alignment vertical="center"/>
    </xf>
    <xf numFmtId="0" fontId="131" fillId="76" borderId="211" applyNumberFormat="0" applyAlignment="0" applyProtection="0">
      <alignment vertical="center"/>
    </xf>
    <xf numFmtId="0" fontId="132" fillId="76" borderId="210" applyNumberFormat="0" applyAlignment="0" applyProtection="0">
      <alignment vertical="center"/>
    </xf>
    <xf numFmtId="0" fontId="133" fillId="77" borderId="212" applyNumberFormat="0" applyAlignment="0" applyProtection="0">
      <alignment vertical="center"/>
    </xf>
    <xf numFmtId="0" fontId="134" fillId="0" borderId="213" applyNumberFormat="0" applyFill="0" applyAlignment="0" applyProtection="0">
      <alignment vertical="center"/>
    </xf>
    <xf numFmtId="0" fontId="135" fillId="0" borderId="214" applyNumberFormat="0" applyFill="0" applyAlignment="0" applyProtection="0">
      <alignment vertical="center"/>
    </xf>
    <xf numFmtId="0" fontId="136" fillId="78" borderId="0" applyNumberFormat="0" applyBorder="0" applyAlignment="0" applyProtection="0">
      <alignment vertical="center"/>
    </xf>
    <xf numFmtId="0" fontId="137" fillId="79" borderId="0" applyNumberFormat="0" applyBorder="0" applyAlignment="0" applyProtection="0">
      <alignment vertical="center"/>
    </xf>
    <xf numFmtId="0" fontId="138" fillId="80" borderId="0" applyNumberFormat="0" applyBorder="0" applyAlignment="0" applyProtection="0">
      <alignment vertical="center"/>
    </xf>
    <xf numFmtId="0" fontId="139" fillId="81" borderId="0" applyNumberFormat="0" applyBorder="0" applyAlignment="0" applyProtection="0">
      <alignment vertical="center"/>
    </xf>
    <xf numFmtId="0" fontId="140" fillId="82" borderId="0" applyNumberFormat="0" applyBorder="0" applyAlignment="0" applyProtection="0">
      <alignment vertical="center"/>
    </xf>
    <xf numFmtId="0" fontId="140" fillId="83" borderId="0" applyNumberFormat="0" applyBorder="0" applyAlignment="0" applyProtection="0">
      <alignment vertical="center"/>
    </xf>
    <xf numFmtId="0" fontId="139" fillId="84" borderId="0" applyNumberFormat="0" applyBorder="0" applyAlignment="0" applyProtection="0">
      <alignment vertical="center"/>
    </xf>
    <xf numFmtId="0" fontId="139" fillId="85" borderId="0" applyNumberFormat="0" applyBorder="0" applyAlignment="0" applyProtection="0">
      <alignment vertical="center"/>
    </xf>
    <xf numFmtId="0" fontId="140" fillId="86" borderId="0" applyNumberFormat="0" applyBorder="0" applyAlignment="0" applyProtection="0">
      <alignment vertical="center"/>
    </xf>
    <xf numFmtId="0" fontId="140" fillId="87" borderId="0" applyNumberFormat="0" applyBorder="0" applyAlignment="0" applyProtection="0">
      <alignment vertical="center"/>
    </xf>
    <xf numFmtId="0" fontId="139" fillId="88" borderId="0" applyNumberFormat="0" applyBorder="0" applyAlignment="0" applyProtection="0">
      <alignment vertical="center"/>
    </xf>
    <xf numFmtId="0" fontId="139" fillId="89" borderId="0" applyNumberFormat="0" applyBorder="0" applyAlignment="0" applyProtection="0">
      <alignment vertical="center"/>
    </xf>
    <xf numFmtId="0" fontId="140" fillId="90" borderId="0" applyNumberFormat="0" applyBorder="0" applyAlignment="0" applyProtection="0">
      <alignment vertical="center"/>
    </xf>
    <xf numFmtId="0" fontId="140" fillId="91" borderId="0" applyNumberFormat="0" applyBorder="0" applyAlignment="0" applyProtection="0">
      <alignment vertical="center"/>
    </xf>
    <xf numFmtId="0" fontId="139" fillId="92" borderId="0" applyNumberFormat="0" applyBorder="0" applyAlignment="0" applyProtection="0">
      <alignment vertical="center"/>
    </xf>
    <xf numFmtId="0" fontId="139" fillId="93" borderId="0" applyNumberFormat="0" applyBorder="0" applyAlignment="0" applyProtection="0">
      <alignment vertical="center"/>
    </xf>
    <xf numFmtId="0" fontId="140" fillId="94" borderId="0" applyNumberFormat="0" applyBorder="0" applyAlignment="0" applyProtection="0">
      <alignment vertical="center"/>
    </xf>
    <xf numFmtId="0" fontId="140" fillId="95" borderId="0" applyNumberFormat="0" applyBorder="0" applyAlignment="0" applyProtection="0">
      <alignment vertical="center"/>
    </xf>
    <xf numFmtId="0" fontId="139" fillId="96" borderId="0" applyNumberFormat="0" applyBorder="0" applyAlignment="0" applyProtection="0">
      <alignment vertical="center"/>
    </xf>
    <xf numFmtId="0" fontId="139" fillId="97" borderId="0" applyNumberFormat="0" applyBorder="0" applyAlignment="0" applyProtection="0">
      <alignment vertical="center"/>
    </xf>
    <xf numFmtId="0" fontId="140" fillId="98" borderId="0" applyNumberFormat="0" applyBorder="0" applyAlignment="0" applyProtection="0">
      <alignment vertical="center"/>
    </xf>
    <xf numFmtId="0" fontId="140" fillId="99" borderId="0" applyNumberFormat="0" applyBorder="0" applyAlignment="0" applyProtection="0">
      <alignment vertical="center"/>
    </xf>
    <xf numFmtId="0" fontId="139" fillId="100" borderId="0" applyNumberFormat="0" applyBorder="0" applyAlignment="0" applyProtection="0">
      <alignment vertical="center"/>
    </xf>
    <xf numFmtId="0" fontId="139" fillId="101" borderId="0" applyNumberFormat="0" applyBorder="0" applyAlignment="0" applyProtection="0">
      <alignment vertical="center"/>
    </xf>
    <xf numFmtId="0" fontId="140" fillId="102" borderId="0" applyNumberFormat="0" applyBorder="0" applyAlignment="0" applyProtection="0">
      <alignment vertical="center"/>
    </xf>
    <xf numFmtId="0" fontId="140" fillId="103" borderId="0" applyNumberFormat="0" applyBorder="0" applyAlignment="0" applyProtection="0">
      <alignment vertical="center"/>
    </xf>
    <xf numFmtId="0" fontId="139" fillId="104" borderId="0" applyNumberFormat="0" applyBorder="0" applyAlignment="0" applyProtection="0">
      <alignment vertical="center"/>
    </xf>
  </cellStyleXfs>
  <cellXfs count="1437">
    <xf numFmtId="0" fontId="0" fillId="0" borderId="0" xfId="0"/>
    <xf numFmtId="176" fontId="1" fillId="0" borderId="0" xfId="0" applyNumberFormat="1" applyFont="1" applyAlignment="1">
      <alignment horizontal="center" vertical="center" wrapText="1"/>
    </xf>
    <xf numFmtId="177" fontId="2" fillId="0" borderId="1" xfId="0" applyNumberFormat="1" applyFont="1" applyBorder="1" applyAlignment="1">
      <alignment horizontal="left" vertical="top" wrapText="1"/>
    </xf>
    <xf numFmtId="0" fontId="0" fillId="0" borderId="1" xfId="0" applyBorder="1"/>
    <xf numFmtId="176" fontId="3" fillId="2" borderId="2" xfId="0" applyNumberFormat="1" applyFont="1" applyFill="1" applyBorder="1" applyAlignment="1">
      <alignment horizontal="center" vertical="center" wrapText="1"/>
    </xf>
    <xf numFmtId="176" fontId="3" fillId="2" borderId="3" xfId="0" applyNumberFormat="1" applyFont="1" applyFill="1" applyBorder="1" applyAlignment="1">
      <alignment horizontal="center" vertical="center" wrapText="1"/>
    </xf>
    <xf numFmtId="176" fontId="3" fillId="2" borderId="3" xfId="0" applyNumberFormat="1" applyFont="1" applyFill="1" applyBorder="1" applyAlignment="1">
      <alignment vertical="center" wrapText="1"/>
    </xf>
    <xf numFmtId="176" fontId="3" fillId="2" borderId="4" xfId="0" applyNumberFormat="1" applyFont="1" applyFill="1" applyBorder="1" applyAlignment="1">
      <alignment vertical="center" wrapText="1"/>
    </xf>
    <xf numFmtId="176" fontId="4" fillId="2" borderId="5" xfId="0" applyNumberFormat="1" applyFont="1" applyFill="1" applyBorder="1" applyAlignment="1">
      <alignment vertical="center" wrapText="1" shrinkToFit="1"/>
    </xf>
    <xf numFmtId="176" fontId="4" fillId="2" borderId="5" xfId="0" applyNumberFormat="1" applyFont="1" applyFill="1" applyBorder="1" applyAlignment="1">
      <alignment horizontal="center" vertical="center" wrapText="1" shrinkToFit="1"/>
    </xf>
    <xf numFmtId="176" fontId="4" fillId="2" borderId="2" xfId="0" applyNumberFormat="1" applyFont="1" applyFill="1" applyBorder="1" applyAlignment="1">
      <alignment vertical="center" wrapText="1" shrinkToFit="1"/>
    </xf>
    <xf numFmtId="176" fontId="4" fillId="2" borderId="3" xfId="0" applyNumberFormat="1" applyFont="1" applyFill="1" applyBorder="1" applyAlignment="1">
      <alignment vertical="center" wrapText="1" shrinkToFit="1"/>
    </xf>
    <xf numFmtId="176" fontId="5" fillId="2" borderId="3" xfId="0" applyNumberFormat="1" applyFont="1" applyFill="1" applyBorder="1" applyAlignment="1">
      <alignment vertical="center" wrapText="1" shrinkToFit="1"/>
    </xf>
    <xf numFmtId="176" fontId="4" fillId="3" borderId="3" xfId="0" applyNumberFormat="1" applyFont="1" applyFill="1" applyBorder="1" applyAlignment="1">
      <alignment vertical="center" wrapText="1" shrinkToFit="1"/>
    </xf>
    <xf numFmtId="176" fontId="4" fillId="2" borderId="6" xfId="0" applyNumberFormat="1" applyFont="1" applyFill="1" applyBorder="1" applyAlignment="1">
      <alignment vertical="center" wrapText="1" shrinkToFit="1"/>
    </xf>
    <xf numFmtId="176" fontId="3" fillId="2" borderId="7" xfId="0" applyNumberFormat="1" applyFont="1" applyFill="1" applyBorder="1" applyAlignment="1">
      <alignment vertical="center" wrapText="1"/>
    </xf>
    <xf numFmtId="176" fontId="3" fillId="2" borderId="8" xfId="0" applyNumberFormat="1" applyFont="1" applyFill="1" applyBorder="1" applyAlignment="1">
      <alignment vertical="center" wrapText="1"/>
    </xf>
    <xf numFmtId="176" fontId="3" fillId="2" borderId="2" xfId="0" applyNumberFormat="1" applyFont="1" applyFill="1" applyBorder="1" applyAlignment="1">
      <alignment vertical="center" wrapText="1"/>
    </xf>
    <xf numFmtId="176" fontId="4" fillId="2" borderId="5" xfId="0" applyNumberFormat="1" applyFont="1" applyFill="1" applyBorder="1" applyAlignment="1">
      <alignment vertical="center" wrapText="1"/>
    </xf>
    <xf numFmtId="176" fontId="5" fillId="2" borderId="3" xfId="0" applyNumberFormat="1" applyFont="1" applyFill="1" applyBorder="1" applyAlignment="1">
      <alignment vertical="center" wrapText="1"/>
    </xf>
    <xf numFmtId="176" fontId="3" fillId="2" borderId="5" xfId="0" applyNumberFormat="1" applyFont="1" applyFill="1" applyBorder="1" applyAlignment="1">
      <alignment vertical="center" wrapText="1"/>
    </xf>
    <xf numFmtId="176" fontId="4" fillId="2" borderId="6" xfId="0" applyNumberFormat="1" applyFont="1" applyFill="1" applyBorder="1" applyAlignment="1">
      <alignment vertical="center" wrapText="1"/>
    </xf>
    <xf numFmtId="176" fontId="4" fillId="4" borderId="6" xfId="0" applyNumberFormat="1" applyFont="1" applyFill="1" applyBorder="1" applyAlignment="1">
      <alignment vertical="center" wrapText="1"/>
    </xf>
    <xf numFmtId="176" fontId="3" fillId="5" borderId="4" xfId="0" applyNumberFormat="1" applyFont="1" applyFill="1" applyBorder="1" applyAlignment="1">
      <alignment vertical="center" wrapText="1"/>
    </xf>
    <xf numFmtId="176" fontId="4" fillId="2" borderId="9" xfId="0" applyNumberFormat="1" applyFont="1" applyFill="1" applyBorder="1" applyAlignment="1">
      <alignment vertical="center" wrapText="1"/>
    </xf>
    <xf numFmtId="176" fontId="3" fillId="2" borderId="10" xfId="0" applyNumberFormat="1" applyFont="1" applyFill="1" applyBorder="1" applyAlignment="1">
      <alignment vertical="center" wrapText="1"/>
    </xf>
    <xf numFmtId="176" fontId="6" fillId="2" borderId="0" xfId="0" applyNumberFormat="1" applyFont="1" applyFill="1"/>
    <xf numFmtId="177" fontId="6" fillId="2" borderId="0" xfId="0" applyNumberFormat="1" applyFont="1" applyFill="1" applyAlignment="1">
      <alignment wrapText="1"/>
    </xf>
    <xf numFmtId="177" fontId="6" fillId="0" borderId="0" xfId="0" applyNumberFormat="1" applyFont="1"/>
    <xf numFmtId="177" fontId="7" fillId="0" borderId="0" xfId="0" applyNumberFormat="1" applyFont="1"/>
    <xf numFmtId="178" fontId="1" fillId="0" borderId="11" xfId="0" applyNumberFormat="1" applyFont="1" applyBorder="1" applyAlignment="1">
      <alignment horizontal="center" vertical="center"/>
    </xf>
    <xf numFmtId="177" fontId="8" fillId="6" borderId="12" xfId="0" applyNumberFormat="1" applyFont="1" applyFill="1" applyBorder="1" applyAlignment="1">
      <alignment vertical="center" wrapText="1"/>
    </xf>
    <xf numFmtId="177" fontId="8" fillId="0" borderId="13" xfId="0" applyNumberFormat="1" applyFont="1" applyBorder="1"/>
    <xf numFmtId="176" fontId="6" fillId="6" borderId="14" xfId="0" applyNumberFormat="1" applyFont="1" applyFill="1" applyBorder="1" applyAlignment="1">
      <alignment vertical="center"/>
    </xf>
    <xf numFmtId="178" fontId="1" fillId="5" borderId="14" xfId="0" applyNumberFormat="1" applyFont="1" applyFill="1" applyBorder="1" applyAlignment="1">
      <alignment vertical="center"/>
    </xf>
    <xf numFmtId="178" fontId="1" fillId="0" borderId="15" xfId="0" applyNumberFormat="1" applyFont="1" applyBorder="1" applyAlignment="1">
      <alignment vertical="center"/>
    </xf>
    <xf numFmtId="178" fontId="1" fillId="0" borderId="16" xfId="0" applyNumberFormat="1" applyFont="1" applyBorder="1" applyAlignment="1">
      <alignment vertical="center"/>
    </xf>
    <xf numFmtId="176" fontId="1" fillId="0" borderId="11" xfId="0" applyNumberFormat="1" applyFont="1" applyBorder="1" applyAlignment="1">
      <alignment vertical="center"/>
    </xf>
    <xf numFmtId="176" fontId="1" fillId="0" borderId="15" xfId="0" applyNumberFormat="1" applyFont="1" applyBorder="1" applyAlignment="1">
      <alignment vertical="center"/>
    </xf>
    <xf numFmtId="176" fontId="1" fillId="0" borderId="15" xfId="0" applyNumberFormat="1" applyFont="1" applyBorder="1" applyAlignment="1">
      <alignment horizontal="center" vertical="center"/>
    </xf>
    <xf numFmtId="176" fontId="1" fillId="0" borderId="17" xfId="0" applyNumberFormat="1" applyFont="1" applyBorder="1" applyAlignment="1">
      <alignment vertical="center"/>
    </xf>
    <xf numFmtId="176" fontId="1" fillId="0" borderId="18" xfId="0" applyNumberFormat="1" applyFont="1" applyBorder="1" applyAlignment="1">
      <alignment vertical="center"/>
    </xf>
    <xf numFmtId="176" fontId="1" fillId="0" borderId="19" xfId="0" applyNumberFormat="1" applyFont="1" applyBorder="1" applyAlignment="1">
      <alignment vertical="center"/>
    </xf>
    <xf numFmtId="176" fontId="1" fillId="0" borderId="20" xfId="0" applyNumberFormat="1" applyFont="1" applyBorder="1" applyAlignment="1">
      <alignment vertical="center"/>
    </xf>
    <xf numFmtId="176" fontId="1" fillId="0" borderId="21" xfId="0" applyNumberFormat="1" applyFont="1" applyBorder="1" applyAlignment="1">
      <alignment vertical="center"/>
    </xf>
    <xf numFmtId="176" fontId="1" fillId="0" borderId="22" xfId="0" applyNumberFormat="1" applyFont="1" applyBorder="1" applyAlignment="1">
      <alignment vertical="center"/>
    </xf>
    <xf numFmtId="176" fontId="1" fillId="5" borderId="16" xfId="0" applyNumberFormat="1" applyFont="1" applyFill="1" applyBorder="1" applyAlignment="1">
      <alignment vertical="center"/>
    </xf>
    <xf numFmtId="176" fontId="1" fillId="0" borderId="13" xfId="0" applyNumberFormat="1" applyFont="1" applyBorder="1" applyAlignment="1">
      <alignment vertical="center"/>
    </xf>
    <xf numFmtId="176" fontId="1" fillId="2" borderId="17" xfId="0" applyNumberFormat="1" applyFont="1" applyFill="1" applyBorder="1" applyAlignment="1">
      <alignment vertical="center"/>
    </xf>
    <xf numFmtId="176" fontId="1" fillId="2" borderId="0" xfId="0" applyNumberFormat="1" applyFont="1" applyFill="1"/>
    <xf numFmtId="176" fontId="1" fillId="0" borderId="23" xfId="0" applyNumberFormat="1" applyFont="1" applyBorder="1"/>
    <xf numFmtId="177" fontId="7" fillId="0" borderId="0" xfId="0" applyNumberFormat="1" applyFont="1" applyAlignment="1">
      <alignment horizontal="left" vertical="top" wrapText="1"/>
    </xf>
    <xf numFmtId="2" fontId="7" fillId="0" borderId="0" xfId="0" applyNumberFormat="1" applyFont="1" applyAlignment="1">
      <alignment horizontal="left" vertical="top" wrapText="1"/>
    </xf>
    <xf numFmtId="177" fontId="1" fillId="2" borderId="0" xfId="0" applyNumberFormat="1" applyFont="1" applyFill="1"/>
    <xf numFmtId="178" fontId="1" fillId="7" borderId="11" xfId="0" applyNumberFormat="1" applyFont="1" applyFill="1" applyBorder="1" applyAlignment="1">
      <alignment horizontal="center" vertical="center"/>
    </xf>
    <xf numFmtId="177" fontId="8" fillId="7" borderId="12" xfId="0" applyNumberFormat="1" applyFont="1" applyFill="1" applyBorder="1" applyAlignment="1">
      <alignment vertical="center"/>
    </xf>
    <xf numFmtId="177" fontId="8" fillId="7" borderId="13" xfId="0" applyNumberFormat="1" applyFont="1" applyFill="1" applyBorder="1"/>
    <xf numFmtId="176" fontId="6" fillId="7" borderId="14" xfId="0" applyNumberFormat="1" applyFont="1" applyFill="1" applyBorder="1" applyAlignment="1">
      <alignment vertical="center"/>
    </xf>
    <xf numFmtId="178" fontId="1" fillId="7" borderId="14" xfId="0" applyNumberFormat="1" applyFont="1" applyFill="1" applyBorder="1" applyAlignment="1">
      <alignment vertical="center"/>
    </xf>
    <xf numFmtId="43" fontId="1" fillId="8" borderId="2" xfId="0" applyNumberFormat="1" applyFont="1" applyFill="1" applyBorder="1" applyAlignment="1">
      <alignment horizontal="center" vertical="center"/>
    </xf>
    <xf numFmtId="43" fontId="8" fillId="8" borderId="3" xfId="0" applyNumberFormat="1" applyFont="1" applyFill="1" applyBorder="1" applyAlignment="1">
      <alignment horizontal="center" vertical="center"/>
    </xf>
    <xf numFmtId="43" fontId="8" fillId="8" borderId="5" xfId="0" applyNumberFormat="1" applyFont="1" applyFill="1" applyBorder="1"/>
    <xf numFmtId="43" fontId="6" fillId="8" borderId="3" xfId="0" applyNumberFormat="1" applyFont="1" applyFill="1" applyBorder="1" applyAlignment="1">
      <alignment vertical="center"/>
    </xf>
    <xf numFmtId="43" fontId="1" fillId="8" borderId="3" xfId="0" applyNumberFormat="1" applyFont="1" applyFill="1" applyBorder="1" applyAlignment="1">
      <alignment vertical="center"/>
    </xf>
    <xf numFmtId="43" fontId="1" fillId="2" borderId="0" xfId="0" applyNumberFormat="1" applyFont="1" applyFill="1"/>
    <xf numFmtId="176" fontId="1" fillId="2" borderId="0" xfId="0" applyNumberFormat="1" applyFont="1" applyFill="1" applyAlignment="1">
      <alignment wrapText="1"/>
    </xf>
    <xf numFmtId="176" fontId="6" fillId="2" borderId="24" xfId="0" applyNumberFormat="1" applyFont="1" applyFill="1" applyBorder="1" applyAlignment="1">
      <alignment vertical="center" wrapText="1"/>
    </xf>
    <xf numFmtId="176" fontId="1" fillId="2" borderId="24" xfId="0" applyNumberFormat="1" applyFont="1" applyFill="1" applyBorder="1" applyAlignment="1">
      <alignment vertical="center" wrapText="1"/>
    </xf>
    <xf numFmtId="176" fontId="6" fillId="2" borderId="0" xfId="0" applyNumberFormat="1" applyFont="1" applyFill="1" applyAlignment="1">
      <alignment vertical="center" wrapText="1"/>
    </xf>
    <xf numFmtId="176" fontId="1" fillId="2" borderId="0" xfId="0" applyNumberFormat="1" applyFont="1" applyFill="1" applyAlignment="1">
      <alignment vertical="center" wrapText="1"/>
    </xf>
    <xf numFmtId="176" fontId="6" fillId="2" borderId="0" xfId="0" applyNumberFormat="1" applyFont="1" applyFill="1" applyAlignment="1">
      <alignment horizontal="center"/>
    </xf>
    <xf numFmtId="176" fontId="1" fillId="5" borderId="0" xfId="0" applyNumberFormat="1" applyFont="1" applyFill="1"/>
    <xf numFmtId="176" fontId="3" fillId="2" borderId="4" xfId="0" applyNumberFormat="1" applyFont="1" applyFill="1" applyBorder="1" applyAlignment="1">
      <alignment horizontal="center" vertical="center" wrapText="1"/>
    </xf>
    <xf numFmtId="176" fontId="3" fillId="2" borderId="5" xfId="0" applyNumberFormat="1" applyFont="1" applyFill="1" applyBorder="1" applyAlignment="1">
      <alignment horizontal="center" vertical="center" wrapText="1"/>
    </xf>
    <xf numFmtId="177" fontId="6" fillId="2" borderId="0" xfId="0" applyNumberFormat="1" applyFont="1" applyFill="1"/>
    <xf numFmtId="178" fontId="1" fillId="2" borderId="25" xfId="0" applyNumberFormat="1" applyFont="1" applyFill="1" applyBorder="1"/>
    <xf numFmtId="178" fontId="7" fillId="6" borderId="16" xfId="0" applyNumberFormat="1" applyFont="1" applyFill="1" applyBorder="1" applyAlignment="1">
      <alignment vertical="center"/>
    </xf>
    <xf numFmtId="176" fontId="1" fillId="0" borderId="14" xfId="0" applyNumberFormat="1" applyFont="1" applyBorder="1" applyAlignment="1">
      <alignment vertical="center"/>
    </xf>
    <xf numFmtId="0" fontId="0" fillId="0" borderId="16" xfId="0" applyBorder="1"/>
    <xf numFmtId="178" fontId="1" fillId="8" borderId="26" xfId="0" applyNumberFormat="1" applyFont="1" applyFill="1" applyBorder="1" applyAlignment="1">
      <alignment vertical="center"/>
    </xf>
    <xf numFmtId="178" fontId="1" fillId="8" borderId="27" xfId="0" applyNumberFormat="1" applyFont="1" applyFill="1" applyBorder="1" applyAlignment="1">
      <alignment vertical="center"/>
    </xf>
    <xf numFmtId="0" fontId="0" fillId="0" borderId="28" xfId="0" applyBorder="1"/>
    <xf numFmtId="178" fontId="1" fillId="5" borderId="29" xfId="0" applyNumberFormat="1" applyFont="1" applyFill="1" applyBorder="1" applyAlignment="1">
      <alignment vertical="center"/>
    </xf>
    <xf numFmtId="178" fontId="1" fillId="0" borderId="12" xfId="0" applyNumberFormat="1" applyFont="1" applyBorder="1" applyAlignment="1">
      <alignment vertical="center"/>
    </xf>
    <xf numFmtId="178" fontId="1" fillId="0" borderId="28" xfId="0" applyNumberFormat="1" applyFont="1" applyBorder="1" applyAlignment="1">
      <alignment vertical="center"/>
    </xf>
    <xf numFmtId="176" fontId="1" fillId="0" borderId="12" xfId="0" applyNumberFormat="1" applyFont="1" applyBorder="1" applyAlignment="1">
      <alignment vertical="center"/>
    </xf>
    <xf numFmtId="176" fontId="1" fillId="0" borderId="29" xfId="0" applyNumberFormat="1" applyFont="1" applyBorder="1" applyAlignment="1">
      <alignment vertical="center"/>
    </xf>
    <xf numFmtId="176" fontId="1" fillId="0" borderId="12" xfId="0" applyNumberFormat="1" applyFont="1" applyBorder="1" applyAlignment="1">
      <alignment horizontal="center" vertical="center"/>
    </xf>
    <xf numFmtId="176" fontId="1" fillId="0" borderId="30" xfId="0" applyNumberFormat="1" applyFont="1" applyBorder="1" applyAlignment="1">
      <alignment vertical="center"/>
    </xf>
    <xf numFmtId="176" fontId="1" fillId="0" borderId="31" xfId="0" applyNumberFormat="1" applyFont="1" applyBorder="1" applyAlignment="1">
      <alignment vertical="center"/>
    </xf>
    <xf numFmtId="176" fontId="1" fillId="0" borderId="0" xfId="0" applyNumberFormat="1" applyFont="1" applyAlignment="1">
      <alignment vertical="center"/>
    </xf>
    <xf numFmtId="176" fontId="1" fillId="0" borderId="32" xfId="0" applyNumberFormat="1" applyFont="1" applyBorder="1" applyAlignment="1">
      <alignment vertical="center"/>
    </xf>
    <xf numFmtId="176" fontId="1" fillId="0" borderId="33" xfId="0" applyNumberFormat="1" applyFont="1" applyBorder="1" applyAlignment="1">
      <alignment vertical="center"/>
    </xf>
    <xf numFmtId="176" fontId="1" fillId="0" borderId="34" xfId="0" applyNumberFormat="1" applyFont="1" applyBorder="1" applyAlignment="1">
      <alignment vertical="center"/>
    </xf>
    <xf numFmtId="176" fontId="1" fillId="5" borderId="28" xfId="0" applyNumberFormat="1" applyFont="1" applyFill="1" applyBorder="1" applyAlignment="1">
      <alignment vertical="center"/>
    </xf>
    <xf numFmtId="176" fontId="1" fillId="0" borderId="35" xfId="0" applyNumberFormat="1" applyFont="1" applyBorder="1" applyAlignment="1">
      <alignment vertical="center"/>
    </xf>
    <xf numFmtId="178" fontId="7" fillId="0" borderId="17" xfId="0" applyNumberFormat="1" applyFont="1" applyBorder="1" applyAlignment="1">
      <alignment vertical="center"/>
    </xf>
    <xf numFmtId="178" fontId="1" fillId="5" borderId="15" xfId="0" applyNumberFormat="1" applyFont="1" applyFill="1" applyBorder="1" applyAlignment="1">
      <alignment vertical="center"/>
    </xf>
    <xf numFmtId="176" fontId="1" fillId="0" borderId="16" xfId="0" applyNumberFormat="1" applyFont="1" applyBorder="1" applyAlignment="1">
      <alignment vertical="center"/>
    </xf>
    <xf numFmtId="176" fontId="1" fillId="8" borderId="36" xfId="0" applyNumberFormat="1" applyFont="1" applyFill="1" applyBorder="1" applyAlignment="1">
      <alignment vertical="center"/>
    </xf>
    <xf numFmtId="176" fontId="1" fillId="8" borderId="26" xfId="0" applyNumberFormat="1" applyFont="1" applyFill="1" applyBorder="1" applyAlignment="1">
      <alignment vertical="center"/>
    </xf>
    <xf numFmtId="176" fontId="1" fillId="8" borderId="26" xfId="0" applyNumberFormat="1" applyFont="1" applyFill="1" applyBorder="1" applyAlignment="1">
      <alignment horizontal="center" vertical="center"/>
    </xf>
    <xf numFmtId="176" fontId="1" fillId="8" borderId="27" xfId="0" applyNumberFormat="1" applyFont="1" applyFill="1" applyBorder="1" applyAlignment="1">
      <alignment vertical="center"/>
    </xf>
    <xf numFmtId="176" fontId="1" fillId="8" borderId="37" xfId="0" applyNumberFormat="1" applyFont="1" applyFill="1" applyBorder="1" applyAlignment="1">
      <alignment vertical="center"/>
    </xf>
    <xf numFmtId="176" fontId="1" fillId="8" borderId="38" xfId="0" applyNumberFormat="1" applyFont="1" applyFill="1" applyBorder="1" applyAlignment="1">
      <alignment vertical="center"/>
    </xf>
    <xf numFmtId="176" fontId="1" fillId="8" borderId="39" xfId="0" applyNumberFormat="1" applyFont="1" applyFill="1" applyBorder="1" applyAlignment="1">
      <alignment vertical="center"/>
    </xf>
    <xf numFmtId="176" fontId="1" fillId="8" borderId="40" xfId="0" applyNumberFormat="1" applyFont="1" applyFill="1" applyBorder="1" applyAlignment="1">
      <alignment vertical="center"/>
    </xf>
    <xf numFmtId="178" fontId="8" fillId="9" borderId="17" xfId="0" applyNumberFormat="1" applyFont="1" applyFill="1" applyBorder="1" applyAlignment="1">
      <alignment horizontal="center" vertical="center" wrapText="1"/>
    </xf>
    <xf numFmtId="178" fontId="7" fillId="9" borderId="17" xfId="0" applyNumberFormat="1" applyFont="1" applyFill="1" applyBorder="1" applyAlignment="1">
      <alignment vertical="center"/>
    </xf>
    <xf numFmtId="178" fontId="8" fillId="9" borderId="41" xfId="0" applyNumberFormat="1" applyFont="1" applyFill="1" applyBorder="1" applyAlignment="1">
      <alignment vertical="center"/>
    </xf>
    <xf numFmtId="0" fontId="0" fillId="0" borderId="42" xfId="0" applyBorder="1"/>
    <xf numFmtId="177" fontId="9" fillId="10" borderId="0" xfId="0" applyNumberFormat="1" applyFont="1" applyFill="1"/>
    <xf numFmtId="176" fontId="10" fillId="10" borderId="43" xfId="0" applyNumberFormat="1" applyFont="1" applyFill="1" applyBorder="1"/>
    <xf numFmtId="176" fontId="10" fillId="10" borderId="0" xfId="0" applyNumberFormat="1" applyFont="1" applyFill="1" applyAlignment="1">
      <alignment wrapText="1"/>
    </xf>
    <xf numFmtId="176" fontId="9" fillId="10" borderId="14" xfId="0" applyNumberFormat="1" applyFont="1" applyFill="1" applyBorder="1" applyAlignment="1">
      <alignment vertical="center"/>
    </xf>
    <xf numFmtId="178" fontId="10" fillId="10" borderId="26" xfId="0" applyNumberFormat="1" applyFont="1" applyFill="1" applyBorder="1" applyAlignment="1">
      <alignment vertical="center"/>
    </xf>
    <xf numFmtId="176" fontId="10" fillId="10" borderId="26" xfId="0" applyNumberFormat="1" applyFont="1" applyFill="1" applyBorder="1" applyAlignment="1">
      <alignment vertical="center"/>
    </xf>
    <xf numFmtId="176" fontId="10" fillId="10" borderId="0" xfId="0" applyNumberFormat="1" applyFont="1" applyFill="1"/>
    <xf numFmtId="177" fontId="9" fillId="0" borderId="0" xfId="0" applyNumberFormat="1" applyFont="1"/>
    <xf numFmtId="176" fontId="10" fillId="0" borderId="0" xfId="0" applyNumberFormat="1" applyFont="1"/>
    <xf numFmtId="176" fontId="10" fillId="0" borderId="0" xfId="0" applyNumberFormat="1" applyFont="1" applyAlignment="1">
      <alignment wrapText="1"/>
    </xf>
    <xf numFmtId="176" fontId="9" fillId="0" borderId="0" xfId="0" applyNumberFormat="1" applyFont="1" applyAlignment="1">
      <alignment vertical="center"/>
    </xf>
    <xf numFmtId="178" fontId="10" fillId="0" borderId="0" xfId="0" applyNumberFormat="1" applyFont="1" applyAlignment="1">
      <alignment vertical="center"/>
    </xf>
    <xf numFmtId="176" fontId="10" fillId="0" borderId="0" xfId="0" applyNumberFormat="1" applyFont="1" applyAlignment="1">
      <alignment vertical="center"/>
    </xf>
    <xf numFmtId="176" fontId="10" fillId="0" borderId="0" xfId="0" applyNumberFormat="1" applyFont="1" applyAlignment="1">
      <alignment horizontal="center" vertical="center"/>
    </xf>
    <xf numFmtId="176" fontId="1" fillId="9" borderId="0" xfId="0" applyNumberFormat="1" applyFont="1" applyFill="1"/>
    <xf numFmtId="179" fontId="2" fillId="0" borderId="1" xfId="0" applyNumberFormat="1" applyFont="1" applyBorder="1" applyAlignment="1">
      <alignment horizontal="left" vertical="top" wrapText="1"/>
    </xf>
    <xf numFmtId="179" fontId="6" fillId="2" borderId="0" xfId="0" applyNumberFormat="1" applyFont="1" applyFill="1"/>
    <xf numFmtId="176" fontId="3" fillId="6" borderId="3" xfId="0" applyNumberFormat="1" applyFont="1" applyFill="1" applyBorder="1" applyAlignment="1">
      <alignment horizontal="center" vertical="center" wrapText="1"/>
    </xf>
    <xf numFmtId="176" fontId="4" fillId="2" borderId="4" xfId="0" applyNumberFormat="1" applyFont="1" applyFill="1" applyBorder="1" applyAlignment="1">
      <alignment vertical="center" wrapText="1" shrinkToFit="1"/>
    </xf>
    <xf numFmtId="176" fontId="3" fillId="2" borderId="44" xfId="0" applyNumberFormat="1" applyFont="1" applyFill="1" applyBorder="1" applyAlignment="1">
      <alignment vertical="center" wrapText="1"/>
    </xf>
    <xf numFmtId="176" fontId="4" fillId="2" borderId="8" xfId="0" applyNumberFormat="1" applyFont="1" applyFill="1" applyBorder="1" applyAlignment="1">
      <alignment vertical="center" wrapText="1"/>
    </xf>
    <xf numFmtId="179" fontId="8" fillId="0" borderId="45" xfId="0" applyNumberFormat="1" applyFont="1" applyBorder="1" applyAlignment="1">
      <alignment horizontal="center" vertical="center"/>
    </xf>
    <xf numFmtId="179" fontId="8" fillId="0" borderId="18" xfId="0" applyNumberFormat="1" applyFont="1" applyBorder="1"/>
    <xf numFmtId="176" fontId="6" fillId="6" borderId="15" xfId="0" applyNumberFormat="1" applyFont="1" applyFill="1" applyBorder="1" applyAlignment="1">
      <alignment vertical="center"/>
    </xf>
    <xf numFmtId="176" fontId="1" fillId="0" borderId="46" xfId="0" applyNumberFormat="1" applyFont="1" applyBorder="1" applyAlignment="1">
      <alignment vertical="center"/>
    </xf>
    <xf numFmtId="176" fontId="1" fillId="2" borderId="21" xfId="0" applyNumberFormat="1" applyFont="1" applyFill="1" applyBorder="1" applyAlignment="1">
      <alignment vertical="center"/>
    </xf>
    <xf numFmtId="176" fontId="1" fillId="5" borderId="11" xfId="0" applyNumberFormat="1" applyFont="1" applyFill="1" applyBorder="1" applyAlignment="1">
      <alignment vertical="center"/>
    </xf>
    <xf numFmtId="176" fontId="1" fillId="2" borderId="13" xfId="0" applyNumberFormat="1" applyFont="1" applyFill="1" applyBorder="1" applyAlignment="1">
      <alignment vertical="center"/>
    </xf>
    <xf numFmtId="176" fontId="1" fillId="2" borderId="16" xfId="0" applyNumberFormat="1" applyFont="1" applyFill="1" applyBorder="1" applyAlignment="1">
      <alignment vertical="center"/>
    </xf>
    <xf numFmtId="179" fontId="8" fillId="0" borderId="0" xfId="0" applyNumberFormat="1" applyFont="1" applyAlignment="1">
      <alignment horizontal="left" vertical="top" wrapText="1"/>
    </xf>
    <xf numFmtId="176" fontId="1" fillId="0" borderId="0" xfId="0" applyNumberFormat="1" applyFont="1"/>
    <xf numFmtId="179" fontId="1" fillId="0" borderId="0" xfId="0" applyNumberFormat="1" applyFont="1"/>
    <xf numFmtId="0" fontId="0" fillId="0" borderId="12" xfId="0" applyBorder="1"/>
    <xf numFmtId="178" fontId="1" fillId="8" borderId="47" xfId="0" applyNumberFormat="1" applyFont="1" applyFill="1" applyBorder="1" applyAlignment="1">
      <alignment horizontal="center" vertical="center"/>
    </xf>
    <xf numFmtId="176" fontId="10" fillId="8" borderId="26" xfId="0" applyNumberFormat="1" applyFont="1" applyFill="1" applyBorder="1" applyAlignment="1">
      <alignment horizontal="center" vertical="center"/>
    </xf>
    <xf numFmtId="176" fontId="9" fillId="8" borderId="26" xfId="0" applyNumberFormat="1" applyFont="1" applyFill="1" applyBorder="1" applyAlignment="1">
      <alignment horizontal="left" vertical="center"/>
    </xf>
    <xf numFmtId="176" fontId="10" fillId="8" borderId="26" xfId="0" applyNumberFormat="1" applyFont="1" applyFill="1" applyBorder="1" applyAlignment="1">
      <alignment horizontal="left" vertical="center"/>
    </xf>
    <xf numFmtId="178" fontId="10" fillId="8" borderId="26" xfId="0" applyNumberFormat="1" applyFont="1" applyFill="1" applyBorder="1" applyAlignment="1">
      <alignment vertical="center"/>
    </xf>
    <xf numFmtId="43" fontId="10" fillId="8" borderId="26" xfId="0" applyNumberFormat="1" applyFont="1" applyFill="1" applyBorder="1" applyAlignment="1">
      <alignment vertical="center"/>
    </xf>
    <xf numFmtId="179" fontId="8" fillId="0" borderId="26" xfId="0" applyNumberFormat="1" applyFont="1" applyBorder="1" applyAlignment="1">
      <alignment horizontal="center" vertical="center"/>
    </xf>
    <xf numFmtId="0" fontId="0" fillId="0" borderId="48" xfId="0" applyBorder="1"/>
    <xf numFmtId="179" fontId="8" fillId="0" borderId="13" xfId="0" applyNumberFormat="1" applyFont="1" applyBorder="1"/>
    <xf numFmtId="176" fontId="1" fillId="0" borderId="14" xfId="0" applyNumberFormat="1" applyFont="1" applyBorder="1" applyAlignment="1">
      <alignment horizontal="center" vertical="center"/>
    </xf>
    <xf numFmtId="176" fontId="1" fillId="0" borderId="49" xfId="0" applyNumberFormat="1" applyFont="1" applyBorder="1" applyAlignment="1">
      <alignment vertical="center"/>
    </xf>
    <xf numFmtId="176" fontId="1" fillId="0" borderId="50" xfId="0" applyNumberFormat="1" applyFont="1" applyBorder="1" applyAlignment="1">
      <alignment vertical="center"/>
    </xf>
    <xf numFmtId="43" fontId="10" fillId="11" borderId="36" xfId="0" applyNumberFormat="1" applyFont="1" applyFill="1" applyBorder="1" applyAlignment="1">
      <alignment horizontal="center" vertical="center"/>
    </xf>
    <xf numFmtId="43" fontId="10" fillId="11" borderId="26" xfId="0" applyNumberFormat="1" applyFont="1" applyFill="1" applyBorder="1" applyAlignment="1">
      <alignment horizontal="center" vertical="center"/>
    </xf>
    <xf numFmtId="43" fontId="9" fillId="11" borderId="26" xfId="0" applyNumberFormat="1" applyFont="1" applyFill="1" applyBorder="1" applyAlignment="1">
      <alignment horizontal="left" vertical="center"/>
    </xf>
    <xf numFmtId="43" fontId="10" fillId="11" borderId="26" xfId="0" applyNumberFormat="1" applyFont="1" applyFill="1" applyBorder="1" applyAlignment="1">
      <alignment horizontal="left" vertical="center"/>
    </xf>
    <xf numFmtId="43" fontId="10" fillId="11" borderId="26" xfId="0" applyNumberFormat="1" applyFont="1" applyFill="1" applyBorder="1" applyAlignment="1">
      <alignment vertical="center"/>
    </xf>
    <xf numFmtId="43" fontId="6" fillId="6" borderId="14" xfId="0" applyNumberFormat="1" applyFont="1" applyFill="1" applyBorder="1" applyAlignment="1">
      <alignment vertical="center"/>
    </xf>
    <xf numFmtId="43" fontId="1" fillId="0" borderId="0" xfId="0" applyNumberFormat="1" applyFont="1"/>
    <xf numFmtId="176" fontId="1" fillId="6" borderId="24" xfId="0" applyNumberFormat="1" applyFont="1" applyFill="1" applyBorder="1" applyAlignment="1">
      <alignment vertical="center" wrapText="1"/>
    </xf>
    <xf numFmtId="176" fontId="6" fillId="0" borderId="14" xfId="0" applyNumberFormat="1" applyFont="1" applyBorder="1" applyAlignment="1">
      <alignment vertical="center"/>
    </xf>
    <xf numFmtId="176" fontId="1" fillId="6" borderId="0" xfId="0" applyNumberFormat="1" applyFont="1" applyFill="1" applyAlignment="1">
      <alignment vertical="center" wrapText="1"/>
    </xf>
    <xf numFmtId="176" fontId="1" fillId="2" borderId="0" xfId="0" applyNumberFormat="1" applyFont="1" applyFill="1" applyAlignment="1">
      <alignment vertical="center"/>
    </xf>
    <xf numFmtId="176" fontId="6" fillId="0" borderId="0" xfId="0" applyNumberFormat="1" applyFont="1"/>
    <xf numFmtId="176" fontId="1" fillId="6" borderId="0" xfId="0" applyNumberFormat="1" applyFont="1" applyFill="1"/>
    <xf numFmtId="179" fontId="1" fillId="2" borderId="0" xfId="0" applyNumberFormat="1" applyFont="1" applyFill="1"/>
    <xf numFmtId="176" fontId="6" fillId="6" borderId="0" xfId="0" applyNumberFormat="1" applyFont="1" applyFill="1"/>
    <xf numFmtId="176" fontId="1" fillId="2" borderId="0" xfId="0" applyNumberFormat="1" applyFont="1" applyFill="1" applyAlignment="1">
      <alignment horizontal="center"/>
    </xf>
    <xf numFmtId="176" fontId="11" fillId="2" borderId="0" xfId="0" applyNumberFormat="1" applyFont="1" applyFill="1"/>
    <xf numFmtId="179" fontId="1" fillId="6" borderId="0" xfId="0" applyNumberFormat="1" applyFont="1" applyFill="1"/>
    <xf numFmtId="180" fontId="12" fillId="0" borderId="0" xfId="0" applyNumberFormat="1" applyFont="1"/>
    <xf numFmtId="180" fontId="12" fillId="0" borderId="0" xfId="0" applyNumberFormat="1" applyFont="1" applyAlignment="1">
      <alignment horizontal="center" vertical="center"/>
    </xf>
    <xf numFmtId="180" fontId="13" fillId="0" borderId="0" xfId="0" applyNumberFormat="1" applyFont="1" applyAlignment="1">
      <alignment vertical="center"/>
    </xf>
    <xf numFmtId="178" fontId="14" fillId="0" borderId="0" xfId="0" applyNumberFormat="1" applyFont="1" applyAlignment="1">
      <alignment horizontal="left" vertical="center"/>
    </xf>
    <xf numFmtId="43" fontId="14" fillId="0" borderId="0" xfId="0" applyNumberFormat="1" applyFont="1" applyAlignment="1">
      <alignment horizontal="center" vertical="center"/>
    </xf>
    <xf numFmtId="43" fontId="14" fillId="6" borderId="0" xfId="0" applyNumberFormat="1" applyFont="1" applyFill="1" applyAlignment="1">
      <alignment horizontal="center" vertical="center"/>
    </xf>
    <xf numFmtId="43" fontId="14" fillId="6" borderId="0" xfId="0" applyNumberFormat="1" applyFont="1" applyFill="1" applyAlignment="1">
      <alignment horizontal="left" vertical="center"/>
    </xf>
    <xf numFmtId="43" fontId="14" fillId="6" borderId="0" xfId="0" applyNumberFormat="1" applyFont="1" applyFill="1" applyAlignment="1">
      <alignment horizontal="right" vertical="center"/>
    </xf>
    <xf numFmtId="43" fontId="14" fillId="6" borderId="0" xfId="0" applyNumberFormat="1" applyFont="1" applyFill="1" applyAlignment="1">
      <alignment vertical="center"/>
    </xf>
    <xf numFmtId="180" fontId="14" fillId="0" borderId="0" xfId="0" applyNumberFormat="1" applyFont="1" applyAlignment="1">
      <alignment vertical="center"/>
    </xf>
    <xf numFmtId="178" fontId="6" fillId="0" borderId="0" xfId="0" applyNumberFormat="1" applyFont="1" applyAlignment="1">
      <alignment vertical="center"/>
    </xf>
    <xf numFmtId="178" fontId="14" fillId="0" borderId="0" xfId="0" applyNumberFormat="1" applyFont="1" applyAlignment="1">
      <alignment vertical="center"/>
    </xf>
    <xf numFmtId="178" fontId="15" fillId="0" borderId="23" xfId="0" applyNumberFormat="1" applyFont="1" applyBorder="1" applyAlignment="1">
      <alignment horizontal="center" vertical="center" wrapText="1"/>
    </xf>
    <xf numFmtId="43" fontId="16" fillId="0" borderId="23" xfId="0" applyNumberFormat="1" applyFont="1" applyBorder="1" applyAlignment="1">
      <alignment horizontal="center" vertical="center" wrapText="1"/>
    </xf>
    <xf numFmtId="43" fontId="15" fillId="6" borderId="51" xfId="0" applyNumberFormat="1" applyFont="1" applyFill="1" applyBorder="1" applyAlignment="1">
      <alignment horizontal="center" vertical="center" wrapText="1"/>
    </xf>
    <xf numFmtId="43" fontId="15" fillId="6" borderId="23" xfId="0" applyNumberFormat="1" applyFont="1" applyFill="1" applyBorder="1" applyAlignment="1">
      <alignment horizontal="center" vertical="center" wrapText="1"/>
    </xf>
    <xf numFmtId="43" fontId="17" fillId="6" borderId="23" xfId="0" applyNumberFormat="1" applyFont="1" applyFill="1" applyBorder="1" applyAlignment="1">
      <alignment horizontal="center" vertical="center" wrapText="1"/>
    </xf>
    <xf numFmtId="43" fontId="15" fillId="6" borderId="23" xfId="0" applyNumberFormat="1" applyFont="1" applyFill="1" applyBorder="1" applyAlignment="1">
      <alignment horizontal="center" vertical="center"/>
    </xf>
    <xf numFmtId="0" fontId="0" fillId="0" borderId="52" xfId="0" applyBorder="1"/>
    <xf numFmtId="0" fontId="0" fillId="0" borderId="53" xfId="0" applyBorder="1"/>
    <xf numFmtId="180" fontId="15" fillId="0" borderId="0" xfId="0" applyNumberFormat="1" applyFont="1" applyAlignment="1">
      <alignment vertical="center"/>
    </xf>
    <xf numFmtId="0" fontId="0" fillId="0" borderId="54" xfId="0" applyBorder="1"/>
    <xf numFmtId="43" fontId="15" fillId="6" borderId="54" xfId="0" applyNumberFormat="1" applyFont="1" applyFill="1" applyBorder="1" applyAlignment="1">
      <alignment horizontal="center" vertical="center" wrapText="1"/>
    </xf>
    <xf numFmtId="43" fontId="16" fillId="9" borderId="23" xfId="0" applyNumberFormat="1" applyFont="1" applyFill="1" applyBorder="1" applyAlignment="1">
      <alignment horizontal="center" vertical="center" wrapText="1"/>
    </xf>
    <xf numFmtId="43" fontId="16" fillId="6" borderId="23" xfId="0" applyNumberFormat="1" applyFont="1" applyFill="1" applyBorder="1" applyAlignment="1">
      <alignment horizontal="center" vertical="center" wrapText="1"/>
    </xf>
    <xf numFmtId="43" fontId="15" fillId="6" borderId="23" xfId="0" applyNumberFormat="1" applyFont="1" applyFill="1" applyBorder="1" applyAlignment="1">
      <alignment horizontal="right" vertical="center" wrapText="1"/>
    </xf>
    <xf numFmtId="43" fontId="16" fillId="12" borderId="23" xfId="0" applyNumberFormat="1" applyFont="1" applyFill="1" applyBorder="1" applyAlignment="1">
      <alignment horizontal="center" vertical="center" wrapText="1"/>
    </xf>
    <xf numFmtId="43" fontId="17" fillId="13" borderId="23" xfId="0" applyNumberFormat="1" applyFont="1" applyFill="1" applyBorder="1" applyAlignment="1">
      <alignment horizontal="center" vertical="center" wrapText="1"/>
    </xf>
    <xf numFmtId="178" fontId="18" fillId="6" borderId="51" xfId="0" applyNumberFormat="1" applyFont="1" applyFill="1" applyBorder="1" applyAlignment="1">
      <alignment horizontal="center" vertical="center" wrapText="1"/>
    </xf>
    <xf numFmtId="177" fontId="8" fillId="6" borderId="51" xfId="0" applyNumberFormat="1" applyFont="1" applyFill="1" applyBorder="1" applyAlignment="1">
      <alignment horizontal="center" vertical="center" wrapText="1"/>
    </xf>
    <xf numFmtId="43" fontId="8" fillId="6" borderId="23" xfId="0" applyNumberFormat="1" applyFont="1" applyFill="1" applyBorder="1" applyAlignment="1">
      <alignment horizontal="center" vertical="center"/>
    </xf>
    <xf numFmtId="43" fontId="8" fillId="6" borderId="23" xfId="0" applyNumberFormat="1" applyFont="1" applyFill="1" applyBorder="1" applyAlignment="1">
      <alignment horizontal="left" vertical="center"/>
    </xf>
    <xf numFmtId="176" fontId="18" fillId="6" borderId="51" xfId="0" applyNumberFormat="1" applyFont="1" applyFill="1" applyBorder="1" applyAlignment="1">
      <alignment vertical="center" wrapText="1"/>
    </xf>
    <xf numFmtId="43" fontId="7" fillId="6" borderId="23" xfId="0" applyNumberFormat="1" applyFont="1" applyFill="1" applyBorder="1" applyAlignment="1">
      <alignment vertical="center"/>
    </xf>
    <xf numFmtId="176" fontId="19" fillId="6" borderId="23" xfId="0" applyNumberFormat="1" applyFont="1" applyFill="1" applyBorder="1" applyAlignment="1">
      <alignment horizontal="left" vertical="center"/>
    </xf>
    <xf numFmtId="180" fontId="13" fillId="6" borderId="0" xfId="0" applyNumberFormat="1" applyFont="1" applyFill="1" applyAlignment="1">
      <alignment vertical="center"/>
    </xf>
    <xf numFmtId="177" fontId="7" fillId="6" borderId="53" xfId="0" applyNumberFormat="1" applyFont="1" applyFill="1" applyBorder="1" applyAlignment="1">
      <alignment horizontal="center" vertical="center"/>
    </xf>
    <xf numFmtId="177" fontId="8" fillId="6" borderId="23" xfId="0" applyNumberFormat="1" applyFont="1" applyFill="1" applyBorder="1" applyAlignment="1">
      <alignment horizontal="left" vertical="center"/>
    </xf>
    <xf numFmtId="177" fontId="8" fillId="6" borderId="23" xfId="0" applyNumberFormat="1" applyFont="1" applyFill="1" applyBorder="1" applyAlignment="1">
      <alignment horizontal="center" vertical="center"/>
    </xf>
    <xf numFmtId="43" fontId="7" fillId="6" borderId="23" xfId="0" applyNumberFormat="1" applyFont="1" applyFill="1" applyBorder="1" applyAlignment="1">
      <alignment horizontal="center" vertical="center"/>
    </xf>
    <xf numFmtId="43" fontId="7" fillId="6" borderId="23" xfId="0" applyNumberFormat="1" applyFont="1" applyFill="1" applyBorder="1" applyAlignment="1">
      <alignment horizontal="right" vertical="center"/>
    </xf>
    <xf numFmtId="177" fontId="7" fillId="6" borderId="23" xfId="0" applyNumberFormat="1" applyFont="1" applyFill="1" applyBorder="1" applyAlignment="1">
      <alignment horizontal="left" vertical="center"/>
    </xf>
    <xf numFmtId="176" fontId="8" fillId="6" borderId="51" xfId="0" applyNumberFormat="1" applyFont="1" applyFill="1" applyBorder="1" applyAlignment="1">
      <alignment horizontal="center" vertical="center" wrapText="1"/>
    </xf>
    <xf numFmtId="176" fontId="18" fillId="6" borderId="51" xfId="0" applyNumberFormat="1" applyFont="1" applyFill="1" applyBorder="1" applyAlignment="1">
      <alignment horizontal="left" vertical="center" wrapText="1"/>
    </xf>
    <xf numFmtId="176" fontId="18" fillId="6" borderId="51" xfId="0" applyNumberFormat="1" applyFont="1" applyFill="1" applyBorder="1" applyAlignment="1">
      <alignment horizontal="center" vertical="center" wrapText="1"/>
    </xf>
    <xf numFmtId="43" fontId="6" fillId="6" borderId="23" xfId="0" applyNumberFormat="1" applyFont="1" applyFill="1" applyBorder="1" applyAlignment="1">
      <alignment horizontal="center" vertical="center" wrapText="1"/>
    </xf>
    <xf numFmtId="43" fontId="6" fillId="6" borderId="23" xfId="0" applyNumberFormat="1" applyFont="1" applyFill="1" applyBorder="1" applyAlignment="1">
      <alignment horizontal="left" vertical="center"/>
    </xf>
    <xf numFmtId="43" fontId="6" fillId="6" borderId="23" xfId="0" applyNumberFormat="1" applyFont="1" applyFill="1" applyBorder="1" applyAlignment="1">
      <alignment horizontal="center" vertical="center"/>
    </xf>
    <xf numFmtId="43" fontId="14" fillId="6" borderId="23" xfId="0" applyNumberFormat="1" applyFont="1" applyFill="1" applyBorder="1" applyAlignment="1">
      <alignment horizontal="center" vertical="center"/>
    </xf>
    <xf numFmtId="43" fontId="14" fillId="6" borderId="23" xfId="0" applyNumberFormat="1" applyFont="1" applyFill="1" applyBorder="1" applyAlignment="1">
      <alignment horizontal="right" vertical="center"/>
    </xf>
    <xf numFmtId="43" fontId="14" fillId="6" borderId="23" xfId="0" applyNumberFormat="1" applyFont="1" applyFill="1" applyBorder="1" applyAlignment="1">
      <alignment horizontal="left" vertical="center"/>
    </xf>
    <xf numFmtId="180" fontId="14" fillId="6" borderId="0" xfId="0" applyNumberFormat="1" applyFont="1" applyFill="1" applyAlignment="1">
      <alignment vertical="center"/>
    </xf>
    <xf numFmtId="176" fontId="8" fillId="6" borderId="23" xfId="0" applyNumberFormat="1" applyFont="1" applyFill="1" applyBorder="1" applyAlignment="1">
      <alignment horizontal="center" vertical="center" wrapText="1"/>
    </xf>
    <xf numFmtId="0" fontId="6" fillId="6" borderId="23" xfId="0" applyFont="1" applyFill="1" applyBorder="1" applyAlignment="1">
      <alignment horizontal="center" vertical="center"/>
    </xf>
    <xf numFmtId="176" fontId="8" fillId="6" borderId="51" xfId="0" applyNumberFormat="1" applyFont="1" applyFill="1" applyBorder="1" applyAlignment="1">
      <alignment horizontal="left" vertical="center" wrapText="1"/>
    </xf>
    <xf numFmtId="176" fontId="8" fillId="6" borderId="51" xfId="0" applyNumberFormat="1" applyFont="1" applyFill="1" applyBorder="1" applyAlignment="1">
      <alignment vertical="center" wrapText="1"/>
    </xf>
    <xf numFmtId="176" fontId="7" fillId="6" borderId="23" xfId="0" applyNumberFormat="1" applyFont="1" applyFill="1" applyBorder="1" applyAlignment="1">
      <alignment horizontal="left" vertical="center"/>
    </xf>
    <xf numFmtId="176" fontId="7" fillId="6" borderId="0" xfId="0" applyNumberFormat="1" applyFont="1" applyFill="1" applyAlignment="1">
      <alignment vertical="center"/>
    </xf>
    <xf numFmtId="43" fontId="18" fillId="6" borderId="51" xfId="0" applyNumberFormat="1" applyFont="1" applyFill="1" applyBorder="1" applyAlignment="1">
      <alignment horizontal="center" vertical="center" wrapText="1"/>
    </xf>
    <xf numFmtId="43" fontId="18" fillId="6" borderId="23" xfId="0" applyNumberFormat="1" applyFont="1" applyFill="1" applyBorder="1" applyAlignment="1">
      <alignment horizontal="left" vertical="center"/>
    </xf>
    <xf numFmtId="43" fontId="8" fillId="6" borderId="53" xfId="0" applyNumberFormat="1" applyFont="1" applyFill="1" applyBorder="1" applyAlignment="1">
      <alignment horizontal="center" vertical="center"/>
    </xf>
    <xf numFmtId="43" fontId="19" fillId="6" borderId="23" xfId="0" applyNumberFormat="1" applyFont="1" applyFill="1" applyBorder="1" applyAlignment="1">
      <alignment vertical="center"/>
    </xf>
    <xf numFmtId="43" fontId="19" fillId="6" borderId="23" xfId="0" applyNumberFormat="1" applyFont="1" applyFill="1" applyBorder="1" applyAlignment="1">
      <alignment horizontal="right" vertical="center"/>
    </xf>
    <xf numFmtId="176" fontId="8" fillId="6" borderId="51" xfId="0" applyNumberFormat="1" applyFont="1" applyFill="1" applyBorder="1" applyAlignment="1">
      <alignment horizontal="right" vertical="center" wrapText="1"/>
    </xf>
    <xf numFmtId="177" fontId="6" fillId="6" borderId="51" xfId="0" applyNumberFormat="1" applyFont="1" applyFill="1" applyBorder="1" applyAlignment="1">
      <alignment horizontal="center" vertical="center" wrapText="1"/>
    </xf>
    <xf numFmtId="177" fontId="6" fillId="6" borderId="23" xfId="0" applyNumberFormat="1" applyFont="1" applyFill="1" applyBorder="1" applyAlignment="1">
      <alignment horizontal="center" vertical="center"/>
    </xf>
    <xf numFmtId="177" fontId="6" fillId="6" borderId="23" xfId="0" applyNumberFormat="1" applyFont="1" applyFill="1" applyBorder="1" applyAlignment="1">
      <alignment horizontal="left" vertical="center"/>
    </xf>
    <xf numFmtId="177" fontId="14" fillId="6" borderId="23" xfId="0" applyNumberFormat="1" applyFont="1" applyFill="1" applyBorder="1" applyAlignment="1">
      <alignment horizontal="left" vertical="center"/>
    </xf>
    <xf numFmtId="43" fontId="6" fillId="6" borderId="0" xfId="0" applyNumberFormat="1" applyFont="1" applyFill="1" applyAlignment="1">
      <alignment horizontal="left" vertical="center"/>
    </xf>
    <xf numFmtId="43" fontId="6" fillId="6" borderId="51" xfId="0" applyNumberFormat="1" applyFont="1" applyFill="1" applyBorder="1" applyAlignment="1">
      <alignment horizontal="center" vertical="center" wrapText="1"/>
    </xf>
    <xf numFmtId="43" fontId="7" fillId="9" borderId="23" xfId="0" applyNumberFormat="1" applyFont="1" applyFill="1" applyBorder="1" applyAlignment="1">
      <alignment horizontal="center" vertical="center"/>
    </xf>
    <xf numFmtId="176" fontId="8" fillId="6" borderId="23" xfId="0" applyNumberFormat="1" applyFont="1" applyFill="1" applyBorder="1" applyAlignment="1">
      <alignment horizontal="left" vertical="center"/>
    </xf>
    <xf numFmtId="43" fontId="7" fillId="6" borderId="23" xfId="0" applyNumberFormat="1" applyFont="1" applyFill="1" applyBorder="1" applyAlignment="1">
      <alignment horizontal="left" vertical="center"/>
    </xf>
    <xf numFmtId="180" fontId="7" fillId="6" borderId="0" xfId="0" applyNumberFormat="1" applyFont="1" applyFill="1" applyAlignment="1">
      <alignment vertical="center"/>
    </xf>
    <xf numFmtId="177" fontId="7" fillId="6" borderId="23" xfId="0" applyNumberFormat="1" applyFont="1" applyFill="1" applyBorder="1" applyAlignment="1">
      <alignment horizontal="center" vertical="center"/>
    </xf>
    <xf numFmtId="177" fontId="7" fillId="6" borderId="0" xfId="0" applyNumberFormat="1" applyFont="1" applyFill="1" applyAlignment="1">
      <alignment vertical="center"/>
    </xf>
    <xf numFmtId="43" fontId="13" fillId="6" borderId="0" xfId="0" applyNumberFormat="1" applyFont="1" applyFill="1" applyAlignment="1">
      <alignment horizontal="left" vertical="center"/>
    </xf>
    <xf numFmtId="177" fontId="8" fillId="6" borderId="23" xfId="0" applyNumberFormat="1" applyFont="1" applyFill="1" applyBorder="1" applyAlignment="1">
      <alignment horizontal="center" vertical="center" wrapText="1"/>
    </xf>
    <xf numFmtId="177" fontId="8" fillId="6" borderId="23" xfId="0" applyNumberFormat="1" applyFont="1" applyFill="1" applyBorder="1" applyAlignment="1">
      <alignment horizontal="left" vertical="center" wrapText="1"/>
    </xf>
    <xf numFmtId="181" fontId="6" fillId="6" borderId="14" xfId="0" applyNumberFormat="1" applyFont="1" applyFill="1" applyBorder="1" applyAlignment="1">
      <alignment horizontal="left" vertical="center" wrapText="1"/>
    </xf>
    <xf numFmtId="43" fontId="18" fillId="6" borderId="23" xfId="0" applyNumberFormat="1" applyFont="1" applyFill="1" applyBorder="1" applyAlignment="1">
      <alignment horizontal="center" vertical="center"/>
    </xf>
    <xf numFmtId="178" fontId="8" fillId="13" borderId="55" xfId="0" applyNumberFormat="1" applyFont="1" applyFill="1" applyBorder="1" applyAlignment="1">
      <alignment horizontal="center" vertical="center" wrapText="1"/>
    </xf>
    <xf numFmtId="178" fontId="7" fillId="14" borderId="52" xfId="0" applyNumberFormat="1" applyFont="1" applyFill="1" applyBorder="1" applyAlignment="1">
      <alignment vertical="center" wrapText="1"/>
    </xf>
    <xf numFmtId="178" fontId="7" fillId="13" borderId="52" xfId="0" applyNumberFormat="1" applyFont="1" applyFill="1" applyBorder="1" applyAlignment="1">
      <alignment horizontal="left" vertical="center" wrapText="1"/>
    </xf>
    <xf numFmtId="178" fontId="7" fillId="13" borderId="53" xfId="0" applyNumberFormat="1" applyFont="1" applyFill="1" applyBorder="1" applyAlignment="1">
      <alignment vertical="center" wrapText="1"/>
    </xf>
    <xf numFmtId="43" fontId="14" fillId="15" borderId="23" xfId="0" applyNumberFormat="1" applyFont="1" applyFill="1" applyBorder="1" applyAlignment="1">
      <alignment horizontal="center" vertical="center"/>
    </xf>
    <xf numFmtId="177" fontId="14" fillId="0" borderId="0" xfId="0" applyNumberFormat="1" applyFont="1" applyAlignment="1">
      <alignment vertical="center"/>
    </xf>
    <xf numFmtId="178" fontId="14" fillId="8" borderId="52" xfId="0" applyNumberFormat="1" applyFont="1" applyFill="1" applyBorder="1" applyAlignment="1">
      <alignment horizontal="center" vertical="center" wrapText="1"/>
    </xf>
    <xf numFmtId="178" fontId="6" fillId="8" borderId="52" xfId="0" applyNumberFormat="1" applyFont="1" applyFill="1" applyBorder="1" applyAlignment="1">
      <alignment horizontal="center" vertical="center" wrapText="1"/>
    </xf>
    <xf numFmtId="43" fontId="14" fillId="8" borderId="53" xfId="0" applyNumberFormat="1" applyFont="1" applyFill="1" applyBorder="1" applyAlignment="1">
      <alignment horizontal="left" vertical="center"/>
    </xf>
    <xf numFmtId="43" fontId="6" fillId="8" borderId="53" xfId="0" applyNumberFormat="1" applyFont="1" applyFill="1" applyBorder="1" applyAlignment="1">
      <alignment horizontal="center" vertical="center"/>
    </xf>
    <xf numFmtId="43" fontId="14" fillId="8" borderId="23" xfId="0" applyNumberFormat="1" applyFont="1" applyFill="1" applyBorder="1" applyAlignment="1">
      <alignment horizontal="center" vertical="center"/>
    </xf>
    <xf numFmtId="43" fontId="7" fillId="6" borderId="0" xfId="0" applyNumberFormat="1" applyFont="1" applyFill="1" applyAlignment="1">
      <alignment vertical="center"/>
    </xf>
    <xf numFmtId="178" fontId="15" fillId="0" borderId="0" xfId="0" applyNumberFormat="1" applyFont="1" applyAlignment="1">
      <alignment horizontal="left" vertical="center"/>
    </xf>
    <xf numFmtId="43" fontId="15" fillId="0" borderId="0" xfId="0" applyNumberFormat="1" applyFont="1" applyAlignment="1">
      <alignment horizontal="center" vertical="center"/>
    </xf>
    <xf numFmtId="43" fontId="15" fillId="6" borderId="0" xfId="0" applyNumberFormat="1" applyFont="1" applyFill="1" applyAlignment="1">
      <alignment horizontal="center" vertical="center"/>
    </xf>
    <xf numFmtId="43" fontId="15" fillId="6" borderId="0" xfId="0" applyNumberFormat="1" applyFont="1" applyFill="1" applyAlignment="1">
      <alignment horizontal="left" vertical="center"/>
    </xf>
    <xf numFmtId="43" fontId="16" fillId="6" borderId="0" xfId="0" applyNumberFormat="1" applyFont="1" applyFill="1" applyAlignment="1">
      <alignment horizontal="center" vertical="center"/>
    </xf>
    <xf numFmtId="43" fontId="15" fillId="6" borderId="0" xfId="0" applyNumberFormat="1" applyFont="1" applyFill="1" applyAlignment="1">
      <alignment horizontal="right" vertical="center"/>
    </xf>
    <xf numFmtId="43" fontId="16" fillId="6" borderId="0" xfId="0" applyNumberFormat="1" applyFont="1" applyFill="1" applyAlignment="1">
      <alignment horizontal="left" vertical="center"/>
    </xf>
    <xf numFmtId="43" fontId="15" fillId="6" borderId="56" xfId="0" applyNumberFormat="1" applyFont="1" applyFill="1" applyBorder="1" applyAlignment="1">
      <alignment horizontal="left" vertical="center"/>
    </xf>
    <xf numFmtId="43" fontId="16" fillId="6" borderId="56" xfId="0" applyNumberFormat="1" applyFont="1" applyFill="1" applyBorder="1" applyAlignment="1">
      <alignment horizontal="left" vertical="center"/>
    </xf>
    <xf numFmtId="177" fontId="15" fillId="0" borderId="0" xfId="0" applyNumberFormat="1" applyFont="1" applyAlignment="1">
      <alignment horizontal="left" vertical="center"/>
    </xf>
    <xf numFmtId="43" fontId="15" fillId="6" borderId="0" xfId="0" applyNumberFormat="1" applyFont="1" applyFill="1" applyAlignment="1">
      <alignment vertical="center"/>
    </xf>
    <xf numFmtId="177" fontId="15" fillId="0" borderId="0" xfId="0" applyNumberFormat="1" applyFont="1" applyAlignment="1">
      <alignment vertical="center"/>
    </xf>
    <xf numFmtId="178" fontId="16" fillId="0" borderId="0" xfId="0" applyNumberFormat="1" applyFont="1" applyAlignment="1">
      <alignment vertical="center"/>
    </xf>
    <xf numFmtId="178" fontId="13" fillId="0" borderId="0" xfId="0" applyNumberFormat="1" applyFont="1" applyAlignment="1">
      <alignment vertical="center"/>
    </xf>
    <xf numFmtId="43" fontId="13" fillId="0" borderId="0" xfId="0" applyNumberFormat="1" applyFont="1" applyAlignment="1">
      <alignment horizontal="center" vertical="center"/>
    </xf>
    <xf numFmtId="43" fontId="13" fillId="6" borderId="0" xfId="0" applyNumberFormat="1" applyFont="1" applyFill="1" applyAlignment="1">
      <alignment horizontal="center" vertical="center"/>
    </xf>
    <xf numFmtId="43" fontId="13" fillId="6" borderId="0" xfId="0" applyNumberFormat="1" applyFont="1" applyFill="1" applyAlignment="1">
      <alignment horizontal="right" vertical="center"/>
    </xf>
    <xf numFmtId="43" fontId="13" fillId="6" borderId="0" xfId="0" applyNumberFormat="1" applyFont="1" applyFill="1" applyAlignment="1">
      <alignment vertical="center"/>
    </xf>
    <xf numFmtId="178" fontId="20" fillId="6" borderId="0" xfId="0" applyNumberFormat="1" applyFont="1" applyFill="1" applyAlignment="1">
      <alignment horizontal="center" vertical="center"/>
    </xf>
    <xf numFmtId="176" fontId="21" fillId="6" borderId="0" xfId="0" applyNumberFormat="1" applyFont="1" applyFill="1" applyAlignment="1">
      <alignment vertical="center"/>
    </xf>
    <xf numFmtId="178" fontId="17" fillId="6" borderId="0" xfId="0" applyNumberFormat="1" applyFont="1" applyFill="1" applyAlignment="1">
      <alignment vertical="center"/>
    </xf>
    <xf numFmtId="178" fontId="13" fillId="6" borderId="0" xfId="0" applyNumberFormat="1" applyFont="1" applyFill="1" applyAlignment="1">
      <alignment horizontal="left" vertical="center"/>
    </xf>
    <xf numFmtId="178" fontId="14" fillId="6" borderId="0" xfId="0" applyNumberFormat="1" applyFont="1" applyFill="1" applyAlignment="1">
      <alignment horizontal="left" vertical="center"/>
    </xf>
    <xf numFmtId="178" fontId="14" fillId="6" borderId="0" xfId="0" applyNumberFormat="1" applyFont="1" applyFill="1" applyAlignment="1">
      <alignment vertical="center"/>
    </xf>
    <xf numFmtId="178" fontId="14" fillId="6" borderId="0" xfId="0" applyNumberFormat="1" applyFont="1" applyFill="1" applyAlignment="1">
      <alignment horizontal="center" vertical="center" wrapText="1"/>
    </xf>
    <xf numFmtId="178" fontId="14" fillId="6" borderId="0" xfId="0" applyNumberFormat="1" applyFont="1" applyFill="1" applyAlignment="1">
      <alignment horizontal="center" vertical="center"/>
    </xf>
    <xf numFmtId="176" fontId="14" fillId="6" borderId="0" xfId="0" applyNumberFormat="1" applyFont="1" applyFill="1" applyAlignment="1">
      <alignment vertical="center"/>
    </xf>
    <xf numFmtId="176" fontId="14" fillId="6" borderId="0" xfId="0" applyNumberFormat="1" applyFont="1" applyFill="1" applyAlignment="1">
      <alignment horizontal="right" vertical="center"/>
    </xf>
    <xf numFmtId="176" fontId="14" fillId="6" borderId="0" xfId="0" applyNumberFormat="1" applyFont="1" applyFill="1" applyAlignment="1">
      <alignment horizontal="left" vertical="center"/>
    </xf>
    <xf numFmtId="178" fontId="6" fillId="6" borderId="0" xfId="0" applyNumberFormat="1" applyFont="1" applyFill="1" applyAlignment="1">
      <alignment vertical="center"/>
    </xf>
    <xf numFmtId="178" fontId="13" fillId="6" borderId="0" xfId="0" applyNumberFormat="1" applyFont="1" applyFill="1" applyAlignment="1">
      <alignment vertical="center"/>
    </xf>
    <xf numFmtId="176" fontId="13" fillId="6" borderId="0" xfId="0" applyNumberFormat="1" applyFont="1" applyFill="1" applyAlignment="1">
      <alignment vertical="center"/>
    </xf>
    <xf numFmtId="176" fontId="14" fillId="6" borderId="0" xfId="0" applyNumberFormat="1" applyFont="1" applyFill="1" applyAlignment="1">
      <alignment horizontal="center" vertical="center"/>
    </xf>
    <xf numFmtId="178" fontId="13" fillId="6" borderId="23" xfId="0" applyNumberFormat="1" applyFont="1" applyFill="1" applyBorder="1" applyAlignment="1">
      <alignment horizontal="center" vertical="center" wrapText="1"/>
    </xf>
    <xf numFmtId="178" fontId="6" fillId="6" borderId="23" xfId="0" applyNumberFormat="1" applyFont="1" applyFill="1" applyBorder="1" applyAlignment="1">
      <alignment horizontal="center" vertical="center" wrapText="1"/>
    </xf>
    <xf numFmtId="176" fontId="13" fillId="6" borderId="23" xfId="0" applyNumberFormat="1" applyFont="1" applyFill="1" applyBorder="1" applyAlignment="1">
      <alignment horizontal="center" vertical="center"/>
    </xf>
    <xf numFmtId="176" fontId="6" fillId="6" borderId="23" xfId="0" applyNumberFormat="1" applyFont="1" applyFill="1" applyBorder="1" applyAlignment="1">
      <alignment horizontal="center" vertical="center" wrapText="1"/>
    </xf>
    <xf numFmtId="176" fontId="14" fillId="6" borderId="23" xfId="0" applyNumberFormat="1" applyFont="1" applyFill="1" applyBorder="1" applyAlignment="1">
      <alignment horizontal="center" vertical="center" wrapText="1"/>
    </xf>
    <xf numFmtId="176" fontId="13" fillId="6" borderId="23" xfId="0" applyNumberFormat="1" applyFont="1" applyFill="1" applyBorder="1" applyAlignment="1">
      <alignment horizontal="center" vertical="center" wrapText="1"/>
    </xf>
    <xf numFmtId="182" fontId="6" fillId="6" borderId="23" xfId="0" applyNumberFormat="1" applyFont="1" applyFill="1" applyBorder="1" applyAlignment="1">
      <alignment vertical="center" wrapText="1"/>
    </xf>
    <xf numFmtId="178" fontId="14" fillId="0" borderId="23" xfId="0" applyNumberFormat="1" applyFont="1" applyBorder="1" applyAlignment="1">
      <alignment horizontal="center" vertical="center" wrapText="1"/>
    </xf>
    <xf numFmtId="178" fontId="6" fillId="0" borderId="23" xfId="0" applyNumberFormat="1" applyFont="1" applyBorder="1" applyAlignment="1">
      <alignment horizontal="center" vertical="center" wrapText="1"/>
    </xf>
    <xf numFmtId="178" fontId="6" fillId="6" borderId="23" xfId="0" applyNumberFormat="1" applyFont="1" applyFill="1" applyBorder="1" applyAlignment="1">
      <alignment horizontal="center" vertical="center"/>
    </xf>
    <xf numFmtId="176" fontId="14" fillId="6" borderId="23" xfId="0" applyNumberFormat="1" applyFont="1" applyFill="1" applyBorder="1" applyAlignment="1">
      <alignment horizontal="center" vertical="center"/>
    </xf>
    <xf numFmtId="43" fontId="22" fillId="6" borderId="23" xfId="0" applyNumberFormat="1" applyFont="1" applyFill="1" applyBorder="1" applyAlignment="1">
      <alignment horizontal="right" vertical="center"/>
    </xf>
    <xf numFmtId="176" fontId="14" fillId="0" borderId="23" xfId="0" applyNumberFormat="1" applyFont="1" applyBorder="1" applyAlignment="1">
      <alignment horizontal="center" vertical="center"/>
    </xf>
    <xf numFmtId="178" fontId="14" fillId="0" borderId="0" xfId="0" applyNumberFormat="1" applyFont="1" applyAlignment="1">
      <alignment horizontal="center" vertical="center"/>
    </xf>
    <xf numFmtId="178" fontId="6" fillId="0" borderId="51" xfId="0" applyNumberFormat="1" applyFont="1" applyBorder="1" applyAlignment="1">
      <alignment vertical="center" wrapText="1"/>
    </xf>
    <xf numFmtId="176" fontId="14" fillId="9" borderId="23" xfId="0" applyNumberFormat="1" applyFont="1" applyFill="1" applyBorder="1" applyAlignment="1">
      <alignment horizontal="center" vertical="center"/>
    </xf>
    <xf numFmtId="178" fontId="6" fillId="0" borderId="51" xfId="0" applyNumberFormat="1" applyFont="1" applyBorder="1" applyAlignment="1">
      <alignment horizontal="center" vertical="center" wrapText="1"/>
    </xf>
    <xf numFmtId="0" fontId="0" fillId="0" borderId="57" xfId="0" applyBorder="1"/>
    <xf numFmtId="178" fontId="6" fillId="6" borderId="51" xfId="0" applyNumberFormat="1" applyFont="1" applyFill="1" applyBorder="1" applyAlignment="1">
      <alignment horizontal="center" vertical="center" wrapText="1"/>
    </xf>
    <xf numFmtId="178" fontId="6" fillId="6" borderId="57" xfId="0" applyNumberFormat="1" applyFont="1" applyFill="1" applyBorder="1" applyAlignment="1">
      <alignment horizontal="center" vertical="center" wrapText="1"/>
    </xf>
    <xf numFmtId="178" fontId="14" fillId="15" borderId="23" xfId="0" applyNumberFormat="1" applyFont="1" applyFill="1" applyBorder="1" applyAlignment="1">
      <alignment horizontal="center" vertical="center" wrapText="1"/>
    </xf>
    <xf numFmtId="178" fontId="6" fillId="15" borderId="23" xfId="0" applyNumberFormat="1" applyFont="1" applyFill="1" applyBorder="1" applyAlignment="1">
      <alignment horizontal="center" vertical="center" wrapText="1"/>
    </xf>
    <xf numFmtId="176" fontId="14" fillId="16" borderId="23" xfId="0" applyNumberFormat="1" applyFont="1" applyFill="1" applyBorder="1" applyAlignment="1">
      <alignment horizontal="right" vertical="center"/>
    </xf>
    <xf numFmtId="178" fontId="14" fillId="6" borderId="56" xfId="0" applyNumberFormat="1" applyFont="1" applyFill="1" applyBorder="1" applyAlignment="1">
      <alignment vertical="center"/>
    </xf>
    <xf numFmtId="178" fontId="6" fillId="6" borderId="56" xfId="0" applyNumberFormat="1" applyFont="1" applyFill="1" applyBorder="1" applyAlignment="1">
      <alignment vertical="center"/>
    </xf>
    <xf numFmtId="178" fontId="6" fillId="6" borderId="0" xfId="0" applyNumberFormat="1" applyFont="1" applyFill="1" applyAlignment="1">
      <alignment horizontal="center" vertical="center"/>
    </xf>
    <xf numFmtId="176" fontId="13" fillId="6" borderId="0" xfId="0" applyNumberFormat="1" applyFont="1" applyFill="1" applyAlignment="1">
      <alignment horizontal="left" vertical="center"/>
    </xf>
    <xf numFmtId="176" fontId="6" fillId="6" borderId="0" xfId="0" applyNumberFormat="1" applyFont="1" applyFill="1" applyAlignment="1">
      <alignment horizontal="left" vertical="center"/>
    </xf>
    <xf numFmtId="176" fontId="6" fillId="6" borderId="0" xfId="0" applyNumberFormat="1" applyFont="1" applyFill="1" applyAlignment="1">
      <alignment horizontal="right" vertical="center"/>
    </xf>
    <xf numFmtId="176" fontId="14" fillId="6" borderId="56" xfId="0" applyNumberFormat="1" applyFont="1" applyFill="1" applyBorder="1" applyAlignment="1">
      <alignment horizontal="left" vertical="center"/>
    </xf>
    <xf numFmtId="183" fontId="17" fillId="6" borderId="0" xfId="0" applyNumberFormat="1" applyFont="1" applyFill="1" applyAlignment="1">
      <alignment vertical="center"/>
    </xf>
    <xf numFmtId="176" fontId="17" fillId="6" borderId="0" xfId="0" applyNumberFormat="1" applyFont="1" applyFill="1" applyAlignment="1">
      <alignment vertical="center"/>
    </xf>
    <xf numFmtId="176" fontId="23" fillId="6" borderId="0" xfId="0" applyNumberFormat="1" applyFont="1" applyFill="1" applyAlignment="1">
      <alignment horizontal="center" vertical="center"/>
    </xf>
    <xf numFmtId="43" fontId="24" fillId="0" borderId="0" xfId="0" applyNumberFormat="1" applyFont="1"/>
    <xf numFmtId="178" fontId="25" fillId="6" borderId="0" xfId="0" applyNumberFormat="1" applyFont="1" applyFill="1" applyAlignment="1">
      <alignment horizontal="center" vertical="center"/>
    </xf>
    <xf numFmtId="176" fontId="19" fillId="6" borderId="0" xfId="0" applyNumberFormat="1" applyFont="1" applyFill="1" applyAlignment="1">
      <alignment horizontal="center" vertical="center"/>
    </xf>
    <xf numFmtId="176" fontId="7" fillId="6" borderId="0" xfId="0" applyNumberFormat="1" applyFont="1" applyFill="1" applyAlignment="1">
      <alignment horizontal="center" vertical="center"/>
    </xf>
    <xf numFmtId="176" fontId="19" fillId="6" borderId="0" xfId="0" applyNumberFormat="1" applyFont="1" applyFill="1" applyAlignment="1">
      <alignment horizontal="left" vertical="center"/>
    </xf>
    <xf numFmtId="176" fontId="19" fillId="6" borderId="0" xfId="0" applyNumberFormat="1" applyFont="1" applyFill="1" applyAlignment="1">
      <alignment vertical="center"/>
    </xf>
    <xf numFmtId="176" fontId="19" fillId="6" borderId="0" xfId="0" applyNumberFormat="1" applyFont="1" applyFill="1" applyAlignment="1">
      <alignment horizontal="right" vertical="center"/>
    </xf>
    <xf numFmtId="178" fontId="18" fillId="6" borderId="0" xfId="0" applyNumberFormat="1" applyFont="1" applyFill="1" applyAlignment="1">
      <alignment horizontal="center" vertical="center"/>
    </xf>
    <xf numFmtId="176" fontId="18" fillId="6" borderId="0" xfId="0" applyNumberFormat="1" applyFont="1" applyFill="1" applyAlignment="1">
      <alignment vertical="center"/>
    </xf>
    <xf numFmtId="178" fontId="18" fillId="6" borderId="23" xfId="0" applyNumberFormat="1" applyFont="1" applyFill="1" applyBorder="1" applyAlignment="1">
      <alignment horizontal="center" vertical="center" wrapText="1"/>
    </xf>
    <xf numFmtId="176" fontId="18" fillId="6" borderId="23" xfId="0" applyNumberFormat="1" applyFont="1" applyFill="1" applyBorder="1" applyAlignment="1">
      <alignment horizontal="center" vertical="center" wrapText="1"/>
    </xf>
    <xf numFmtId="176" fontId="18" fillId="6" borderId="23" xfId="0" applyNumberFormat="1" applyFont="1" applyFill="1" applyBorder="1" applyAlignment="1">
      <alignment horizontal="center" vertical="center"/>
    </xf>
    <xf numFmtId="43" fontId="18" fillId="6" borderId="0" xfId="0" applyNumberFormat="1" applyFont="1" applyFill="1" applyAlignment="1">
      <alignment vertical="center"/>
    </xf>
    <xf numFmtId="176" fontId="18" fillId="6" borderId="23" xfId="0" applyNumberFormat="1" applyFont="1" applyFill="1" applyBorder="1" applyAlignment="1">
      <alignment vertical="center" wrapText="1"/>
    </xf>
    <xf numFmtId="176" fontId="25" fillId="6" borderId="23" xfId="0" applyNumberFormat="1" applyFont="1" applyFill="1" applyBorder="1" applyAlignment="1">
      <alignment horizontal="center" vertical="center" wrapText="1"/>
    </xf>
    <xf numFmtId="176" fontId="18" fillId="12" borderId="23" xfId="0" applyNumberFormat="1" applyFont="1" applyFill="1" applyBorder="1" applyAlignment="1">
      <alignment horizontal="center" vertical="center" wrapText="1"/>
    </xf>
    <xf numFmtId="43" fontId="24" fillId="6" borderId="0" xfId="0" applyNumberFormat="1" applyFont="1" applyFill="1"/>
    <xf numFmtId="178" fontId="18" fillId="17" borderId="58" xfId="0" applyNumberFormat="1" applyFont="1" applyFill="1" applyBorder="1" applyAlignment="1">
      <alignment vertical="center" wrapText="1"/>
    </xf>
    <xf numFmtId="178" fontId="18" fillId="17" borderId="56" xfId="0" applyNumberFormat="1" applyFont="1" applyFill="1" applyBorder="1" applyAlignment="1">
      <alignment vertical="center" wrapText="1"/>
    </xf>
    <xf numFmtId="178" fontId="18" fillId="17" borderId="59" xfId="0" applyNumberFormat="1" applyFont="1" applyFill="1" applyBorder="1" applyAlignment="1">
      <alignment vertical="center" wrapText="1"/>
    </xf>
    <xf numFmtId="176" fontId="18" fillId="17" borderId="51" xfId="0" applyNumberFormat="1" applyFont="1" applyFill="1" applyBorder="1" applyAlignment="1">
      <alignment horizontal="left" vertical="center" wrapText="1"/>
    </xf>
    <xf numFmtId="176" fontId="18" fillId="17" borderId="51" xfId="0" applyNumberFormat="1" applyFont="1" applyFill="1" applyBorder="1" applyAlignment="1">
      <alignment horizontal="center" vertical="center" wrapText="1"/>
    </xf>
    <xf numFmtId="176" fontId="18" fillId="17" borderId="51" xfId="0" applyNumberFormat="1" applyFont="1" applyFill="1" applyBorder="1" applyAlignment="1">
      <alignment vertical="center" wrapText="1"/>
    </xf>
    <xf numFmtId="176" fontId="18" fillId="6" borderId="23" xfId="0" applyNumberFormat="1" applyFont="1" applyFill="1" applyBorder="1" applyAlignment="1">
      <alignment horizontal="left" vertical="center" wrapText="1"/>
    </xf>
    <xf numFmtId="176" fontId="26" fillId="6" borderId="23" xfId="0" applyNumberFormat="1" applyFont="1" applyFill="1" applyBorder="1" applyAlignment="1">
      <alignment horizontal="left" vertical="center"/>
    </xf>
    <xf numFmtId="43" fontId="18" fillId="6" borderId="23" xfId="0" applyNumberFormat="1" applyFont="1" applyFill="1" applyBorder="1" applyAlignment="1">
      <alignment horizontal="center" vertical="center" wrapText="1"/>
    </xf>
    <xf numFmtId="43" fontId="19" fillId="6" borderId="23" xfId="0" applyNumberFormat="1" applyFont="1" applyFill="1" applyBorder="1" applyAlignment="1">
      <alignment horizontal="left" vertical="center"/>
    </xf>
    <xf numFmtId="180" fontId="22" fillId="6" borderId="0" xfId="0" applyNumberFormat="1" applyFont="1" applyFill="1" applyAlignment="1">
      <alignment vertical="center"/>
    </xf>
    <xf numFmtId="181" fontId="6" fillId="6" borderId="23" xfId="0" applyNumberFormat="1" applyFont="1" applyFill="1" applyBorder="1" applyAlignment="1">
      <alignment horizontal="left" vertical="center" wrapText="1"/>
    </xf>
    <xf numFmtId="176" fontId="18" fillId="6" borderId="59" xfId="0" applyNumberFormat="1" applyFont="1" applyFill="1" applyBorder="1" applyAlignment="1">
      <alignment horizontal="center" vertical="center" wrapText="1"/>
    </xf>
    <xf numFmtId="176" fontId="18" fillId="9" borderId="51" xfId="0" applyNumberFormat="1" applyFont="1" applyFill="1" applyBorder="1" applyAlignment="1">
      <alignment vertical="center" wrapText="1"/>
    </xf>
    <xf numFmtId="176" fontId="18" fillId="6" borderId="23" xfId="0" applyNumberFormat="1" applyFont="1" applyFill="1" applyBorder="1" applyAlignment="1">
      <alignment horizontal="left" vertical="center"/>
    </xf>
    <xf numFmtId="178" fontId="18" fillId="17" borderId="51" xfId="0" applyNumberFormat="1" applyFont="1" applyFill="1" applyBorder="1" applyAlignment="1">
      <alignment horizontal="center" vertical="center" wrapText="1"/>
    </xf>
    <xf numFmtId="0" fontId="0" fillId="0" borderId="56" xfId="0" applyBorder="1"/>
    <xf numFmtId="0" fontId="0" fillId="0" borderId="59" xfId="0" applyBorder="1"/>
    <xf numFmtId="176" fontId="18" fillId="8" borderId="23" xfId="0" applyNumberFormat="1" applyFont="1" applyFill="1" applyBorder="1" applyAlignment="1">
      <alignment horizontal="center" vertical="center" wrapText="1"/>
    </xf>
    <xf numFmtId="176" fontId="7" fillId="8" borderId="23" xfId="0" applyNumberFormat="1" applyFont="1" applyFill="1" applyBorder="1" applyAlignment="1">
      <alignment horizontal="left" vertical="center"/>
    </xf>
    <xf numFmtId="176" fontId="7" fillId="8" borderId="23" xfId="0" applyNumberFormat="1" applyFont="1" applyFill="1" applyBorder="1" applyAlignment="1">
      <alignment horizontal="right" vertical="center"/>
    </xf>
    <xf numFmtId="178" fontId="19" fillId="6" borderId="0" xfId="0" applyNumberFormat="1" applyFont="1" applyFill="1" applyAlignment="1">
      <alignment horizontal="center" vertical="center"/>
    </xf>
    <xf numFmtId="176" fontId="18" fillId="6" borderId="56" xfId="0" applyNumberFormat="1" applyFont="1" applyFill="1" applyBorder="1" applyAlignment="1">
      <alignment horizontal="center" vertical="center"/>
    </xf>
    <xf numFmtId="176" fontId="7" fillId="6" borderId="56" xfId="0" applyNumberFormat="1" applyFont="1" applyFill="1" applyBorder="1" applyAlignment="1">
      <alignment horizontal="center" vertical="center"/>
    </xf>
    <xf numFmtId="176" fontId="18" fillId="6" borderId="0" xfId="0" applyNumberFormat="1" applyFont="1" applyFill="1" applyAlignment="1">
      <alignment horizontal="left" vertical="center"/>
    </xf>
    <xf numFmtId="176" fontId="19" fillId="6" borderId="56" xfId="0" applyNumberFormat="1" applyFont="1" applyFill="1" applyBorder="1" applyAlignment="1">
      <alignment horizontal="left" vertical="center"/>
    </xf>
    <xf numFmtId="43" fontId="19" fillId="6" borderId="0" xfId="0" applyNumberFormat="1" applyFont="1" applyFill="1" applyAlignment="1">
      <alignment vertical="center"/>
    </xf>
    <xf numFmtId="178" fontId="27" fillId="6" borderId="0" xfId="0" applyNumberFormat="1" applyFont="1" applyFill="1" applyAlignment="1">
      <alignment horizontal="center" vertical="center"/>
    </xf>
    <xf numFmtId="176" fontId="27" fillId="6" borderId="0" xfId="0" applyNumberFormat="1" applyFont="1" applyFill="1" applyAlignment="1">
      <alignment horizontal="center" vertical="center"/>
    </xf>
    <xf numFmtId="176" fontId="28" fillId="6" borderId="0" xfId="0" applyNumberFormat="1" applyFont="1" applyFill="1" applyAlignment="1">
      <alignment horizontal="center" vertical="center"/>
    </xf>
    <xf numFmtId="176" fontId="27" fillId="6" borderId="0" xfId="0" applyNumberFormat="1" applyFont="1" applyFill="1" applyAlignment="1">
      <alignment horizontal="left" vertical="center"/>
    </xf>
    <xf numFmtId="176" fontId="27" fillId="6" borderId="0" xfId="0" applyNumberFormat="1" applyFont="1" applyFill="1" applyAlignment="1">
      <alignment vertical="center"/>
    </xf>
    <xf numFmtId="43" fontId="27" fillId="6" borderId="0" xfId="0" applyNumberFormat="1" applyFont="1" applyFill="1" applyAlignment="1">
      <alignment vertical="center"/>
    </xf>
    <xf numFmtId="49" fontId="29" fillId="6" borderId="23" xfId="0" applyNumberFormat="1" applyFont="1" applyFill="1" applyBorder="1" applyAlignment="1">
      <alignment horizontal="center" vertical="center"/>
    </xf>
    <xf numFmtId="179" fontId="30" fillId="6" borderId="23" xfId="0" applyNumberFormat="1" applyFont="1" applyFill="1" applyBorder="1" applyAlignment="1">
      <alignment horizontal="center" vertical="center"/>
    </xf>
    <xf numFmtId="14" fontId="30" fillId="6" borderId="23" xfId="0" applyNumberFormat="1" applyFont="1" applyFill="1" applyBorder="1" applyAlignment="1">
      <alignment horizontal="center" vertical="center"/>
    </xf>
    <xf numFmtId="0" fontId="30" fillId="6" borderId="23" xfId="0" applyFont="1" applyFill="1" applyBorder="1" applyAlignment="1">
      <alignment horizontal="center" vertical="center"/>
    </xf>
    <xf numFmtId="49" fontId="30" fillId="6" borderId="23" xfId="0" applyNumberFormat="1" applyFont="1" applyFill="1" applyBorder="1" applyAlignment="1">
      <alignment horizontal="center" vertical="center"/>
    </xf>
    <xf numFmtId="14" fontId="30" fillId="6" borderId="60" xfId="0" applyNumberFormat="1" applyFont="1" applyFill="1" applyBorder="1" applyAlignment="1">
      <alignment horizontal="center" vertical="center"/>
    </xf>
    <xf numFmtId="14" fontId="30" fillId="6" borderId="53" xfId="0" applyNumberFormat="1" applyFont="1" applyFill="1" applyBorder="1" applyAlignment="1">
      <alignment horizontal="center" vertical="center"/>
    </xf>
    <xf numFmtId="43" fontId="30" fillId="6" borderId="23" xfId="0" applyNumberFormat="1" applyFont="1" applyFill="1" applyBorder="1" applyAlignment="1">
      <alignment horizontal="center" vertical="center"/>
    </xf>
    <xf numFmtId="43" fontId="30" fillId="0" borderId="55" xfId="0" applyNumberFormat="1" applyFont="1" applyBorder="1" applyAlignment="1">
      <alignment horizontal="center" vertical="center"/>
    </xf>
    <xf numFmtId="0" fontId="30" fillId="6" borderId="61" xfId="0" applyFont="1" applyFill="1" applyBorder="1" applyAlignment="1">
      <alignment horizontal="center" vertical="center" wrapText="1"/>
    </xf>
    <xf numFmtId="0" fontId="30" fillId="6" borderId="23" xfId="0" applyFont="1" applyFill="1" applyBorder="1" applyAlignment="1">
      <alignment horizontal="center" vertical="center" wrapText="1"/>
    </xf>
    <xf numFmtId="49" fontId="30" fillId="6" borderId="23" xfId="0" applyNumberFormat="1" applyFont="1" applyFill="1" applyBorder="1" applyAlignment="1">
      <alignment horizontal="center" vertical="center" wrapText="1"/>
    </xf>
    <xf numFmtId="184" fontId="30" fillId="6" borderId="23" xfId="0" applyNumberFormat="1" applyFont="1" applyFill="1" applyBorder="1" applyAlignment="1">
      <alignment horizontal="center" vertical="center" wrapText="1"/>
    </xf>
    <xf numFmtId="184" fontId="30" fillId="6" borderId="60" xfId="0" applyNumberFormat="1" applyFont="1" applyFill="1" applyBorder="1" applyAlignment="1">
      <alignment horizontal="center" vertical="center"/>
    </xf>
    <xf numFmtId="184" fontId="30" fillId="6" borderId="61" xfId="0" applyNumberFormat="1" applyFont="1" applyFill="1" applyBorder="1" applyAlignment="1">
      <alignment horizontal="center" vertical="center"/>
    </xf>
    <xf numFmtId="184" fontId="30" fillId="6" borderId="23" xfId="0" applyNumberFormat="1" applyFont="1" applyFill="1" applyBorder="1" applyAlignment="1">
      <alignment horizontal="center" vertical="center"/>
    </xf>
    <xf numFmtId="184" fontId="30" fillId="6" borderId="55" xfId="0" applyNumberFormat="1" applyFont="1" applyFill="1" applyBorder="1" applyAlignment="1">
      <alignment horizontal="center" vertical="center"/>
    </xf>
    <xf numFmtId="179" fontId="30" fillId="6" borderId="61" xfId="0" applyNumberFormat="1" applyFont="1" applyFill="1" applyBorder="1" applyAlignment="1">
      <alignment horizontal="center" vertical="center"/>
    </xf>
    <xf numFmtId="179" fontId="30" fillId="6" borderId="23" xfId="0" applyNumberFormat="1" applyFont="1" applyFill="1" applyBorder="1" applyAlignment="1">
      <alignment horizontal="center" vertical="center" wrapText="1"/>
    </xf>
    <xf numFmtId="41" fontId="31" fillId="18" borderId="53" xfId="0" applyNumberFormat="1" applyFont="1" applyFill="1" applyBorder="1" applyAlignment="1">
      <alignment vertical="center" wrapText="1"/>
    </xf>
    <xf numFmtId="41" fontId="31" fillId="18" borderId="23" xfId="0" applyNumberFormat="1" applyFont="1" applyFill="1" applyBorder="1" applyAlignment="1">
      <alignment horizontal="center" vertical="center" wrapText="1"/>
    </xf>
    <xf numFmtId="41" fontId="31" fillId="18" borderId="55" xfId="0" applyNumberFormat="1" applyFont="1" applyFill="1" applyBorder="1" applyAlignment="1">
      <alignment horizontal="center" vertical="center" wrapText="1"/>
    </xf>
    <xf numFmtId="0" fontId="31" fillId="18" borderId="23" xfId="0" applyFont="1" applyFill="1" applyBorder="1" applyAlignment="1">
      <alignment horizontal="center" vertical="center"/>
    </xf>
    <xf numFmtId="0" fontId="29" fillId="6" borderId="23" xfId="0" applyFont="1" applyFill="1" applyBorder="1" applyAlignment="1">
      <alignment horizontal="center" vertical="center"/>
    </xf>
    <xf numFmtId="183" fontId="32" fillId="0" borderId="23" xfId="0" applyNumberFormat="1" applyFont="1" applyBorder="1" applyAlignment="1">
      <alignment horizontal="center" vertical="center"/>
    </xf>
    <xf numFmtId="14" fontId="32" fillId="6" borderId="23" xfId="0" applyNumberFormat="1" applyFont="1" applyFill="1" applyBorder="1" applyAlignment="1">
      <alignment horizontal="center" vertical="center"/>
    </xf>
    <xf numFmtId="179" fontId="32" fillId="6" borderId="23" xfId="0" applyNumberFormat="1" applyFont="1" applyFill="1" applyBorder="1" applyAlignment="1">
      <alignment horizontal="center" vertical="center"/>
    </xf>
    <xf numFmtId="0" fontId="32" fillId="6" borderId="23" xfId="0" applyFont="1" applyFill="1" applyBorder="1" applyAlignment="1">
      <alignment horizontal="center" vertical="center"/>
    </xf>
    <xf numFmtId="185" fontId="32" fillId="6" borderId="23" xfId="0" applyNumberFormat="1" applyFont="1" applyFill="1" applyBorder="1" applyAlignment="1">
      <alignment horizontal="center" vertical="center"/>
    </xf>
    <xf numFmtId="179" fontId="32" fillId="6" borderId="60" xfId="0" applyNumberFormat="1" applyFont="1" applyFill="1" applyBorder="1" applyAlignment="1">
      <alignment horizontal="center" vertical="center"/>
    </xf>
    <xf numFmtId="43" fontId="32" fillId="6" borderId="23" xfId="0" applyNumberFormat="1" applyFont="1" applyFill="1" applyBorder="1" applyAlignment="1">
      <alignment horizontal="center" vertical="center"/>
    </xf>
    <xf numFmtId="179" fontId="33" fillId="6" borderId="23" xfId="0" applyNumberFormat="1" applyFont="1" applyFill="1" applyBorder="1" applyAlignment="1">
      <alignment horizontal="center" vertical="center"/>
    </xf>
    <xf numFmtId="43" fontId="32" fillId="6" borderId="55" xfId="0" applyNumberFormat="1" applyFont="1" applyFill="1" applyBorder="1" applyAlignment="1">
      <alignment horizontal="center" vertical="center"/>
    </xf>
    <xf numFmtId="178" fontId="32" fillId="6" borderId="61" xfId="0" applyNumberFormat="1" applyFont="1" applyFill="1" applyBorder="1" applyAlignment="1">
      <alignment horizontal="center" vertical="center"/>
    </xf>
    <xf numFmtId="178" fontId="32" fillId="6" borderId="23" xfId="0" applyNumberFormat="1" applyFont="1" applyFill="1" applyBorder="1" applyAlignment="1">
      <alignment horizontal="center" vertical="center"/>
    </xf>
    <xf numFmtId="49" fontId="32" fillId="6" borderId="23" xfId="0" applyNumberFormat="1" applyFont="1" applyFill="1" applyBorder="1" applyAlignment="1">
      <alignment horizontal="center" vertical="center"/>
    </xf>
    <xf numFmtId="182" fontId="32" fillId="6" borderId="23" xfId="0" applyNumberFormat="1" applyFont="1" applyFill="1" applyBorder="1" applyAlignment="1">
      <alignment horizontal="center" vertical="center" shrinkToFit="1"/>
    </xf>
    <xf numFmtId="182" fontId="32" fillId="6" borderId="23" xfId="0" applyNumberFormat="1" applyFont="1" applyFill="1" applyBorder="1" applyAlignment="1">
      <alignment horizontal="center" vertical="center"/>
    </xf>
    <xf numFmtId="178" fontId="32" fillId="0" borderId="60" xfId="0" applyNumberFormat="1" applyFont="1" applyBorder="1" applyAlignment="1">
      <alignment horizontal="center" vertical="center"/>
    </xf>
    <xf numFmtId="0" fontId="32" fillId="6" borderId="61" xfId="0" applyFont="1" applyFill="1" applyBorder="1" applyAlignment="1">
      <alignment horizontal="center" vertical="center"/>
    </xf>
    <xf numFmtId="43" fontId="29" fillId="6" borderId="60" xfId="0" applyNumberFormat="1" applyFont="1" applyFill="1" applyBorder="1" applyAlignment="1">
      <alignment horizontal="center" vertical="center"/>
    </xf>
    <xf numFmtId="179" fontId="32" fillId="6" borderId="61" xfId="0" applyNumberFormat="1" applyFont="1" applyFill="1" applyBorder="1" applyAlignment="1">
      <alignment horizontal="center" vertical="center"/>
    </xf>
    <xf numFmtId="179" fontId="32" fillId="6" borderId="55" xfId="0" applyNumberFormat="1" applyFont="1" applyFill="1" applyBorder="1" applyAlignment="1">
      <alignment horizontal="center" vertical="center"/>
    </xf>
    <xf numFmtId="41" fontId="8" fillId="9" borderId="0" xfId="0" applyNumberFormat="1" applyFont="1" applyFill="1" applyAlignment="1">
      <alignment horizontal="center" vertical="center"/>
    </xf>
    <xf numFmtId="179" fontId="29" fillId="6" borderId="60" xfId="0" applyNumberFormat="1" applyFont="1" applyFill="1" applyBorder="1" applyAlignment="1">
      <alignment horizontal="center" vertical="center"/>
    </xf>
    <xf numFmtId="0" fontId="29" fillId="6" borderId="60" xfId="0" applyFont="1" applyFill="1" applyBorder="1" applyAlignment="1">
      <alignment horizontal="center" vertical="center"/>
    </xf>
    <xf numFmtId="0" fontId="34" fillId="19" borderId="21" xfId="0" applyFont="1" applyFill="1" applyBorder="1" applyAlignment="1">
      <alignment horizontal="center" vertical="center"/>
    </xf>
    <xf numFmtId="0" fontId="35" fillId="0" borderId="7" xfId="0" applyFont="1" applyBorder="1" applyAlignment="1">
      <alignment horizontal="center" vertical="center"/>
    </xf>
    <xf numFmtId="0" fontId="0" fillId="0" borderId="8" xfId="0" applyBorder="1"/>
    <xf numFmtId="0" fontId="0" fillId="0" borderId="44" xfId="0" applyBorder="1"/>
    <xf numFmtId="0" fontId="35" fillId="0" borderId="0" xfId="0" applyFont="1" applyAlignment="1">
      <alignment vertical="center"/>
    </xf>
    <xf numFmtId="183" fontId="29" fillId="0" borderId="23" xfId="0" applyNumberFormat="1" applyFont="1" applyBorder="1" applyAlignment="1">
      <alignment horizontal="center" vertical="center"/>
    </xf>
    <xf numFmtId="14" fontId="29" fillId="6" borderId="23" xfId="0" applyNumberFormat="1" applyFont="1" applyFill="1" applyBorder="1" applyAlignment="1">
      <alignment horizontal="center" vertical="center"/>
    </xf>
    <xf numFmtId="179" fontId="29" fillId="6" borderId="23" xfId="0" applyNumberFormat="1" applyFont="1" applyFill="1" applyBorder="1" applyAlignment="1">
      <alignment horizontal="center" vertical="center"/>
    </xf>
    <xf numFmtId="185" fontId="29" fillId="6" borderId="23" xfId="0" applyNumberFormat="1" applyFont="1" applyFill="1" applyBorder="1" applyAlignment="1">
      <alignment horizontal="center" vertical="center"/>
    </xf>
    <xf numFmtId="43" fontId="29" fillId="6" borderId="23" xfId="0" applyNumberFormat="1" applyFont="1" applyFill="1" applyBorder="1" applyAlignment="1">
      <alignment horizontal="center" vertical="center"/>
    </xf>
    <xf numFmtId="43" fontId="29" fillId="6" borderId="55" xfId="0" applyNumberFormat="1" applyFont="1" applyFill="1" applyBorder="1" applyAlignment="1">
      <alignment horizontal="center" vertical="center"/>
    </xf>
    <xf numFmtId="178" fontId="29" fillId="6" borderId="61" xfId="0" applyNumberFormat="1" applyFont="1" applyFill="1" applyBorder="1" applyAlignment="1">
      <alignment horizontal="center" vertical="center"/>
    </xf>
    <xf numFmtId="178" fontId="29" fillId="6" borderId="23" xfId="0" applyNumberFormat="1" applyFont="1" applyFill="1" applyBorder="1" applyAlignment="1">
      <alignment horizontal="center" vertical="center"/>
    </xf>
    <xf numFmtId="182" fontId="29" fillId="6" borderId="23" xfId="0" applyNumberFormat="1" applyFont="1" applyFill="1" applyBorder="1" applyAlignment="1">
      <alignment horizontal="center" vertical="center" shrinkToFit="1"/>
    </xf>
    <xf numFmtId="182" fontId="29" fillId="6" borderId="23" xfId="0" applyNumberFormat="1" applyFont="1" applyFill="1" applyBorder="1" applyAlignment="1">
      <alignment horizontal="center" vertical="center"/>
    </xf>
    <xf numFmtId="178" fontId="29" fillId="0" borderId="60" xfId="0" applyNumberFormat="1" applyFont="1" applyBorder="1" applyAlignment="1">
      <alignment horizontal="center" vertical="center"/>
    </xf>
    <xf numFmtId="0" fontId="29" fillId="6" borderId="61" xfId="0" applyFont="1" applyFill="1" applyBorder="1" applyAlignment="1">
      <alignment horizontal="center" vertical="center"/>
    </xf>
    <xf numFmtId="179" fontId="29" fillId="6" borderId="61" xfId="0" applyNumberFormat="1" applyFont="1" applyFill="1" applyBorder="1" applyAlignment="1">
      <alignment horizontal="center" vertical="center"/>
    </xf>
    <xf numFmtId="179" fontId="29" fillId="6" borderId="55" xfId="0" applyNumberFormat="1" applyFont="1" applyFill="1" applyBorder="1" applyAlignment="1">
      <alignment horizontal="center" vertical="center"/>
    </xf>
    <xf numFmtId="0" fontId="0" fillId="0" borderId="21" xfId="0" applyBorder="1"/>
    <xf numFmtId="0" fontId="35" fillId="0" borderId="62" xfId="0" applyFont="1" applyBorder="1" applyAlignment="1">
      <alignment horizontal="center" vertical="center"/>
    </xf>
    <xf numFmtId="0" fontId="35" fillId="0" borderId="63" xfId="0" applyFont="1" applyBorder="1" applyAlignment="1">
      <alignment horizontal="center" vertical="center"/>
    </xf>
    <xf numFmtId="0" fontId="0" fillId="0" borderId="63" xfId="0" applyBorder="1"/>
    <xf numFmtId="0" fontId="35" fillId="0" borderId="0" xfId="0" applyFont="1" applyAlignment="1">
      <alignment horizontal="center" vertical="center"/>
    </xf>
    <xf numFmtId="43" fontId="35" fillId="0" borderId="22" xfId="0" applyNumberFormat="1" applyFont="1" applyBorder="1" applyAlignment="1">
      <alignment horizontal="center" vertical="center"/>
    </xf>
    <xf numFmtId="186" fontId="35" fillId="0" borderId="64" xfId="0" applyNumberFormat="1" applyFont="1" applyBorder="1" applyAlignment="1">
      <alignment horizontal="center" vertical="center"/>
    </xf>
    <xf numFmtId="0" fontId="35" fillId="0" borderId="13" xfId="0" applyFont="1" applyBorder="1" applyAlignment="1">
      <alignment horizontal="center" vertical="center"/>
    </xf>
    <xf numFmtId="9" fontId="35" fillId="0" borderId="49" xfId="0" applyNumberFormat="1" applyFont="1" applyBorder="1" applyAlignment="1">
      <alignment horizontal="center" vertical="center"/>
    </xf>
    <xf numFmtId="0" fontId="0" fillId="0" borderId="50" xfId="0" applyBorder="1"/>
    <xf numFmtId="187" fontId="35" fillId="0" borderId="65" xfId="0" applyNumberFormat="1" applyFont="1" applyBorder="1" applyAlignment="1">
      <alignment horizontal="center" vertical="center"/>
    </xf>
    <xf numFmtId="0" fontId="32" fillId="6" borderId="60" xfId="0" applyFont="1" applyFill="1" applyBorder="1" applyAlignment="1">
      <alignment horizontal="center" vertical="center"/>
    </xf>
    <xf numFmtId="0" fontId="35" fillId="0" borderId="66" xfId="0" applyFont="1" applyBorder="1" applyAlignment="1">
      <alignment horizontal="center" vertical="center"/>
    </xf>
    <xf numFmtId="0" fontId="0" fillId="0" borderId="31" xfId="0" applyBorder="1"/>
    <xf numFmtId="9" fontId="35" fillId="0" borderId="65" xfId="0" applyNumberFormat="1" applyFont="1" applyBorder="1" applyAlignment="1">
      <alignment horizontal="center" vertical="center"/>
    </xf>
    <xf numFmtId="0" fontId="35" fillId="0" borderId="35" xfId="0" applyFont="1" applyBorder="1" applyAlignment="1">
      <alignment horizontal="center" vertical="center"/>
    </xf>
    <xf numFmtId="9" fontId="35" fillId="0" borderId="67" xfId="0" applyNumberFormat="1" applyFont="1" applyBorder="1" applyAlignment="1">
      <alignment horizontal="center" vertical="center"/>
    </xf>
    <xf numFmtId="0" fontId="0" fillId="0" borderId="68" xfId="0" applyBorder="1"/>
    <xf numFmtId="0" fontId="35" fillId="0" borderId="14" xfId="0" applyFont="1" applyBorder="1" applyAlignment="1">
      <alignment horizontal="center" vertical="center"/>
    </xf>
    <xf numFmtId="0" fontId="0" fillId="0" borderId="13" xfId="0" applyBorder="1"/>
    <xf numFmtId="187" fontId="35" fillId="0" borderId="64" xfId="0" applyNumberFormat="1" applyFont="1" applyBorder="1" applyAlignment="1">
      <alignment horizontal="center" vertical="center"/>
    </xf>
    <xf numFmtId="0" fontId="35" fillId="0" borderId="69" xfId="0" applyFont="1" applyBorder="1" applyAlignment="1">
      <alignment horizontal="center" vertical="center"/>
    </xf>
    <xf numFmtId="186" fontId="35" fillId="9" borderId="70" xfId="0" applyNumberFormat="1" applyFont="1" applyFill="1" applyBorder="1" applyAlignment="1">
      <alignment horizontal="center" vertical="center"/>
    </xf>
    <xf numFmtId="0" fontId="35" fillId="0" borderId="71" xfId="0" applyFont="1" applyBorder="1" applyAlignment="1">
      <alignment horizontal="center" vertical="center"/>
    </xf>
    <xf numFmtId="0" fontId="35" fillId="0" borderId="72" xfId="0" applyFont="1" applyBorder="1" applyAlignment="1">
      <alignment horizontal="center" vertical="center"/>
    </xf>
    <xf numFmtId="0" fontId="0" fillId="0" borderId="71" xfId="0" applyBorder="1"/>
    <xf numFmtId="187" fontId="35" fillId="0" borderId="70" xfId="0" applyNumberFormat="1" applyFont="1" applyBorder="1" applyAlignment="1">
      <alignment horizontal="center" vertical="center"/>
    </xf>
    <xf numFmtId="0" fontId="35" fillId="0" borderId="1" xfId="0" applyFont="1" applyBorder="1" applyAlignment="1">
      <alignment horizontal="center" vertical="center"/>
    </xf>
    <xf numFmtId="43" fontId="34" fillId="20" borderId="73" xfId="0" applyNumberFormat="1" applyFont="1" applyFill="1" applyBorder="1" applyAlignment="1">
      <alignment horizontal="center" vertical="center"/>
    </xf>
    <xf numFmtId="0" fontId="0" fillId="0" borderId="74" xfId="0" applyBorder="1"/>
    <xf numFmtId="43" fontId="34" fillId="21" borderId="73" xfId="0" applyNumberFormat="1" applyFont="1" applyFill="1" applyBorder="1" applyAlignment="1">
      <alignment horizontal="center" vertical="center"/>
    </xf>
    <xf numFmtId="186" fontId="35" fillId="9" borderId="14" xfId="0" applyNumberFormat="1" applyFont="1" applyFill="1" applyBorder="1" applyAlignment="1">
      <alignment horizontal="center" vertical="center"/>
    </xf>
    <xf numFmtId="43" fontId="35" fillId="0" borderId="14" xfId="0" applyNumberFormat="1" applyFont="1" applyBorder="1" applyAlignment="1">
      <alignment horizontal="center" vertical="center"/>
    </xf>
    <xf numFmtId="186" fontId="35" fillId="9" borderId="17" xfId="0" applyNumberFormat="1" applyFont="1" applyFill="1" applyBorder="1" applyAlignment="1">
      <alignment horizontal="center" vertical="center"/>
    </xf>
    <xf numFmtId="9" fontId="35" fillId="0" borderId="49" xfId="0" applyNumberFormat="1" applyFont="1" applyBorder="1" applyAlignment="1">
      <alignment vertical="center"/>
    </xf>
    <xf numFmtId="43" fontId="35" fillId="9" borderId="14" xfId="0" applyNumberFormat="1" applyFont="1" applyFill="1" applyBorder="1" applyAlignment="1">
      <alignment vertical="center"/>
    </xf>
    <xf numFmtId="43" fontId="35" fillId="0" borderId="17" xfId="0" applyNumberFormat="1" applyFont="1" applyBorder="1" applyAlignment="1">
      <alignment horizontal="center" vertical="center"/>
    </xf>
    <xf numFmtId="9" fontId="35" fillId="0" borderId="14" xfId="0" applyNumberFormat="1" applyFont="1" applyBorder="1" applyAlignment="1">
      <alignment horizontal="center" vertical="center"/>
    </xf>
    <xf numFmtId="9" fontId="35" fillId="9" borderId="17" xfId="0" applyNumberFormat="1" applyFont="1" applyFill="1" applyBorder="1" applyAlignment="1">
      <alignment horizontal="center" vertical="center"/>
    </xf>
    <xf numFmtId="43" fontId="35" fillId="0" borderId="32" xfId="0" applyNumberFormat="1" applyFont="1" applyBorder="1" applyAlignment="1">
      <alignment horizontal="center" vertical="center"/>
    </xf>
    <xf numFmtId="186" fontId="35" fillId="9" borderId="14" xfId="0" applyNumberFormat="1" applyFont="1" applyFill="1" applyBorder="1" applyAlignment="1">
      <alignment vertical="center"/>
    </xf>
    <xf numFmtId="43" fontId="35" fillId="0" borderId="29" xfId="0" applyNumberFormat="1" applyFont="1" applyBorder="1" applyAlignment="1">
      <alignment horizontal="center" vertical="center"/>
    </xf>
    <xf numFmtId="43" fontId="35" fillId="0" borderId="34" xfId="0" applyNumberFormat="1" applyFont="1" applyBorder="1" applyAlignment="1">
      <alignment horizontal="center" vertical="center"/>
    </xf>
    <xf numFmtId="186" fontId="35" fillId="9" borderId="29" xfId="0" applyNumberFormat="1" applyFont="1" applyFill="1" applyBorder="1" applyAlignment="1">
      <alignment vertical="center"/>
    </xf>
    <xf numFmtId="43" fontId="35" fillId="0" borderId="75" xfId="0" applyNumberFormat="1" applyFont="1" applyBorder="1" applyAlignment="1">
      <alignment horizontal="center" vertical="center"/>
    </xf>
    <xf numFmtId="43" fontId="35" fillId="0" borderId="72" xfId="0" applyNumberFormat="1" applyFont="1" applyBorder="1" applyAlignment="1">
      <alignment horizontal="center" vertical="center"/>
    </xf>
    <xf numFmtId="0" fontId="0" fillId="0" borderId="76" xfId="0" applyBorder="1"/>
    <xf numFmtId="179" fontId="36" fillId="6" borderId="23" xfId="0" applyNumberFormat="1" applyFont="1" applyFill="1" applyBorder="1" applyAlignment="1">
      <alignment horizontal="center" vertical="center"/>
    </xf>
    <xf numFmtId="14" fontId="29" fillId="0" borderId="23" xfId="0" applyNumberFormat="1" applyFont="1" applyBorder="1" applyAlignment="1">
      <alignment horizontal="center" vertical="center"/>
    </xf>
    <xf numFmtId="43" fontId="29" fillId="0" borderId="23" xfId="0" applyNumberFormat="1" applyFont="1" applyBorder="1" applyAlignment="1">
      <alignment horizontal="center" vertical="center"/>
    </xf>
    <xf numFmtId="179" fontId="33" fillId="0" borderId="23" xfId="0" applyNumberFormat="1" applyFont="1" applyBorder="1" applyAlignment="1">
      <alignment horizontal="center" vertical="center"/>
    </xf>
    <xf numFmtId="43" fontId="29" fillId="0" borderId="55" xfId="0" applyNumberFormat="1" applyFont="1" applyBorder="1" applyAlignment="1">
      <alignment horizontal="center" vertical="center"/>
    </xf>
    <xf numFmtId="183" fontId="37" fillId="0" borderId="23" xfId="0" applyNumberFormat="1" applyFont="1" applyBorder="1" applyAlignment="1">
      <alignment horizontal="center" vertical="center"/>
    </xf>
    <xf numFmtId="43" fontId="32" fillId="6" borderId="60" xfId="0" applyNumberFormat="1" applyFont="1" applyFill="1" applyBorder="1" applyAlignment="1">
      <alignment horizontal="center" vertical="center"/>
    </xf>
    <xf numFmtId="41" fontId="38" fillId="9" borderId="0" xfId="0" applyNumberFormat="1" applyFont="1" applyFill="1" applyAlignment="1">
      <alignment horizontal="center" vertical="center"/>
    </xf>
    <xf numFmtId="179" fontId="29" fillId="0" borderId="23" xfId="0" applyNumberFormat="1" applyFont="1" applyBorder="1" applyAlignment="1">
      <alignment horizontal="center" vertical="center"/>
    </xf>
    <xf numFmtId="179" fontId="39" fillId="0" borderId="23" xfId="0" applyNumberFormat="1" applyFont="1" applyBorder="1" applyAlignment="1">
      <alignment horizontal="center" vertical="center"/>
    </xf>
    <xf numFmtId="0" fontId="29" fillId="0" borderId="23" xfId="0" applyFont="1" applyBorder="1" applyAlignment="1">
      <alignment horizontal="center" vertical="center"/>
    </xf>
    <xf numFmtId="185" fontId="29" fillId="0" borderId="23" xfId="0" applyNumberFormat="1" applyFont="1" applyBorder="1" applyAlignment="1">
      <alignment horizontal="center" vertical="center"/>
    </xf>
    <xf numFmtId="179" fontId="29" fillId="0" borderId="60" xfId="0" applyNumberFormat="1" applyFont="1" applyBorder="1" applyAlignment="1">
      <alignment horizontal="center" vertical="center"/>
    </xf>
    <xf numFmtId="178" fontId="29" fillId="0" borderId="61" xfId="0" applyNumberFormat="1" applyFont="1" applyBorder="1" applyAlignment="1">
      <alignment horizontal="center" vertical="center"/>
    </xf>
    <xf numFmtId="178" fontId="29" fillId="0" borderId="23" xfId="0" applyNumberFormat="1" applyFont="1" applyBorder="1" applyAlignment="1">
      <alignment horizontal="center" vertical="center"/>
    </xf>
    <xf numFmtId="49" fontId="29" fillId="0" borderId="23" xfId="0" applyNumberFormat="1" applyFont="1" applyBorder="1" applyAlignment="1">
      <alignment horizontal="center" vertical="center"/>
    </xf>
    <xf numFmtId="182" fontId="29" fillId="0" borderId="23" xfId="0" applyNumberFormat="1" applyFont="1" applyBorder="1" applyAlignment="1">
      <alignment horizontal="center" vertical="center" shrinkToFit="1"/>
    </xf>
    <xf numFmtId="182" fontId="29" fillId="0" borderId="23" xfId="0" applyNumberFormat="1" applyFont="1" applyBorder="1" applyAlignment="1">
      <alignment horizontal="center" vertical="center"/>
    </xf>
    <xf numFmtId="0" fontId="29" fillId="0" borderId="61" xfId="0" applyFont="1" applyBorder="1" applyAlignment="1">
      <alignment horizontal="center" vertical="center"/>
    </xf>
    <xf numFmtId="179" fontId="29" fillId="0" borderId="61" xfId="0" applyNumberFormat="1" applyFont="1" applyBorder="1" applyAlignment="1">
      <alignment horizontal="center" vertical="center"/>
    </xf>
    <xf numFmtId="183" fontId="39" fillId="0" borderId="23" xfId="0" applyNumberFormat="1" applyFont="1" applyBorder="1" applyAlignment="1">
      <alignment horizontal="center" vertical="center"/>
    </xf>
    <xf numFmtId="14" fontId="39" fillId="6" borderId="23" xfId="0" applyNumberFormat="1" applyFont="1" applyFill="1" applyBorder="1" applyAlignment="1">
      <alignment horizontal="center" vertical="center"/>
    </xf>
    <xf numFmtId="179" fontId="39" fillId="6" borderId="23" xfId="0" applyNumberFormat="1" applyFont="1" applyFill="1" applyBorder="1" applyAlignment="1">
      <alignment horizontal="center" vertical="center"/>
    </xf>
    <xf numFmtId="0" fontId="39" fillId="6" borderId="23" xfId="0" applyFont="1" applyFill="1" applyBorder="1" applyAlignment="1">
      <alignment horizontal="center" vertical="center"/>
    </xf>
    <xf numFmtId="185" fontId="39" fillId="6" borderId="23" xfId="0" applyNumberFormat="1" applyFont="1" applyFill="1" applyBorder="1" applyAlignment="1">
      <alignment horizontal="center" vertical="center"/>
    </xf>
    <xf numFmtId="179" fontId="39" fillId="6" borderId="60" xfId="0" applyNumberFormat="1" applyFont="1" applyFill="1" applyBorder="1" applyAlignment="1">
      <alignment horizontal="center" vertical="center"/>
    </xf>
    <xf numFmtId="43" fontId="39" fillId="6" borderId="23" xfId="0" applyNumberFormat="1" applyFont="1" applyFill="1" applyBorder="1" applyAlignment="1">
      <alignment horizontal="center" vertical="center"/>
    </xf>
    <xf numFmtId="179" fontId="40" fillId="6" borderId="23" xfId="0" applyNumberFormat="1" applyFont="1" applyFill="1" applyBorder="1" applyAlignment="1">
      <alignment horizontal="center" vertical="center"/>
    </xf>
    <xf numFmtId="43" fontId="39" fillId="6" borderId="55" xfId="0" applyNumberFormat="1" applyFont="1" applyFill="1" applyBorder="1" applyAlignment="1">
      <alignment horizontal="center" vertical="center"/>
    </xf>
    <xf numFmtId="178" fontId="39" fillId="6" borderId="61" xfId="0" applyNumberFormat="1" applyFont="1" applyFill="1" applyBorder="1" applyAlignment="1">
      <alignment horizontal="center" vertical="center"/>
    </xf>
    <xf numFmtId="178" fontId="39" fillId="6" borderId="23" xfId="0" applyNumberFormat="1" applyFont="1" applyFill="1" applyBorder="1" applyAlignment="1">
      <alignment horizontal="center" vertical="center"/>
    </xf>
    <xf numFmtId="49" fontId="39" fillId="6" borderId="23" xfId="0" applyNumberFormat="1" applyFont="1" applyFill="1" applyBorder="1" applyAlignment="1">
      <alignment horizontal="center" vertical="center"/>
    </xf>
    <xf numFmtId="182" fontId="39" fillId="6" borderId="23" xfId="0" applyNumberFormat="1" applyFont="1" applyFill="1" applyBorder="1" applyAlignment="1">
      <alignment horizontal="center" vertical="center" shrinkToFit="1"/>
    </xf>
    <xf numFmtId="182" fontId="39" fillId="6" borderId="23" xfId="0" applyNumberFormat="1" applyFont="1" applyFill="1" applyBorder="1" applyAlignment="1">
      <alignment horizontal="center" vertical="center"/>
    </xf>
    <xf numFmtId="0" fontId="39" fillId="6" borderId="61" xfId="0" applyFont="1" applyFill="1" applyBorder="1" applyAlignment="1">
      <alignment horizontal="center" vertical="center"/>
    </xf>
    <xf numFmtId="179" fontId="39" fillId="6" borderId="61" xfId="0" applyNumberFormat="1" applyFont="1" applyFill="1" applyBorder="1" applyAlignment="1">
      <alignment horizontal="center" vertical="center"/>
    </xf>
    <xf numFmtId="179" fontId="39" fillId="6" borderId="55" xfId="0" applyNumberFormat="1" applyFont="1" applyFill="1" applyBorder="1" applyAlignment="1">
      <alignment horizontal="center" vertical="center"/>
    </xf>
    <xf numFmtId="185" fontId="29" fillId="6" borderId="53" xfId="0" applyNumberFormat="1" applyFont="1" applyFill="1" applyBorder="1" applyAlignment="1" applyProtection="1">
      <alignment horizontal="center" vertical="center" wrapText="1"/>
      <protection locked="0"/>
    </xf>
    <xf numFmtId="185" fontId="39" fillId="6" borderId="53" xfId="0" applyNumberFormat="1" applyFont="1" applyFill="1" applyBorder="1" applyAlignment="1" applyProtection="1">
      <alignment horizontal="center" vertical="center" wrapText="1"/>
      <protection locked="0"/>
    </xf>
    <xf numFmtId="178" fontId="39" fillId="0" borderId="60" xfId="0" applyNumberFormat="1" applyFont="1" applyBorder="1" applyAlignment="1">
      <alignment horizontal="center" vertical="center"/>
    </xf>
    <xf numFmtId="185" fontId="29" fillId="0" borderId="53" xfId="0" applyNumberFormat="1" applyFont="1" applyBorder="1" applyAlignment="1" applyProtection="1">
      <alignment horizontal="center" vertical="center" wrapText="1"/>
      <protection locked="0"/>
    </xf>
    <xf numFmtId="0" fontId="41" fillId="0" borderId="0" xfId="0" applyFont="1" applyAlignment="1">
      <alignment horizontal="center" vertical="center"/>
    </xf>
    <xf numFmtId="0" fontId="8" fillId="0" borderId="0" xfId="0" applyFont="1" applyAlignment="1">
      <alignment horizontal="center"/>
    </xf>
    <xf numFmtId="176" fontId="42" fillId="5" borderId="23" xfId="0" applyNumberFormat="1" applyFont="1" applyFill="1" applyBorder="1" applyAlignment="1">
      <alignment horizontal="center" vertical="center" wrapText="1"/>
    </xf>
    <xf numFmtId="0" fontId="8" fillId="0" borderId="23" xfId="0" applyFont="1" applyBorder="1" applyAlignment="1">
      <alignment horizontal="center"/>
    </xf>
    <xf numFmtId="176" fontId="8" fillId="0" borderId="23" xfId="0" applyNumberFormat="1" applyFont="1" applyBorder="1" applyAlignment="1">
      <alignment horizontal="center" vertical="center" wrapText="1"/>
    </xf>
    <xf numFmtId="176" fontId="4" fillId="5" borderId="23" xfId="0" applyNumberFormat="1" applyFont="1" applyFill="1" applyBorder="1" applyAlignment="1">
      <alignment vertical="center" wrapText="1"/>
    </xf>
    <xf numFmtId="176" fontId="4" fillId="2" borderId="23" xfId="0" applyNumberFormat="1" applyFont="1" applyFill="1" applyBorder="1" applyAlignment="1">
      <alignment horizontal="left" vertical="center" wrapText="1"/>
    </xf>
    <xf numFmtId="176" fontId="8" fillId="22" borderId="23" xfId="0" applyNumberFormat="1" applyFont="1" applyFill="1" applyBorder="1" applyAlignment="1">
      <alignment horizontal="center" vertical="center" wrapText="1"/>
    </xf>
    <xf numFmtId="176" fontId="4" fillId="6" borderId="23" xfId="0" applyNumberFormat="1" applyFont="1" applyFill="1" applyBorder="1" applyAlignment="1">
      <alignment vertical="center" wrapText="1"/>
    </xf>
    <xf numFmtId="176" fontId="4" fillId="6" borderId="23" xfId="0" applyNumberFormat="1" applyFont="1" applyFill="1" applyBorder="1" applyAlignment="1">
      <alignment horizontal="left" vertical="center" wrapText="1"/>
    </xf>
    <xf numFmtId="0" fontId="8" fillId="19" borderId="23" xfId="0" applyFont="1" applyFill="1" applyBorder="1" applyAlignment="1">
      <alignment vertical="center"/>
    </xf>
    <xf numFmtId="176" fontId="8" fillId="0" borderId="23" xfId="0" applyNumberFormat="1" applyFont="1" applyBorder="1" applyAlignment="1">
      <alignment vertical="center"/>
    </xf>
    <xf numFmtId="176" fontId="8" fillId="0" borderId="23" xfId="0" applyNumberFormat="1" applyFont="1" applyBorder="1" applyAlignment="1">
      <alignment horizontal="left" vertical="center"/>
    </xf>
    <xf numFmtId="183" fontId="42" fillId="0" borderId="23" xfId="0" applyNumberFormat="1" applyFont="1" applyBorder="1" applyAlignment="1">
      <alignment horizontal="center" vertical="center" wrapText="1"/>
    </xf>
    <xf numFmtId="176" fontId="42" fillId="22" borderId="23" xfId="0" applyNumberFormat="1" applyFont="1" applyFill="1" applyBorder="1" applyAlignment="1">
      <alignment horizontal="center" vertical="center" wrapText="1"/>
    </xf>
    <xf numFmtId="176" fontId="42" fillId="2" borderId="23" xfId="0" applyNumberFormat="1" applyFont="1" applyFill="1" applyBorder="1" applyAlignment="1">
      <alignment horizontal="center" vertical="center" wrapText="1"/>
    </xf>
    <xf numFmtId="176" fontId="42" fillId="23" borderId="23" xfId="0" applyNumberFormat="1" applyFont="1" applyFill="1" applyBorder="1" applyAlignment="1">
      <alignment horizontal="center" vertical="center" wrapText="1"/>
    </xf>
    <xf numFmtId="176" fontId="42" fillId="0" borderId="23" xfId="0" applyNumberFormat="1" applyFont="1" applyBorder="1" applyAlignment="1">
      <alignment vertical="center" wrapText="1"/>
    </xf>
    <xf numFmtId="176" fontId="8" fillId="0" borderId="23" xfId="0" applyNumberFormat="1" applyFont="1" applyBorder="1" applyAlignment="1">
      <alignment horizontal="left" vertical="center" wrapText="1"/>
    </xf>
    <xf numFmtId="176" fontId="42" fillId="0" borderId="23" xfId="0" applyNumberFormat="1" applyFont="1" applyBorder="1" applyAlignment="1">
      <alignment horizontal="center" vertical="center" wrapText="1"/>
    </xf>
    <xf numFmtId="176" fontId="8" fillId="24" borderId="23" xfId="0" applyNumberFormat="1" applyFont="1" applyFill="1" applyBorder="1" applyAlignment="1">
      <alignment vertical="center"/>
    </xf>
    <xf numFmtId="176" fontId="8" fillId="24" borderId="23" xfId="0" applyNumberFormat="1" applyFont="1" applyFill="1" applyBorder="1" applyAlignment="1">
      <alignment horizontal="left" vertical="center"/>
    </xf>
    <xf numFmtId="176" fontId="8" fillId="24" borderId="23" xfId="0" applyNumberFormat="1" applyFont="1" applyFill="1" applyBorder="1" applyAlignment="1">
      <alignment horizontal="center" vertical="center"/>
    </xf>
    <xf numFmtId="176" fontId="42" fillId="24" borderId="23" xfId="0" applyNumberFormat="1" applyFont="1" applyFill="1" applyBorder="1" applyAlignment="1">
      <alignment vertical="center" wrapText="1"/>
    </xf>
    <xf numFmtId="176" fontId="42" fillId="0" borderId="0" xfId="0" applyNumberFormat="1" applyFont="1" applyAlignment="1">
      <alignment vertical="center" wrapText="1"/>
    </xf>
    <xf numFmtId="176" fontId="8" fillId="0" borderId="0" xfId="0" applyNumberFormat="1" applyFont="1" applyAlignment="1">
      <alignment horizontal="center" vertical="center" wrapText="1"/>
    </xf>
    <xf numFmtId="176" fontId="42" fillId="0" borderId="0" xfId="0" applyNumberFormat="1" applyFont="1" applyAlignment="1">
      <alignment horizontal="center" vertical="center" wrapText="1"/>
    </xf>
    <xf numFmtId="0" fontId="8" fillId="0" borderId="0" xfId="0" applyFont="1"/>
    <xf numFmtId="0" fontId="8" fillId="0" borderId="23" xfId="0" applyFont="1" applyBorder="1"/>
    <xf numFmtId="0" fontId="7" fillId="0" borderId="23" xfId="0" applyFont="1" applyBorder="1"/>
    <xf numFmtId="0" fontId="8" fillId="24" borderId="23" xfId="0" applyFont="1" applyFill="1" applyBorder="1"/>
    <xf numFmtId="0" fontId="8" fillId="6" borderId="23" xfId="0" applyFont="1" applyFill="1" applyBorder="1"/>
    <xf numFmtId="0" fontId="7" fillId="0" borderId="23" xfId="0" applyFont="1" applyBorder="1" applyAlignment="1">
      <alignment horizontal="center"/>
    </xf>
    <xf numFmtId="0" fontId="7" fillId="24" borderId="23" xfId="0" applyFont="1" applyFill="1" applyBorder="1" applyAlignment="1">
      <alignment horizontal="center" vertical="center"/>
    </xf>
    <xf numFmtId="188" fontId="7" fillId="0" borderId="23" xfId="0" applyNumberFormat="1" applyFont="1" applyBorder="1"/>
    <xf numFmtId="0" fontId="7" fillId="24" borderId="23" xfId="0" applyFont="1" applyFill="1" applyBorder="1"/>
    <xf numFmtId="0" fontId="7" fillId="6" borderId="23" xfId="0" applyFont="1" applyFill="1" applyBorder="1"/>
    <xf numFmtId="0" fontId="43" fillId="0" borderId="0" xfId="0" applyFont="1" applyAlignment="1">
      <alignment horizontal="center" vertical="center"/>
    </xf>
    <xf numFmtId="0" fontId="35" fillId="6" borderId="0" xfId="0" applyFont="1" applyFill="1" applyAlignment="1">
      <alignment horizontal="center" vertical="center"/>
    </xf>
    <xf numFmtId="0" fontId="35" fillId="0" borderId="54" xfId="0" applyFont="1" applyBorder="1" applyAlignment="1">
      <alignment horizontal="center" vertical="center"/>
    </xf>
    <xf numFmtId="0" fontId="35" fillId="0" borderId="23" xfId="0" applyFont="1" applyBorder="1" applyAlignment="1">
      <alignment horizontal="center" vertical="center"/>
    </xf>
    <xf numFmtId="0" fontId="43" fillId="0" borderId="0" xfId="0" applyFont="1" applyAlignment="1">
      <alignment horizontal="center" vertical="center" shrinkToFit="1"/>
    </xf>
    <xf numFmtId="0" fontId="44" fillId="0" borderId="0" xfId="0" applyFont="1" applyAlignment="1">
      <alignment vertical="center"/>
    </xf>
    <xf numFmtId="0" fontId="45" fillId="0" borderId="0" xfId="0" applyFont="1" applyAlignment="1">
      <alignment vertical="center"/>
    </xf>
    <xf numFmtId="0" fontId="46" fillId="0" borderId="0" xfId="0" applyFont="1" applyAlignment="1">
      <alignment horizontal="center" vertical="center"/>
    </xf>
    <xf numFmtId="0" fontId="35" fillId="0" borderId="57" xfId="0" applyFont="1" applyBorder="1" applyAlignment="1">
      <alignment horizontal="center" vertical="center"/>
    </xf>
    <xf numFmtId="0" fontId="47" fillId="0" borderId="23" xfId="0" applyFont="1" applyBorder="1" applyAlignment="1">
      <alignment horizontal="left" vertical="center" wrapText="1"/>
    </xf>
    <xf numFmtId="0" fontId="47" fillId="6" borderId="23" xfId="0" applyFont="1" applyFill="1" applyBorder="1" applyAlignment="1">
      <alignment horizontal="center" vertical="center"/>
    </xf>
    <xf numFmtId="0" fontId="24" fillId="0" borderId="23" xfId="0" applyFont="1" applyBorder="1" applyAlignment="1">
      <alignment vertical="center"/>
    </xf>
    <xf numFmtId="0" fontId="24" fillId="0" borderId="77" xfId="0" applyFont="1" applyBorder="1" applyAlignment="1">
      <alignment vertical="center"/>
    </xf>
    <xf numFmtId="0" fontId="6" fillId="0" borderId="23" xfId="0" applyFont="1" applyBorder="1" applyAlignment="1">
      <alignment horizontal="left" vertical="center"/>
    </xf>
    <xf numFmtId="0" fontId="48" fillId="6" borderId="23" xfId="0" applyFont="1" applyFill="1" applyBorder="1" applyAlignment="1">
      <alignment horizontal="left" vertical="center" wrapText="1"/>
    </xf>
    <xf numFmtId="181" fontId="48" fillId="0" borderId="23" xfId="0" applyNumberFormat="1" applyFont="1" applyBorder="1" applyAlignment="1">
      <alignment horizontal="center" vertical="center" wrapText="1"/>
    </xf>
    <xf numFmtId="0" fontId="6" fillId="6" borderId="23" xfId="0" applyFont="1" applyFill="1" applyBorder="1" applyAlignment="1">
      <alignment horizontal="left" vertical="center"/>
    </xf>
    <xf numFmtId="181" fontId="6" fillId="0" borderId="23" xfId="0" applyNumberFormat="1" applyFont="1" applyBorder="1" applyAlignment="1">
      <alignment horizontal="center" vertical="center" wrapText="1"/>
    </xf>
    <xf numFmtId="0" fontId="49" fillId="6" borderId="23" xfId="0" applyFont="1" applyFill="1" applyBorder="1" applyAlignment="1">
      <alignment horizontal="left" vertical="center"/>
    </xf>
    <xf numFmtId="181" fontId="6" fillId="9" borderId="23" xfId="0" applyNumberFormat="1" applyFont="1" applyFill="1" applyBorder="1" applyAlignment="1">
      <alignment horizontal="center" vertical="center" wrapText="1"/>
    </xf>
    <xf numFmtId="181" fontId="6" fillId="6" borderId="23" xfId="0" applyNumberFormat="1" applyFont="1" applyFill="1" applyBorder="1" applyAlignment="1">
      <alignment horizontal="center" vertical="center" wrapText="1"/>
    </xf>
    <xf numFmtId="181" fontId="6" fillId="6" borderId="23" xfId="0" applyNumberFormat="1" applyFont="1" applyFill="1" applyBorder="1" applyAlignment="1">
      <alignment horizontal="center" vertical="center"/>
    </xf>
    <xf numFmtId="0" fontId="6" fillId="6" borderId="23" xfId="0" applyFont="1" applyFill="1" applyBorder="1" applyAlignment="1">
      <alignment vertical="center" wrapText="1"/>
    </xf>
    <xf numFmtId="0" fontId="6" fillId="25" borderId="23" xfId="0" applyFont="1" applyFill="1" applyBorder="1" applyAlignment="1">
      <alignment horizontal="left" vertical="center"/>
    </xf>
    <xf numFmtId="181" fontId="6" fillId="25" borderId="23" xfId="0" applyNumberFormat="1" applyFont="1" applyFill="1" applyBorder="1" applyAlignment="1">
      <alignment horizontal="center" vertical="center" wrapText="1"/>
    </xf>
    <xf numFmtId="0" fontId="48" fillId="0" borderId="23" xfId="0" applyFont="1" applyBorder="1" applyAlignment="1">
      <alignment vertical="center"/>
    </xf>
    <xf numFmtId="0" fontId="48" fillId="6" borderId="23" xfId="0" applyFont="1" applyFill="1" applyBorder="1" applyAlignment="1">
      <alignment vertical="center"/>
    </xf>
    <xf numFmtId="0" fontId="50" fillId="0" borderId="29" xfId="0" applyFont="1" applyBorder="1" applyAlignment="1">
      <alignment horizontal="left" vertical="center" shrinkToFit="1"/>
    </xf>
    <xf numFmtId="14" fontId="31" fillId="0" borderId="29" xfId="0" applyNumberFormat="1" applyFont="1" applyBorder="1" applyAlignment="1">
      <alignment horizontal="left" vertical="center" shrinkToFit="1"/>
    </xf>
    <xf numFmtId="0" fontId="50" fillId="0" borderId="29" xfId="0" applyFont="1" applyBorder="1" applyAlignment="1">
      <alignment horizontal="center" vertical="center" shrinkToFit="1"/>
    </xf>
    <xf numFmtId="0" fontId="31" fillId="0" borderId="29" xfId="0" applyFont="1" applyBorder="1" applyAlignment="1">
      <alignment horizontal="center" vertical="center" shrinkToFit="1"/>
    </xf>
    <xf numFmtId="189" fontId="50" fillId="0" borderId="29" xfId="0" applyNumberFormat="1" applyFont="1" applyBorder="1" applyAlignment="1">
      <alignment horizontal="center" vertical="center" shrinkToFit="1"/>
    </xf>
    <xf numFmtId="189" fontId="31" fillId="0" borderId="29" xfId="0" applyNumberFormat="1" applyFont="1" applyBorder="1" applyAlignment="1">
      <alignment horizontal="center" vertical="center" shrinkToFit="1"/>
    </xf>
    <xf numFmtId="14" fontId="50" fillId="0" borderId="29" xfId="0" applyNumberFormat="1" applyFont="1" applyBorder="1" applyAlignment="1">
      <alignment horizontal="center" vertical="center" shrinkToFit="1"/>
    </xf>
    <xf numFmtId="0" fontId="7" fillId="6" borderId="0" xfId="0" applyFont="1" applyFill="1" applyAlignment="1">
      <alignment horizontal="center" vertical="center"/>
    </xf>
    <xf numFmtId="0" fontId="51" fillId="6" borderId="78" xfId="0" applyFont="1" applyFill="1" applyBorder="1" applyAlignment="1">
      <alignment horizontal="center" vertical="center" wrapText="1"/>
    </xf>
    <xf numFmtId="0" fontId="0" fillId="0" borderId="78" xfId="0" applyBorder="1"/>
    <xf numFmtId="0" fontId="52" fillId="0" borderId="23" xfId="0" applyFont="1" applyBorder="1" applyAlignment="1">
      <alignment horizontal="center" vertical="center"/>
    </xf>
    <xf numFmtId="0" fontId="53" fillId="0" borderId="23" xfId="0" applyFont="1" applyBorder="1" applyAlignment="1">
      <alignment horizontal="center" vertical="center"/>
    </xf>
    <xf numFmtId="0" fontId="35" fillId="0" borderId="23" xfId="0" applyFont="1" applyBorder="1" applyAlignment="1">
      <alignment horizontal="left" vertical="center"/>
    </xf>
    <xf numFmtId="0" fontId="7" fillId="0" borderId="23" xfId="0" applyFont="1" applyBorder="1" applyAlignment="1">
      <alignment horizontal="center" vertical="center"/>
    </xf>
    <xf numFmtId="0" fontId="54" fillId="26" borderId="78" xfId="0" applyFont="1" applyFill="1" applyBorder="1" applyAlignment="1">
      <alignment horizontal="center" vertical="center"/>
    </xf>
    <xf numFmtId="0" fontId="54" fillId="26" borderId="79" xfId="0" applyFont="1" applyFill="1" applyBorder="1" applyAlignment="1">
      <alignment horizontal="center" vertical="center"/>
    </xf>
    <xf numFmtId="176" fontId="7" fillId="0" borderId="0" xfId="0" applyNumberFormat="1" applyFont="1" applyAlignment="1">
      <alignment horizontal="center" vertical="center"/>
    </xf>
    <xf numFmtId="0" fontId="7" fillId="0" borderId="0" xfId="0" applyFont="1" applyAlignment="1">
      <alignment horizontal="center" vertical="center"/>
    </xf>
    <xf numFmtId="0" fontId="54" fillId="26" borderId="23" xfId="0" applyFont="1" applyFill="1" applyBorder="1" applyAlignment="1">
      <alignment horizontal="center" vertical="center"/>
    </xf>
    <xf numFmtId="0" fontId="35" fillId="0" borderId="23" xfId="0" applyFont="1" applyBorder="1" applyAlignment="1">
      <alignment horizontal="center" vertical="center" wrapText="1"/>
    </xf>
    <xf numFmtId="0" fontId="8" fillId="0" borderId="0" xfId="0" applyFont="1" applyAlignment="1">
      <alignment horizontal="center" vertical="center"/>
    </xf>
    <xf numFmtId="0" fontId="55" fillId="26" borderId="53" xfId="0" applyFont="1" applyFill="1" applyBorder="1" applyAlignment="1">
      <alignment horizontal="center" vertical="center"/>
    </xf>
    <xf numFmtId="0" fontId="55" fillId="26" borderId="23" xfId="0" applyFont="1" applyFill="1" applyBorder="1" applyAlignment="1">
      <alignment horizontal="center" vertical="center"/>
    </xf>
    <xf numFmtId="0" fontId="56" fillId="26" borderId="23" xfId="0" applyFont="1" applyFill="1" applyBorder="1" applyAlignment="1">
      <alignment horizontal="center" vertical="center"/>
    </xf>
    <xf numFmtId="0" fontId="55" fillId="26" borderId="80" xfId="0" applyFont="1" applyFill="1" applyBorder="1" applyAlignment="1">
      <alignment horizontal="center" vertical="center"/>
    </xf>
    <xf numFmtId="14" fontId="35" fillId="0" borderId="23" xfId="0" applyNumberFormat="1" applyFont="1" applyBorder="1" applyAlignment="1">
      <alignment horizontal="center" vertical="center"/>
    </xf>
    <xf numFmtId="0" fontId="41" fillId="0" borderId="23" xfId="0" applyFont="1" applyBorder="1" applyAlignment="1">
      <alignment horizontal="center" vertical="center"/>
    </xf>
    <xf numFmtId="189" fontId="35" fillId="0" borderId="23" xfId="0" applyNumberFormat="1" applyFont="1" applyBorder="1" applyAlignment="1">
      <alignment horizontal="center" vertical="center"/>
    </xf>
    <xf numFmtId="185" fontId="41" fillId="0" borderId="23" xfId="0" applyNumberFormat="1" applyFont="1" applyBorder="1" applyAlignment="1">
      <alignment horizontal="center" vertical="center"/>
    </xf>
    <xf numFmtId="0" fontId="55" fillId="20" borderId="23" xfId="0" applyFont="1" applyFill="1" applyBorder="1" applyAlignment="1">
      <alignment horizontal="center" vertical="center"/>
    </xf>
    <xf numFmtId="0" fontId="56" fillId="20" borderId="23" xfId="0" applyFont="1" applyFill="1" applyBorder="1" applyAlignment="1">
      <alignment horizontal="center" vertical="center"/>
    </xf>
    <xf numFmtId="0" fontId="55" fillId="20" borderId="80" xfId="0" applyFont="1" applyFill="1" applyBorder="1" applyAlignment="1">
      <alignment horizontal="center" vertical="center"/>
    </xf>
    <xf numFmtId="0" fontId="35" fillId="0" borderId="23" xfId="0" applyFont="1" applyBorder="1" applyAlignment="1">
      <alignment horizontal="center" vertical="center" shrinkToFit="1"/>
    </xf>
    <xf numFmtId="0" fontId="55" fillId="27" borderId="23" xfId="0" applyFont="1" applyFill="1" applyBorder="1" applyAlignment="1">
      <alignment horizontal="center" vertical="center"/>
    </xf>
    <xf numFmtId="0" fontId="56" fillId="27" borderId="23" xfId="0" applyFont="1" applyFill="1" applyBorder="1" applyAlignment="1">
      <alignment horizontal="center" vertical="center"/>
    </xf>
    <xf numFmtId="190" fontId="57" fillId="0" borderId="23" xfId="0" applyNumberFormat="1" applyFont="1" applyBorder="1" applyAlignment="1">
      <alignment horizontal="center" vertical="center"/>
    </xf>
    <xf numFmtId="0" fontId="57" fillId="0" borderId="23" xfId="0" applyFont="1" applyBorder="1" applyAlignment="1">
      <alignment horizontal="center" vertical="center"/>
    </xf>
    <xf numFmtId="0" fontId="57" fillId="0" borderId="23" xfId="0" applyFont="1" applyBorder="1" applyAlignment="1">
      <alignment horizontal="center" vertical="center" shrinkToFit="1"/>
    </xf>
    <xf numFmtId="0" fontId="41" fillId="0" borderId="23" xfId="0" applyFont="1" applyBorder="1" applyAlignment="1">
      <alignment horizontal="center" vertical="center" wrapText="1" shrinkToFit="1"/>
    </xf>
    <xf numFmtId="181" fontId="7" fillId="0" borderId="0" xfId="0" applyNumberFormat="1" applyFont="1" applyAlignment="1">
      <alignment horizontal="center" vertical="center"/>
    </xf>
    <xf numFmtId="0" fontId="58" fillId="28" borderId="14" xfId="0" applyFont="1" applyFill="1" applyBorder="1" applyAlignment="1">
      <alignment horizontal="left" vertical="center"/>
    </xf>
    <xf numFmtId="14" fontId="58" fillId="28" borderId="14" xfId="0" applyNumberFormat="1" applyFont="1" applyFill="1" applyBorder="1" applyAlignment="1">
      <alignment horizontal="left" vertical="center"/>
    </xf>
    <xf numFmtId="0" fontId="55" fillId="26" borderId="81" xfId="0" applyFont="1" applyFill="1" applyBorder="1" applyAlignment="1">
      <alignment horizontal="center" vertical="center"/>
    </xf>
    <xf numFmtId="0" fontId="55" fillId="0" borderId="82" xfId="0" applyFont="1" applyBorder="1" applyAlignment="1">
      <alignment horizontal="center" vertical="center"/>
    </xf>
    <xf numFmtId="0" fontId="58" fillId="29" borderId="14" xfId="0" applyFont="1" applyFill="1" applyBorder="1" applyAlignment="1">
      <alignment horizontal="left" vertical="center"/>
    </xf>
    <xf numFmtId="14" fontId="58" fillId="29" borderId="14" xfId="0" applyNumberFormat="1" applyFont="1" applyFill="1" applyBorder="1" applyAlignment="1">
      <alignment horizontal="left" vertical="center"/>
    </xf>
    <xf numFmtId="0" fontId="35" fillId="19" borderId="83" xfId="0" applyFont="1" applyFill="1" applyBorder="1" applyAlignment="1">
      <alignment horizontal="center" vertical="center"/>
    </xf>
    <xf numFmtId="0" fontId="35" fillId="19" borderId="0" xfId="0" applyFont="1" applyFill="1" applyAlignment="1">
      <alignment horizontal="center" vertical="center"/>
    </xf>
    <xf numFmtId="0" fontId="35" fillId="19" borderId="0" xfId="0" applyFont="1" applyFill="1" applyAlignment="1">
      <alignment vertical="center"/>
    </xf>
    <xf numFmtId="0" fontId="35" fillId="19" borderId="84" xfId="0" applyFont="1" applyFill="1" applyBorder="1" applyAlignment="1">
      <alignment vertical="center"/>
    </xf>
    <xf numFmtId="0" fontId="51" fillId="19" borderId="85" xfId="0" applyFont="1" applyFill="1" applyBorder="1" applyAlignment="1">
      <alignment vertical="center" wrapText="1"/>
    </xf>
    <xf numFmtId="0" fontId="59" fillId="0" borderId="0" xfId="0" applyFont="1" applyAlignment="1">
      <alignment horizontal="center" vertical="center"/>
    </xf>
    <xf numFmtId="0" fontId="35" fillId="30" borderId="86" xfId="0" applyFont="1" applyFill="1" applyBorder="1" applyAlignment="1">
      <alignment horizontal="center" vertical="center"/>
    </xf>
    <xf numFmtId="0" fontId="35" fillId="30" borderId="87" xfId="0" applyFont="1" applyFill="1" applyBorder="1" applyAlignment="1">
      <alignment horizontal="center" vertical="center"/>
    </xf>
    <xf numFmtId="0" fontId="35" fillId="30" borderId="88" xfId="0" applyFont="1" applyFill="1" applyBorder="1" applyAlignment="1">
      <alignment horizontal="center" vertical="center"/>
    </xf>
    <xf numFmtId="0" fontId="35" fillId="30" borderId="0" xfId="0" applyFont="1" applyFill="1" applyAlignment="1">
      <alignment horizontal="center" vertical="center"/>
    </xf>
    <xf numFmtId="0" fontId="35" fillId="30" borderId="14" xfId="0" applyFont="1" applyFill="1" applyBorder="1" applyAlignment="1">
      <alignment horizontal="center" vertical="center"/>
    </xf>
    <xf numFmtId="0" fontId="55" fillId="30" borderId="89" xfId="0" applyFont="1" applyFill="1" applyBorder="1" applyAlignment="1">
      <alignment horizontal="center" vertical="center"/>
    </xf>
    <xf numFmtId="0" fontId="35" fillId="0" borderId="86" xfId="0" applyFont="1" applyBorder="1" applyAlignment="1">
      <alignment horizontal="center" vertical="center"/>
    </xf>
    <xf numFmtId="0" fontId="60" fillId="6" borderId="87" xfId="0" applyFont="1" applyFill="1" applyBorder="1" applyAlignment="1">
      <alignment horizontal="center" vertical="center"/>
    </xf>
    <xf numFmtId="0" fontId="35" fillId="6" borderId="87" xfId="0" applyFont="1" applyFill="1" applyBorder="1" applyAlignment="1">
      <alignment horizontal="center" vertical="center"/>
    </xf>
    <xf numFmtId="9" fontId="35" fillId="6" borderId="88" xfId="0" applyNumberFormat="1" applyFont="1" applyFill="1" applyBorder="1" applyAlignment="1">
      <alignment horizontal="center" vertical="center"/>
    </xf>
    <xf numFmtId="0" fontId="35" fillId="6" borderId="88" xfId="0" applyFont="1" applyFill="1" applyBorder="1" applyAlignment="1">
      <alignment horizontal="center" vertical="center"/>
    </xf>
    <xf numFmtId="0" fontId="35" fillId="6" borderId="14" xfId="0" applyFont="1" applyFill="1" applyBorder="1" applyAlignment="1">
      <alignment horizontal="center" vertical="center"/>
    </xf>
    <xf numFmtId="0" fontId="55" fillId="26" borderId="90" xfId="0" applyFont="1" applyFill="1" applyBorder="1" applyAlignment="1">
      <alignment horizontal="center" vertical="center"/>
    </xf>
    <xf numFmtId="0" fontId="58" fillId="21" borderId="14" xfId="0" applyFont="1" applyFill="1" applyBorder="1" applyAlignment="1">
      <alignment horizontal="left" vertical="center"/>
    </xf>
    <xf numFmtId="14" fontId="58" fillId="21" borderId="14" xfId="0" applyNumberFormat="1" applyFont="1" applyFill="1" applyBorder="1" applyAlignment="1">
      <alignment horizontal="left" vertical="center"/>
    </xf>
    <xf numFmtId="188" fontId="35" fillId="6" borderId="88" xfId="0" applyNumberFormat="1" applyFont="1" applyFill="1" applyBorder="1" applyAlignment="1">
      <alignment horizontal="center" vertical="center"/>
    </xf>
    <xf numFmtId="0" fontId="35" fillId="0" borderId="87" xfId="0" applyFont="1" applyBorder="1" applyAlignment="1">
      <alignment horizontal="center" vertical="center"/>
    </xf>
    <xf numFmtId="0" fontId="58" fillId="0" borderId="0" xfId="0" applyFont="1"/>
    <xf numFmtId="0" fontId="61" fillId="6" borderId="87" xfId="0" applyFont="1" applyFill="1" applyBorder="1" applyAlignment="1">
      <alignment horizontal="center" vertical="center"/>
    </xf>
    <xf numFmtId="0" fontId="58" fillId="31" borderId="14" xfId="0" applyFont="1" applyFill="1" applyBorder="1" applyAlignment="1">
      <alignment horizontal="left" vertical="center"/>
    </xf>
    <xf numFmtId="14" fontId="58" fillId="31" borderId="14" xfId="0" applyNumberFormat="1" applyFont="1" applyFill="1" applyBorder="1" applyAlignment="1">
      <alignment horizontal="left" vertical="center"/>
    </xf>
    <xf numFmtId="0" fontId="0" fillId="0" borderId="91" xfId="0" applyBorder="1"/>
    <xf numFmtId="0" fontId="58" fillId="31" borderId="14" xfId="0" applyFont="1" applyFill="1" applyBorder="1" applyAlignment="1">
      <alignment vertical="center"/>
    </xf>
    <xf numFmtId="0" fontId="0" fillId="0" borderId="92" xfId="0" applyBorder="1"/>
    <xf numFmtId="9" fontId="35" fillId="26" borderId="88" xfId="0" applyNumberFormat="1" applyFont="1" applyFill="1" applyBorder="1" applyAlignment="1">
      <alignment horizontal="center" vertical="center"/>
    </xf>
    <xf numFmtId="0" fontId="35" fillId="26" borderId="88" xfId="0" applyFont="1" applyFill="1" applyBorder="1" applyAlignment="1">
      <alignment horizontal="center" vertical="center"/>
    </xf>
    <xf numFmtId="0" fontId="35" fillId="26" borderId="14" xfId="0" applyFont="1" applyFill="1" applyBorder="1" applyAlignment="1">
      <alignment horizontal="center" vertical="center"/>
    </xf>
    <xf numFmtId="0" fontId="35" fillId="19" borderId="93" xfId="0" applyFont="1" applyFill="1" applyBorder="1" applyAlignment="1">
      <alignment horizontal="center" vertical="center"/>
    </xf>
    <xf numFmtId="0" fontId="0" fillId="0" borderId="84" xfId="0" applyBorder="1"/>
    <xf numFmtId="0" fontId="35" fillId="0" borderId="94" xfId="0" applyFont="1" applyBorder="1" applyAlignment="1">
      <alignment horizontal="center" vertical="center"/>
    </xf>
    <xf numFmtId="0" fontId="62" fillId="0" borderId="23" xfId="0" applyFont="1" applyBorder="1" applyAlignment="1">
      <alignment vertical="center"/>
    </xf>
    <xf numFmtId="0" fontId="62" fillId="0" borderId="23" xfId="0" applyFont="1" applyBorder="1" applyAlignment="1">
      <alignment horizontal="center" vertical="center"/>
    </xf>
    <xf numFmtId="0" fontId="35" fillId="10" borderId="23" xfId="0" applyFont="1" applyFill="1" applyBorder="1" applyAlignment="1">
      <alignment horizontal="center" vertical="center"/>
    </xf>
    <xf numFmtId="0" fontId="35" fillId="0" borderId="23" xfId="0" applyFont="1" applyBorder="1" applyAlignment="1">
      <alignment vertical="center"/>
    </xf>
    <xf numFmtId="176" fontId="7" fillId="0" borderId="23" xfId="0" applyNumberFormat="1" applyFont="1" applyBorder="1" applyAlignment="1">
      <alignment horizontal="center" vertical="center"/>
    </xf>
    <xf numFmtId="0" fontId="35" fillId="6" borderId="23" xfId="0" applyFont="1" applyFill="1" applyBorder="1" applyAlignment="1">
      <alignment horizontal="center" vertical="center"/>
    </xf>
    <xf numFmtId="9" fontId="35" fillId="0" borderId="23" xfId="0" applyNumberFormat="1" applyFont="1" applyBorder="1" applyAlignment="1">
      <alignment horizontal="center" vertical="center"/>
    </xf>
    <xf numFmtId="0" fontId="35" fillId="19" borderId="23" xfId="0" applyFont="1" applyFill="1" applyBorder="1" applyAlignment="1">
      <alignment horizontal="center" vertical="center"/>
    </xf>
    <xf numFmtId="0" fontId="35" fillId="19" borderId="83" xfId="0" applyFont="1" applyFill="1" applyBorder="1" applyAlignment="1">
      <alignment vertical="center"/>
    </xf>
    <xf numFmtId="176" fontId="63" fillId="0" borderId="0" xfId="0" applyNumberFormat="1" applyFont="1" applyAlignment="1">
      <alignment vertical="center"/>
    </xf>
    <xf numFmtId="0" fontId="48" fillId="32" borderId="95" xfId="0" applyFont="1" applyFill="1" applyBorder="1" applyAlignment="1">
      <alignment horizontal="center" vertical="center" wrapText="1"/>
    </xf>
    <xf numFmtId="0" fontId="64" fillId="0" borderId="96" xfId="0" applyFont="1" applyBorder="1" applyAlignment="1">
      <alignment horizontal="center" vertical="center"/>
    </xf>
    <xf numFmtId="0" fontId="48" fillId="0" borderId="96" xfId="0" applyFont="1" applyBorder="1" applyAlignment="1">
      <alignment horizontal="center" vertical="center"/>
    </xf>
    <xf numFmtId="0" fontId="0" fillId="0" borderId="97" xfId="0" applyBorder="1"/>
    <xf numFmtId="0" fontId="0" fillId="0" borderId="98" xfId="0" applyBorder="1"/>
    <xf numFmtId="0" fontId="48" fillId="0" borderId="95" xfId="0" applyFont="1" applyBorder="1" applyAlignment="1">
      <alignment horizontal="center" vertical="center"/>
    </xf>
    <xf numFmtId="0" fontId="65" fillId="0" borderId="0" xfId="0" applyFont="1" applyAlignment="1">
      <alignment horizontal="center" vertical="center"/>
    </xf>
    <xf numFmtId="0" fontId="0" fillId="0" borderId="99" xfId="0" applyBorder="1"/>
    <xf numFmtId="0" fontId="0" fillId="0" borderId="15" xfId="0" applyBorder="1"/>
    <xf numFmtId="0" fontId="48" fillId="0" borderId="29" xfId="0" applyFont="1" applyBorder="1" applyAlignment="1">
      <alignment horizontal="center" vertical="center"/>
    </xf>
    <xf numFmtId="0" fontId="48" fillId="0" borderId="67" xfId="0" applyFont="1" applyBorder="1" applyAlignment="1">
      <alignment horizontal="center" vertical="center"/>
    </xf>
    <xf numFmtId="0" fontId="48" fillId="0" borderId="100" xfId="0" applyFont="1" applyBorder="1" applyAlignment="1">
      <alignment horizontal="center" vertical="center"/>
    </xf>
    <xf numFmtId="0" fontId="48" fillId="0" borderId="68" xfId="0" applyFont="1" applyBorder="1" applyAlignment="1">
      <alignment horizontal="center" vertical="center"/>
    </xf>
    <xf numFmtId="0" fontId="48" fillId="0" borderId="101" xfId="0" applyFont="1" applyBorder="1" applyAlignment="1">
      <alignment horizontal="center" vertical="center"/>
    </xf>
    <xf numFmtId="0" fontId="65" fillId="0" borderId="0" xfId="0" applyFont="1" applyAlignment="1">
      <alignment horizontal="center" vertical="top" textRotation="255"/>
    </xf>
    <xf numFmtId="191" fontId="7" fillId="0" borderId="0" xfId="0" applyNumberFormat="1" applyFont="1"/>
    <xf numFmtId="0" fontId="64" fillId="0" borderId="95" xfId="0" applyFont="1" applyBorder="1" applyAlignment="1" applyProtection="1">
      <alignment vertical="center" wrapText="1"/>
      <protection locked="0"/>
    </xf>
    <xf numFmtId="0" fontId="48" fillId="0" borderId="96" xfId="0" applyFont="1" applyBorder="1" applyAlignment="1" applyProtection="1">
      <alignment horizontal="center" vertical="center"/>
      <protection locked="0"/>
    </xf>
    <xf numFmtId="41" fontId="48" fillId="0" borderId="96" xfId="0" applyNumberFormat="1" applyFont="1" applyBorder="1" applyAlignment="1">
      <alignment horizontal="center" vertical="center"/>
    </xf>
    <xf numFmtId="186" fontId="48" fillId="0" borderId="102" xfId="0" applyNumberFormat="1" applyFont="1" applyBorder="1" applyAlignment="1">
      <alignment horizontal="center" vertical="center"/>
    </xf>
    <xf numFmtId="9" fontId="48" fillId="0" borderId="95" xfId="0" applyNumberFormat="1" applyFont="1" applyBorder="1" applyAlignment="1">
      <alignment horizontal="center" vertical="center"/>
    </xf>
    <xf numFmtId="9" fontId="48" fillId="0" borderId="96" xfId="0" applyNumberFormat="1" applyFont="1" applyBorder="1" applyAlignment="1">
      <alignment horizontal="center" vertical="center"/>
    </xf>
    <xf numFmtId="9" fontId="48" fillId="0" borderId="103" xfId="0" applyNumberFormat="1" applyFont="1" applyBorder="1" applyAlignment="1">
      <alignment horizontal="center" vertical="center"/>
    </xf>
    <xf numFmtId="186" fontId="48" fillId="0" borderId="96" xfId="0" applyNumberFormat="1" applyFont="1" applyBorder="1" applyAlignment="1">
      <alignment horizontal="center" vertical="center"/>
    </xf>
    <xf numFmtId="176" fontId="63" fillId="0" borderId="0" xfId="0" applyNumberFormat="1" applyFont="1" applyAlignment="1">
      <alignment horizontal="center" vertical="center"/>
    </xf>
    <xf numFmtId="191" fontId="6" fillId="33" borderId="23" xfId="0" applyNumberFormat="1" applyFont="1" applyFill="1" applyBorder="1"/>
    <xf numFmtId="176" fontId="6" fillId="33" borderId="23" xfId="0" applyNumberFormat="1" applyFont="1" applyFill="1" applyBorder="1" applyAlignment="1">
      <alignment horizontal="center"/>
    </xf>
    <xf numFmtId="176" fontId="6" fillId="33" borderId="23" xfId="0" applyNumberFormat="1" applyFont="1" applyFill="1" applyBorder="1" applyAlignment="1">
      <alignment horizontal="center" wrapText="1"/>
    </xf>
    <xf numFmtId="176" fontId="66" fillId="33" borderId="23" xfId="0" applyNumberFormat="1" applyFont="1" applyFill="1" applyBorder="1" applyAlignment="1">
      <alignment horizontal="center" vertical="center" wrapText="1"/>
    </xf>
    <xf numFmtId="0" fontId="6" fillId="33" borderId="23" xfId="0" applyFont="1" applyFill="1" applyBorder="1" applyAlignment="1">
      <alignment horizontal="center" vertical="center" wrapText="1"/>
    </xf>
    <xf numFmtId="0" fontId="6" fillId="9" borderId="55" xfId="0" applyFont="1" applyFill="1" applyBorder="1" applyAlignment="1">
      <alignment horizontal="center" vertical="center" wrapText="1"/>
    </xf>
    <xf numFmtId="0" fontId="6" fillId="33" borderId="104" xfId="0" applyFont="1" applyFill="1" applyBorder="1" applyAlignment="1">
      <alignment horizontal="center" vertical="center" wrapText="1"/>
    </xf>
    <xf numFmtId="176" fontId="6" fillId="33" borderId="105" xfId="0" applyNumberFormat="1" applyFont="1" applyFill="1" applyBorder="1" applyAlignment="1">
      <alignment horizontal="center"/>
    </xf>
    <xf numFmtId="0" fontId="8" fillId="33" borderId="53" xfId="0" applyFont="1" applyFill="1" applyBorder="1"/>
    <xf numFmtId="0" fontId="7" fillId="0" borderId="0" xfId="0" applyFont="1"/>
    <xf numFmtId="0" fontId="64" fillId="0" borderId="106" xfId="0" applyFont="1" applyBorder="1" applyAlignment="1" applyProtection="1">
      <alignment vertical="center" wrapText="1"/>
      <protection locked="0"/>
    </xf>
    <xf numFmtId="0" fontId="48" fillId="0" borderId="14" xfId="0" applyFont="1" applyBorder="1" applyAlignment="1" applyProtection="1">
      <alignment horizontal="center" vertical="center"/>
      <protection locked="0"/>
    </xf>
    <xf numFmtId="41" fontId="48" fillId="0" borderId="14" xfId="0" applyNumberFormat="1" applyFont="1" applyBorder="1" applyAlignment="1">
      <alignment horizontal="center" vertical="center"/>
    </xf>
    <xf numFmtId="186" fontId="48" fillId="0" borderId="49" xfId="0" applyNumberFormat="1" applyFont="1" applyBorder="1" applyAlignment="1">
      <alignment horizontal="center" vertical="center"/>
    </xf>
    <xf numFmtId="9" fontId="48" fillId="0" borderId="99" xfId="0" applyNumberFormat="1" applyFont="1" applyBorder="1" applyAlignment="1">
      <alignment horizontal="center" vertical="center"/>
    </xf>
    <xf numFmtId="9" fontId="48" fillId="0" borderId="15" xfId="0" applyNumberFormat="1" applyFont="1" applyBorder="1" applyAlignment="1">
      <alignment horizontal="center" vertical="center"/>
    </xf>
    <xf numFmtId="9" fontId="48" fillId="0" borderId="107" xfId="0" applyNumberFormat="1" applyFont="1" applyBorder="1" applyAlignment="1">
      <alignment horizontal="center" vertical="center"/>
    </xf>
    <xf numFmtId="186" fontId="48" fillId="0" borderId="14" xfId="0" applyNumberFormat="1" applyFont="1" applyBorder="1" applyAlignment="1">
      <alignment horizontal="center" vertical="center"/>
    </xf>
    <xf numFmtId="176" fontId="8" fillId="0" borderId="0" xfId="0" applyNumberFormat="1" applyFont="1"/>
    <xf numFmtId="191" fontId="67" fillId="0" borderId="99" xfId="0" applyNumberFormat="1" applyFont="1" applyBorder="1" applyAlignment="1">
      <alignment horizontal="left" vertical="center"/>
    </xf>
    <xf numFmtId="176" fontId="6" fillId="0" borderId="15" xfId="0" applyNumberFormat="1" applyFont="1" applyBorder="1" applyAlignment="1">
      <alignment horizontal="center" vertical="center"/>
    </xf>
    <xf numFmtId="176" fontId="67" fillId="0" borderId="14" xfId="0" applyNumberFormat="1" applyFont="1" applyBorder="1" applyAlignment="1">
      <alignment horizontal="center" vertical="center"/>
    </xf>
    <xf numFmtId="176" fontId="67" fillId="0" borderId="15" xfId="0" applyNumberFormat="1" applyFont="1" applyBorder="1" applyAlignment="1">
      <alignment horizontal="center" vertical="center"/>
    </xf>
    <xf numFmtId="176" fontId="68" fillId="6" borderId="15" xfId="0" applyNumberFormat="1" applyFont="1" applyFill="1" applyBorder="1" applyAlignment="1">
      <alignment horizontal="center" vertical="center"/>
    </xf>
    <xf numFmtId="176" fontId="67" fillId="0" borderId="19" xfId="0" applyNumberFormat="1" applyFont="1" applyBorder="1" applyAlignment="1">
      <alignment horizontal="center" vertical="center"/>
    </xf>
    <xf numFmtId="176" fontId="67" fillId="0" borderId="19" xfId="0" applyNumberFormat="1" applyFont="1" applyBorder="1" applyAlignment="1">
      <alignment horizontal="center"/>
    </xf>
    <xf numFmtId="176" fontId="7" fillId="0" borderId="108" xfId="0" applyNumberFormat="1" applyFont="1" applyBorder="1" applyAlignment="1">
      <alignment vertical="center"/>
    </xf>
    <xf numFmtId="176" fontId="67" fillId="0" borderId="109" xfId="0" applyNumberFormat="1" applyFont="1" applyBorder="1" applyAlignment="1">
      <alignment horizontal="center" vertical="center"/>
    </xf>
    <xf numFmtId="176" fontId="7" fillId="0" borderId="46" xfId="0" applyNumberFormat="1" applyFont="1" applyBorder="1" applyAlignment="1">
      <alignment vertical="center"/>
    </xf>
    <xf numFmtId="176" fontId="7" fillId="0" borderId="0" xfId="0" applyNumberFormat="1" applyFont="1" applyAlignment="1">
      <alignment vertical="center"/>
    </xf>
    <xf numFmtId="176" fontId="67" fillId="0" borderId="0" xfId="0" applyNumberFormat="1" applyFont="1" applyAlignment="1">
      <alignment horizontal="center" vertical="center"/>
    </xf>
    <xf numFmtId="0" fontId="7" fillId="0" borderId="0" xfId="0" applyFont="1" applyAlignment="1">
      <alignment vertical="center"/>
    </xf>
    <xf numFmtId="176" fontId="8" fillId="0" borderId="0" xfId="0" applyNumberFormat="1" applyFont="1" applyAlignment="1">
      <alignment vertical="center"/>
    </xf>
    <xf numFmtId="191" fontId="67" fillId="0" borderId="106" xfId="0" applyNumberFormat="1" applyFont="1" applyBorder="1" applyAlignment="1">
      <alignment horizontal="left" vertical="center"/>
    </xf>
    <xf numFmtId="176" fontId="68" fillId="6" borderId="14" xfId="0" applyNumberFormat="1" applyFont="1" applyFill="1" applyBorder="1" applyAlignment="1">
      <alignment horizontal="center" vertical="center"/>
    </xf>
    <xf numFmtId="176" fontId="67" fillId="0" borderId="49" xfId="0" applyNumberFormat="1" applyFont="1" applyBorder="1" applyAlignment="1">
      <alignment horizontal="center" vertical="center"/>
    </xf>
    <xf numFmtId="176" fontId="67" fillId="0" borderId="49" xfId="0" applyNumberFormat="1" applyFont="1" applyBorder="1" applyAlignment="1">
      <alignment horizontal="center"/>
    </xf>
    <xf numFmtId="176" fontId="67" fillId="0" borderId="110" xfId="0" applyNumberFormat="1" applyFont="1" applyBorder="1" applyAlignment="1">
      <alignment horizontal="center" vertical="center"/>
    </xf>
    <xf numFmtId="176" fontId="7" fillId="0" borderId="111" xfId="0" applyNumberFormat="1" applyFont="1" applyBorder="1" applyAlignment="1">
      <alignment vertical="center"/>
    </xf>
    <xf numFmtId="176" fontId="67" fillId="0" borderId="112" xfId="0" applyNumberFormat="1" applyFont="1" applyBorder="1" applyAlignment="1">
      <alignment horizontal="center" vertical="center"/>
    </xf>
    <xf numFmtId="0" fontId="63" fillId="0" borderId="0" xfId="0" applyFont="1" applyAlignment="1">
      <alignment horizontal="center" vertical="center"/>
    </xf>
    <xf numFmtId="0" fontId="69" fillId="0" borderId="78" xfId="0" applyFont="1" applyBorder="1" applyAlignment="1">
      <alignment horizontal="center" vertical="center" wrapText="1"/>
    </xf>
    <xf numFmtId="176" fontId="8" fillId="34" borderId="23" xfId="0" applyNumberFormat="1" applyFont="1" applyFill="1" applyBorder="1" applyAlignment="1">
      <alignment horizontal="center" vertical="center"/>
    </xf>
    <xf numFmtId="176" fontId="8" fillId="34" borderId="23" xfId="0" applyNumberFormat="1" applyFont="1" applyFill="1" applyBorder="1" applyAlignment="1">
      <alignment vertical="center" wrapText="1"/>
    </xf>
    <xf numFmtId="176" fontId="8" fillId="34" borderId="23" xfId="0" applyNumberFormat="1" applyFont="1" applyFill="1" applyBorder="1" applyAlignment="1">
      <alignment vertical="center"/>
    </xf>
    <xf numFmtId="176" fontId="8" fillId="34" borderId="23" xfId="0" applyNumberFormat="1" applyFont="1" applyFill="1" applyBorder="1" applyAlignment="1">
      <alignment horizontal="center" vertical="center" wrapText="1"/>
    </xf>
    <xf numFmtId="176" fontId="8" fillId="34" borderId="23" xfId="0" applyNumberFormat="1" applyFont="1" applyFill="1" applyBorder="1"/>
    <xf numFmtId="176" fontId="68" fillId="0" borderId="14" xfId="0" applyNumberFormat="1" applyFont="1" applyBorder="1" applyAlignment="1">
      <alignment horizontal="center" vertical="center"/>
    </xf>
    <xf numFmtId="176" fontId="70" fillId="0" borderId="23" xfId="0" applyNumberFormat="1" applyFont="1" applyBorder="1" applyAlignment="1">
      <alignment horizontal="center" vertical="center"/>
    </xf>
    <xf numFmtId="176" fontId="70" fillId="0" borderId="23" xfId="0" applyNumberFormat="1" applyFont="1" applyBorder="1" applyAlignment="1">
      <alignment horizontal="center" vertical="center" wrapText="1"/>
    </xf>
    <xf numFmtId="176" fontId="8" fillId="6" borderId="23" xfId="0" applyNumberFormat="1" applyFont="1" applyFill="1" applyBorder="1" applyAlignment="1">
      <alignment horizontal="center"/>
    </xf>
    <xf numFmtId="176" fontId="8" fillId="0" borderId="51" xfId="0" applyNumberFormat="1" applyFont="1" applyBorder="1" applyAlignment="1">
      <alignment vertical="center"/>
    </xf>
    <xf numFmtId="176" fontId="8" fillId="9" borderId="51" xfId="0" applyNumberFormat="1" applyFont="1" applyFill="1" applyBorder="1" applyAlignment="1">
      <alignment vertical="center"/>
    </xf>
    <xf numFmtId="176" fontId="8" fillId="0" borderId="51" xfId="0" applyNumberFormat="1" applyFont="1" applyBorder="1" applyAlignment="1">
      <alignment horizontal="center" vertical="center"/>
    </xf>
    <xf numFmtId="176" fontId="8" fillId="6" borderId="23" xfId="0" applyNumberFormat="1" applyFont="1" applyFill="1" applyBorder="1"/>
    <xf numFmtId="176" fontId="8" fillId="0" borderId="23" xfId="0" applyNumberFormat="1" applyFont="1" applyBorder="1"/>
    <xf numFmtId="176" fontId="7" fillId="6" borderId="23" xfId="0" applyNumberFormat="1" applyFont="1" applyFill="1" applyBorder="1" applyAlignment="1">
      <alignment horizontal="center" vertical="center"/>
    </xf>
    <xf numFmtId="176" fontId="71" fillId="6" borderId="23" xfId="0" applyNumberFormat="1" applyFont="1" applyFill="1" applyBorder="1" applyAlignment="1">
      <alignment horizontal="center" vertical="center" wrapText="1"/>
    </xf>
    <xf numFmtId="176" fontId="8" fillId="6" borderId="23" xfId="0" applyNumberFormat="1" applyFont="1" applyFill="1" applyBorder="1" applyAlignment="1">
      <alignment horizontal="center" vertical="center"/>
    </xf>
    <xf numFmtId="176" fontId="72" fillId="6" borderId="23" xfId="0" applyNumberFormat="1" applyFont="1" applyFill="1" applyBorder="1" applyAlignment="1">
      <alignment horizontal="center" vertical="center"/>
    </xf>
    <xf numFmtId="9" fontId="48" fillId="0" borderId="21" xfId="0" applyNumberFormat="1" applyFont="1" applyBorder="1" applyAlignment="1">
      <alignment horizontal="center" vertical="center"/>
    </xf>
    <xf numFmtId="176" fontId="73" fillId="6" borderId="23" xfId="0" applyNumberFormat="1" applyFont="1" applyFill="1" applyBorder="1" applyAlignment="1">
      <alignment horizontal="center" vertical="center"/>
    </xf>
    <xf numFmtId="176" fontId="72" fillId="6" borderId="23" xfId="0" applyNumberFormat="1" applyFont="1" applyFill="1" applyBorder="1" applyAlignment="1">
      <alignment horizontal="center" vertical="center" wrapText="1"/>
    </xf>
    <xf numFmtId="176" fontId="74" fillId="6" borderId="23" xfId="0" applyNumberFormat="1" applyFont="1" applyFill="1" applyBorder="1" applyAlignment="1">
      <alignment horizontal="center" vertical="center"/>
    </xf>
    <xf numFmtId="0" fontId="64" fillId="0" borderId="113" xfId="0" applyFont="1" applyBorder="1" applyAlignment="1" applyProtection="1">
      <alignment vertical="center" wrapText="1"/>
      <protection locked="0"/>
    </xf>
    <xf numFmtId="0" fontId="75" fillId="0" borderId="114" xfId="0" applyFont="1" applyBorder="1" applyAlignment="1" applyProtection="1">
      <alignment horizontal="center" vertical="center"/>
      <protection locked="0"/>
    </xf>
    <xf numFmtId="41" fontId="48" fillId="0" borderId="114" xfId="0" applyNumberFormat="1" applyFont="1" applyBorder="1" applyAlignment="1">
      <alignment horizontal="center" vertical="center"/>
    </xf>
    <xf numFmtId="186" fontId="48" fillId="0" borderId="115" xfId="0" applyNumberFormat="1" applyFont="1" applyBorder="1" applyAlignment="1">
      <alignment horizontal="center" vertical="center"/>
    </xf>
    <xf numFmtId="9" fontId="48" fillId="0" borderId="113" xfId="0" applyNumberFormat="1" applyFont="1" applyBorder="1" applyAlignment="1">
      <alignment horizontal="center" vertical="center"/>
    </xf>
    <xf numFmtId="9" fontId="48" fillId="0" borderId="116" xfId="0" applyNumberFormat="1" applyFont="1" applyBorder="1" applyAlignment="1">
      <alignment horizontal="center" vertical="center"/>
    </xf>
    <xf numFmtId="9" fontId="48" fillId="0" borderId="117" xfId="0" applyNumberFormat="1" applyFont="1" applyBorder="1" applyAlignment="1">
      <alignment horizontal="center" vertical="center"/>
    </xf>
    <xf numFmtId="186" fontId="48" fillId="0" borderId="114" xfId="0" applyNumberFormat="1" applyFont="1" applyBorder="1" applyAlignment="1">
      <alignment horizontal="center" vertical="center"/>
    </xf>
    <xf numFmtId="43" fontId="48" fillId="0" borderId="117" xfId="0" applyNumberFormat="1" applyFont="1" applyBorder="1" applyAlignment="1">
      <alignment horizontal="center" vertical="center"/>
    </xf>
    <xf numFmtId="176" fontId="71" fillId="0" borderId="0" xfId="0" applyNumberFormat="1" applyFont="1" applyAlignment="1">
      <alignment vertical="center"/>
    </xf>
    <xf numFmtId="0" fontId="48" fillId="0" borderId="99" xfId="0" applyFont="1" applyBorder="1" applyAlignment="1" applyProtection="1">
      <alignment vertical="center" wrapText="1"/>
      <protection locked="0"/>
    </xf>
    <xf numFmtId="0" fontId="48" fillId="0" borderId="15" xfId="0" applyFont="1" applyBorder="1" applyAlignment="1" applyProtection="1">
      <alignment horizontal="center" vertical="center"/>
      <protection locked="0"/>
    </xf>
    <xf numFmtId="41" fontId="48" fillId="0" borderId="15" xfId="0" applyNumberFormat="1" applyFont="1" applyBorder="1" applyAlignment="1">
      <alignment horizontal="center" vertical="center"/>
    </xf>
    <xf numFmtId="186" fontId="48" fillId="0" borderId="15" xfId="0" applyNumberFormat="1" applyFont="1" applyBorder="1" applyAlignment="1">
      <alignment horizontal="center" vertical="center"/>
    </xf>
    <xf numFmtId="9" fontId="48" fillId="0" borderId="118" xfId="0" applyNumberFormat="1" applyFont="1" applyBorder="1" applyAlignment="1">
      <alignment horizontal="center" vertical="center"/>
    </xf>
    <xf numFmtId="176" fontId="72" fillId="0" borderId="0" xfId="0" applyNumberFormat="1" applyFont="1" applyAlignment="1">
      <alignment vertical="center"/>
    </xf>
    <xf numFmtId="0" fontId="48" fillId="0" borderId="106" xfId="0" applyFont="1" applyBorder="1" applyAlignment="1" applyProtection="1">
      <alignment vertical="center" wrapText="1"/>
      <protection locked="0"/>
    </xf>
    <xf numFmtId="176" fontId="8" fillId="0" borderId="23" xfId="0" applyNumberFormat="1" applyFont="1" applyBorder="1" applyAlignment="1">
      <alignment horizontal="center"/>
    </xf>
    <xf numFmtId="176" fontId="8" fillId="0" borderId="0" xfId="0" applyNumberFormat="1" applyFont="1" applyAlignment="1">
      <alignment horizontal="center" vertical="center"/>
    </xf>
    <xf numFmtId="176" fontId="7" fillId="0" borderId="23" xfId="0" applyNumberFormat="1" applyFont="1" applyBorder="1" applyAlignment="1">
      <alignment vertical="center"/>
    </xf>
    <xf numFmtId="176" fontId="8" fillId="0" borderId="23" xfId="0" applyNumberFormat="1" applyFont="1" applyBorder="1" applyAlignment="1">
      <alignment horizontal="center" vertical="center"/>
    </xf>
    <xf numFmtId="9" fontId="48" fillId="0" borderId="19" xfId="0" applyNumberFormat="1" applyFont="1" applyBorder="1" applyAlignment="1">
      <alignment horizontal="center" vertical="center"/>
    </xf>
    <xf numFmtId="0" fontId="48" fillId="9" borderId="14" xfId="0" applyFont="1" applyFill="1" applyBorder="1" applyAlignment="1" applyProtection="1">
      <alignment horizontal="center" vertical="center"/>
      <protection locked="0"/>
    </xf>
    <xf numFmtId="41" fontId="48" fillId="9" borderId="14" xfId="0" applyNumberFormat="1" applyFont="1" applyFill="1" applyBorder="1" applyAlignment="1">
      <alignment horizontal="center" vertical="center"/>
    </xf>
    <xf numFmtId="186" fontId="48" fillId="9" borderId="49" xfId="0" applyNumberFormat="1" applyFont="1" applyFill="1" applyBorder="1" applyAlignment="1">
      <alignment horizontal="center" vertical="center"/>
    </xf>
    <xf numFmtId="0" fontId="24" fillId="0" borderId="23" xfId="0" applyFont="1" applyBorder="1" applyAlignment="1">
      <alignment horizontal="center" vertical="center"/>
    </xf>
    <xf numFmtId="0" fontId="24" fillId="0" borderId="23" xfId="0" applyFont="1" applyBorder="1" applyAlignment="1">
      <alignment horizontal="center" vertical="center" wrapText="1"/>
    </xf>
    <xf numFmtId="0" fontId="35" fillId="0" borderId="53" xfId="0" applyFont="1" applyBorder="1" applyAlignment="1">
      <alignment vertical="center"/>
    </xf>
    <xf numFmtId="0" fontId="76" fillId="0" borderId="23" xfId="0" applyFont="1" applyBorder="1" applyAlignment="1">
      <alignment horizontal="center" vertical="center"/>
    </xf>
    <xf numFmtId="9" fontId="24" fillId="0" borderId="23" xfId="0" applyNumberFormat="1" applyFont="1" applyBorder="1" applyAlignment="1">
      <alignment horizontal="center" vertical="center" wrapText="1"/>
    </xf>
    <xf numFmtId="0" fontId="35" fillId="0" borderId="53" xfId="0" applyFont="1" applyBorder="1" applyAlignment="1">
      <alignment horizontal="center" vertical="center"/>
    </xf>
    <xf numFmtId="0" fontId="48" fillId="0" borderId="100" xfId="0" applyFont="1" applyBorder="1" applyAlignment="1" applyProtection="1">
      <alignment vertical="center" wrapText="1"/>
      <protection locked="0"/>
    </xf>
    <xf numFmtId="41" fontId="48" fillId="0" borderId="29" xfId="0" applyNumberFormat="1" applyFont="1" applyBorder="1" applyAlignment="1">
      <alignment horizontal="center" vertical="center"/>
    </xf>
    <xf numFmtId="186" fontId="48" fillId="0" borderId="67" xfId="0" applyNumberFormat="1" applyFont="1" applyBorder="1" applyAlignment="1">
      <alignment horizontal="center" vertical="center"/>
    </xf>
    <xf numFmtId="0" fontId="77" fillId="35" borderId="23" xfId="0" applyFont="1" applyFill="1" applyBorder="1" applyAlignment="1">
      <alignment horizontal="center" vertical="center"/>
    </xf>
    <xf numFmtId="0" fontId="77" fillId="35" borderId="23" xfId="0" applyFont="1" applyFill="1" applyBorder="1" applyAlignment="1">
      <alignment horizontal="center" vertical="center" wrapText="1"/>
    </xf>
    <xf numFmtId="0" fontId="77" fillId="6" borderId="23" xfId="0" applyFont="1" applyFill="1" applyBorder="1" applyAlignment="1">
      <alignment horizontal="center" vertical="center" wrapText="1"/>
    </xf>
    <xf numFmtId="0" fontId="48" fillId="0" borderId="113" xfId="0" applyFont="1" applyBorder="1" applyAlignment="1" applyProtection="1">
      <alignment vertical="center" wrapText="1"/>
      <protection locked="0"/>
    </xf>
    <xf numFmtId="0" fontId="78" fillId="0" borderId="114" xfId="0" applyFont="1" applyBorder="1" applyAlignment="1" applyProtection="1">
      <alignment horizontal="center" vertical="center"/>
      <protection locked="0"/>
    </xf>
    <xf numFmtId="0" fontId="79" fillId="0" borderId="119" xfId="0" applyFont="1" applyBorder="1" applyAlignment="1" applyProtection="1">
      <alignment horizontal="center" vertical="center"/>
      <protection locked="0"/>
    </xf>
    <xf numFmtId="0" fontId="0" fillId="0" borderId="120" xfId="0" applyBorder="1" applyProtection="1">
      <protection locked="0"/>
    </xf>
    <xf numFmtId="41" fontId="48" fillId="0" borderId="121" xfId="0" applyNumberFormat="1" applyFont="1" applyBorder="1" applyAlignment="1">
      <alignment horizontal="center" vertical="center"/>
    </xf>
    <xf numFmtId="186" fontId="48" fillId="0" borderId="122" xfId="0" applyNumberFormat="1" applyFont="1" applyBorder="1" applyAlignment="1">
      <alignment horizontal="center" vertical="center"/>
    </xf>
    <xf numFmtId="9" fontId="48" fillId="0" borderId="119" xfId="0" applyNumberFormat="1" applyFont="1" applyBorder="1" applyAlignment="1">
      <alignment horizontal="center" vertical="center"/>
    </xf>
    <xf numFmtId="9" fontId="48" fillId="0" borderId="78" xfId="0" applyNumberFormat="1" applyFont="1" applyBorder="1" applyAlignment="1">
      <alignment horizontal="center" vertical="center"/>
    </xf>
    <xf numFmtId="43" fontId="48" fillId="0" borderId="123" xfId="0" applyNumberFormat="1" applyFont="1" applyBorder="1" applyAlignment="1">
      <alignment horizontal="center" vertical="center"/>
    </xf>
    <xf numFmtId="186" fontId="48" fillId="0" borderId="121" xfId="0" applyNumberFormat="1" applyFont="1" applyBorder="1" applyAlignment="1">
      <alignment horizontal="center" vertical="center"/>
    </xf>
    <xf numFmtId="9" fontId="39" fillId="35" borderId="23" xfId="0" applyNumberFormat="1" applyFont="1" applyFill="1" applyBorder="1" applyAlignment="1">
      <alignment horizontal="center" vertical="center" wrapText="1"/>
    </xf>
    <xf numFmtId="0" fontId="78" fillId="0" borderId="83" xfId="0" applyFont="1" applyBorder="1" applyAlignment="1" applyProtection="1">
      <alignment horizontal="center" vertical="center"/>
      <protection locked="0"/>
    </xf>
    <xf numFmtId="0" fontId="78" fillId="0" borderId="0" xfId="0" applyFont="1" applyAlignment="1" applyProtection="1">
      <alignment horizontal="center" vertical="center"/>
      <protection locked="0"/>
    </xf>
    <xf numFmtId="41" fontId="48" fillId="0" borderId="52" xfId="0" applyNumberFormat="1" applyFont="1" applyBorder="1" applyAlignment="1">
      <alignment horizontal="center" vertical="center"/>
    </xf>
    <xf numFmtId="41" fontId="48" fillId="0" borderId="78" xfId="0" applyNumberFormat="1" applyFont="1" applyBorder="1" applyAlignment="1">
      <alignment horizontal="center" vertical="center"/>
    </xf>
    <xf numFmtId="186" fontId="48" fillId="0" borderId="78" xfId="0" applyNumberFormat="1" applyFont="1" applyBorder="1" applyAlignment="1">
      <alignment horizontal="center" vertical="center"/>
    </xf>
    <xf numFmtId="43" fontId="48" fillId="0" borderId="78" xfId="0" applyNumberFormat="1" applyFont="1" applyBorder="1" applyAlignment="1">
      <alignment horizontal="center" vertical="center"/>
    </xf>
    <xf numFmtId="186" fontId="48" fillId="0" borderId="94" xfId="0" applyNumberFormat="1" applyFont="1" applyBorder="1" applyAlignment="1">
      <alignment horizontal="center" vertical="center"/>
    </xf>
    <xf numFmtId="0" fontId="76" fillId="36" borderId="23" xfId="0" applyFont="1" applyFill="1" applyBorder="1" applyAlignment="1">
      <alignment horizontal="center" vertical="center" wrapText="1"/>
    </xf>
    <xf numFmtId="9" fontId="80" fillId="36" borderId="23" xfId="0" applyNumberFormat="1" applyFont="1" applyFill="1" applyBorder="1" applyAlignment="1">
      <alignment vertical="center" wrapText="1"/>
    </xf>
    <xf numFmtId="9" fontId="80" fillId="36" borderId="23" xfId="0" applyNumberFormat="1" applyFont="1" applyFill="1" applyBorder="1" applyAlignment="1">
      <alignment horizontal="center" vertical="center" wrapText="1"/>
    </xf>
    <xf numFmtId="0" fontId="35" fillId="36" borderId="23" xfId="0" applyFont="1" applyFill="1" applyBorder="1" applyAlignment="1">
      <alignment horizontal="center" vertical="center"/>
    </xf>
    <xf numFmtId="0" fontId="48" fillId="0" borderId="114" xfId="0" applyFont="1" applyBorder="1" applyAlignment="1">
      <alignment horizontal="center" vertical="center"/>
    </xf>
    <xf numFmtId="0" fontId="48" fillId="0" borderId="115" xfId="0" applyFont="1" applyBorder="1" applyAlignment="1">
      <alignment horizontal="center" vertical="center"/>
    </xf>
    <xf numFmtId="0" fontId="48" fillId="0" borderId="113" xfId="0" applyFont="1" applyBorder="1" applyAlignment="1">
      <alignment horizontal="center" vertical="center"/>
    </xf>
    <xf numFmtId="0" fontId="48" fillId="0" borderId="116" xfId="0" applyFont="1" applyBorder="1" applyAlignment="1">
      <alignment horizontal="center" vertical="center"/>
    </xf>
    <xf numFmtId="0" fontId="48" fillId="0" borderId="117" xfId="0" applyFont="1" applyBorder="1" applyAlignment="1">
      <alignment horizontal="center" vertical="center"/>
    </xf>
    <xf numFmtId="0" fontId="35" fillId="0" borderId="0" xfId="0" applyFont="1" applyAlignment="1">
      <alignment horizontal="left" vertical="center"/>
    </xf>
    <xf numFmtId="0" fontId="43" fillId="0" borderId="119" xfId="0" applyFont="1" applyBorder="1" applyAlignment="1">
      <alignment horizontal="center" vertical="center"/>
    </xf>
    <xf numFmtId="0" fontId="43" fillId="0" borderId="15" xfId="0" applyFont="1" applyBorder="1" applyAlignment="1">
      <alignment horizontal="center" vertical="center"/>
    </xf>
    <xf numFmtId="41" fontId="43" fillId="0" borderId="15" xfId="0" applyNumberFormat="1" applyFont="1" applyBorder="1" applyAlignment="1">
      <alignment horizontal="center" vertical="center"/>
    </xf>
    <xf numFmtId="9" fontId="43" fillId="0" borderId="118" xfId="0" applyNumberFormat="1" applyFont="1" applyBorder="1" applyAlignment="1">
      <alignment horizontal="center" vertical="center"/>
    </xf>
    <xf numFmtId="0" fontId="34" fillId="0" borderId="0" xfId="0" applyFont="1" applyAlignment="1">
      <alignment horizontal="left" vertical="center"/>
    </xf>
    <xf numFmtId="176" fontId="81" fillId="0" borderId="0" xfId="0" applyNumberFormat="1" applyFont="1" applyAlignment="1">
      <alignment horizontal="center" vertical="center"/>
    </xf>
    <xf numFmtId="0" fontId="0" fillId="0" borderId="124" xfId="0" applyBorder="1"/>
    <xf numFmtId="0" fontId="43" fillId="0" borderId="14" xfId="0" applyFont="1" applyBorder="1" applyAlignment="1">
      <alignment horizontal="center" vertical="center"/>
    </xf>
    <xf numFmtId="41" fontId="43" fillId="0" borderId="14" xfId="0" applyNumberFormat="1" applyFont="1" applyBorder="1" applyAlignment="1">
      <alignment horizontal="center" vertical="center"/>
    </xf>
    <xf numFmtId="9" fontId="43" fillId="0" borderId="107" xfId="0" applyNumberFormat="1" applyFont="1" applyBorder="1" applyAlignment="1">
      <alignment horizontal="center" vertical="center"/>
    </xf>
    <xf numFmtId="176" fontId="82" fillId="0" borderId="0" xfId="0" applyNumberFormat="1" applyFont="1" applyAlignment="1">
      <alignment horizontal="center" vertical="center"/>
    </xf>
    <xf numFmtId="176" fontId="83" fillId="0" borderId="0" xfId="0" applyNumberFormat="1" applyFont="1" applyAlignment="1">
      <alignment horizontal="center" vertical="center"/>
    </xf>
    <xf numFmtId="43" fontId="43" fillId="0" borderId="29" xfId="0" applyNumberFormat="1" applyFont="1" applyBorder="1" applyAlignment="1">
      <alignment horizontal="center" vertical="center"/>
    </xf>
    <xf numFmtId="9" fontId="43" fillId="0" borderId="101" xfId="0" applyNumberFormat="1" applyFont="1" applyBorder="1" applyAlignment="1">
      <alignment horizontal="center" vertical="center"/>
    </xf>
    <xf numFmtId="0" fontId="0" fillId="0" borderId="119" xfId="0" applyBorder="1"/>
    <xf numFmtId="0" fontId="43" fillId="0" borderId="114" xfId="0" applyFont="1" applyBorder="1" applyAlignment="1">
      <alignment horizontal="center" vertical="center"/>
    </xf>
    <xf numFmtId="41" fontId="43" fillId="0" borderId="114" xfId="0" applyNumberFormat="1" applyFont="1" applyBorder="1" applyAlignment="1">
      <alignment horizontal="center" vertical="center"/>
    </xf>
    <xf numFmtId="9" fontId="43" fillId="0" borderId="113" xfId="0" applyNumberFormat="1" applyFont="1" applyBorder="1" applyAlignment="1">
      <alignment horizontal="center" vertical="center"/>
    </xf>
    <xf numFmtId="9" fontId="43" fillId="0" borderId="116" xfId="0" applyNumberFormat="1" applyFont="1" applyBorder="1" applyAlignment="1">
      <alignment horizontal="center" vertical="center"/>
    </xf>
    <xf numFmtId="9" fontId="43" fillId="0" borderId="117" xfId="0" applyNumberFormat="1" applyFont="1" applyBorder="1" applyAlignment="1">
      <alignment horizontal="center" vertical="center"/>
    </xf>
    <xf numFmtId="43" fontId="43" fillId="0" borderId="114" xfId="0" applyNumberFormat="1" applyFont="1" applyBorder="1" applyAlignment="1">
      <alignment horizontal="center" vertical="center"/>
    </xf>
    <xf numFmtId="0" fontId="35" fillId="0" borderId="0" xfId="0" applyFont="1" applyAlignment="1">
      <alignment horizontal="left"/>
    </xf>
    <xf numFmtId="0" fontId="50" fillId="0" borderId="119" xfId="0" applyFont="1" applyBorder="1" applyAlignment="1">
      <alignment horizontal="center" vertical="center"/>
    </xf>
    <xf numFmtId="0" fontId="0" fillId="0" borderId="120" xfId="0" applyBorder="1"/>
    <xf numFmtId="41" fontId="43" fillId="0" borderId="121" xfId="0" applyNumberFormat="1" applyFont="1" applyBorder="1" applyAlignment="1">
      <alignment horizontal="center" vertical="center"/>
    </xf>
    <xf numFmtId="9" fontId="43" fillId="0" borderId="119" xfId="0" applyNumberFormat="1" applyFont="1" applyBorder="1" applyAlignment="1">
      <alignment horizontal="center" vertical="center"/>
    </xf>
    <xf numFmtId="9" fontId="43" fillId="0" borderId="78" xfId="0" applyNumberFormat="1" applyFont="1" applyBorder="1" applyAlignment="1">
      <alignment horizontal="center" vertical="center"/>
    </xf>
    <xf numFmtId="9" fontId="43" fillId="0" borderId="123" xfId="0" applyNumberFormat="1" applyFont="1" applyBorder="1" applyAlignment="1">
      <alignment horizontal="center" vertical="center"/>
    </xf>
    <xf numFmtId="0" fontId="84" fillId="0" borderId="0" xfId="0" applyFont="1" applyAlignment="1">
      <alignment horizontal="center" vertical="center"/>
    </xf>
    <xf numFmtId="176" fontId="68" fillId="9" borderId="14" xfId="0" applyNumberFormat="1" applyFont="1" applyFill="1" applyBorder="1" applyAlignment="1">
      <alignment horizontal="center" vertical="center"/>
    </xf>
    <xf numFmtId="0" fontId="64" fillId="0" borderId="95" xfId="0" applyFont="1" applyBorder="1" applyAlignment="1" applyProtection="1">
      <alignment horizontal="center" vertical="center" wrapText="1"/>
      <protection locked="0"/>
    </xf>
    <xf numFmtId="0" fontId="0" fillId="0" borderId="124" xfId="0" applyBorder="1" applyProtection="1">
      <protection locked="0"/>
    </xf>
    <xf numFmtId="9" fontId="48" fillId="0" borderId="101" xfId="0" applyNumberFormat="1" applyFont="1" applyBorder="1" applyAlignment="1">
      <alignment horizontal="center" vertical="center"/>
    </xf>
    <xf numFmtId="41" fontId="48" fillId="0" borderId="49" xfId="0" applyNumberFormat="1" applyFont="1" applyBorder="1" applyAlignment="1">
      <alignment horizontal="center" vertical="center"/>
    </xf>
    <xf numFmtId="0" fontId="0" fillId="0" borderId="99" xfId="0" applyBorder="1" applyProtection="1">
      <protection locked="0"/>
    </xf>
    <xf numFmtId="0" fontId="48" fillId="0" borderId="114" xfId="0" applyFont="1" applyBorder="1" applyAlignment="1" applyProtection="1">
      <alignment horizontal="center" vertical="center"/>
      <protection locked="0"/>
    </xf>
    <xf numFmtId="43" fontId="48" fillId="0" borderId="114" xfId="0" applyNumberFormat="1" applyFont="1" applyBorder="1" applyAlignment="1">
      <alignment horizontal="center" vertical="center"/>
    </xf>
    <xf numFmtId="0" fontId="64" fillId="0" borderId="99" xfId="0" applyFont="1" applyBorder="1" applyAlignment="1" applyProtection="1">
      <alignment horizontal="center" vertical="center" wrapText="1"/>
      <protection locked="0"/>
    </xf>
    <xf numFmtId="41" fontId="48" fillId="0" borderId="19" xfId="0" applyNumberFormat="1" applyFont="1" applyBorder="1" applyAlignment="1">
      <alignment horizontal="center" vertical="center"/>
    </xf>
    <xf numFmtId="9" fontId="48" fillId="0" borderId="106" xfId="0" applyNumberFormat="1" applyFont="1" applyBorder="1" applyAlignment="1">
      <alignment horizontal="center" vertical="center"/>
    </xf>
    <xf numFmtId="9" fontId="48" fillId="0" borderId="50" xfId="0" applyNumberFormat="1" applyFont="1" applyBorder="1" applyAlignment="1">
      <alignment horizontal="center" vertical="center"/>
    </xf>
    <xf numFmtId="0" fontId="48" fillId="0" borderId="29" xfId="0" applyFont="1" applyBorder="1" applyAlignment="1" applyProtection="1">
      <alignment horizontal="center" vertical="center"/>
      <protection locked="0"/>
    </xf>
    <xf numFmtId="41" fontId="48" fillId="0" borderId="67" xfId="0" applyNumberFormat="1" applyFont="1" applyBorder="1" applyAlignment="1">
      <alignment horizontal="center" vertical="center"/>
    </xf>
    <xf numFmtId="9" fontId="48" fillId="0" borderId="100" xfId="0" applyNumberFormat="1" applyFont="1" applyBorder="1" applyAlignment="1">
      <alignment horizontal="center" vertical="center"/>
    </xf>
    <xf numFmtId="9" fontId="48" fillId="0" borderId="68" xfId="0" applyNumberFormat="1" applyFont="1" applyBorder="1" applyAlignment="1">
      <alignment horizontal="center" vertical="center"/>
    </xf>
    <xf numFmtId="43" fontId="48" fillId="0" borderId="29" xfId="0" applyNumberFormat="1" applyFont="1" applyBorder="1" applyAlignment="1">
      <alignment horizontal="center" vertical="center"/>
    </xf>
    <xf numFmtId="9" fontId="48" fillId="0" borderId="97" xfId="0" applyNumberFormat="1" applyFont="1" applyBorder="1" applyAlignment="1">
      <alignment horizontal="center" vertical="center"/>
    </xf>
    <xf numFmtId="0" fontId="48" fillId="9" borderId="29" xfId="0" applyFont="1" applyFill="1" applyBorder="1" applyAlignment="1" applyProtection="1">
      <alignment horizontal="center" vertical="center"/>
      <protection locked="0"/>
    </xf>
    <xf numFmtId="41" fontId="48" fillId="9" borderId="29" xfId="0" applyNumberFormat="1" applyFont="1" applyFill="1" applyBorder="1" applyAlignment="1">
      <alignment horizontal="center" vertical="center"/>
    </xf>
    <xf numFmtId="186" fontId="48" fillId="9" borderId="67" xfId="0" applyNumberFormat="1" applyFont="1" applyFill="1" applyBorder="1" applyAlignment="1">
      <alignment horizontal="center" vertical="center"/>
    </xf>
    <xf numFmtId="0" fontId="48" fillId="0" borderId="99" xfId="0" applyFont="1" applyBorder="1" applyAlignment="1" applyProtection="1">
      <alignment horizontal="center" vertical="center" wrapText="1"/>
      <protection locked="0"/>
    </xf>
    <xf numFmtId="9" fontId="48" fillId="0" borderId="114" xfId="0" applyNumberFormat="1" applyFont="1" applyBorder="1" applyAlignment="1">
      <alignment horizontal="center" vertical="center"/>
    </xf>
    <xf numFmtId="0" fontId="48" fillId="0" borderId="95" xfId="0" applyFont="1" applyBorder="1" applyAlignment="1" applyProtection="1">
      <alignment horizontal="center" vertical="center" wrapText="1"/>
      <protection locked="0"/>
    </xf>
    <xf numFmtId="41" fontId="48" fillId="0" borderId="14" xfId="0" applyNumberFormat="1" applyFont="1" applyBorder="1" applyAlignment="1">
      <alignment vertical="center"/>
    </xf>
    <xf numFmtId="9" fontId="43" fillId="0" borderId="106" xfId="0" applyNumberFormat="1" applyFont="1" applyBorder="1" applyAlignment="1">
      <alignment horizontal="center" vertical="center"/>
    </xf>
    <xf numFmtId="9" fontId="43" fillId="0" borderId="50" xfId="0" applyNumberFormat="1" applyFont="1" applyBorder="1" applyAlignment="1">
      <alignment horizontal="center" vertical="center"/>
    </xf>
    <xf numFmtId="9" fontId="43" fillId="0" borderId="100" xfId="0" applyNumberFormat="1" applyFont="1" applyBorder="1" applyAlignment="1">
      <alignment horizontal="center" vertical="center"/>
    </xf>
    <xf numFmtId="9" fontId="43" fillId="0" borderId="68" xfId="0" applyNumberFormat="1" applyFont="1" applyBorder="1" applyAlignment="1">
      <alignment horizontal="center" vertical="center"/>
    </xf>
    <xf numFmtId="41" fontId="43" fillId="0" borderId="29" xfId="0" applyNumberFormat="1" applyFont="1" applyBorder="1" applyAlignment="1">
      <alignment horizontal="center" vertical="center"/>
    </xf>
    <xf numFmtId="41" fontId="48" fillId="0" borderId="102" xfId="0" applyNumberFormat="1" applyFont="1" applyBorder="1" applyAlignment="1">
      <alignment horizontal="center" vertical="center"/>
    </xf>
    <xf numFmtId="0" fontId="43" fillId="0" borderId="0" xfId="0" applyFont="1" applyAlignment="1">
      <alignment vertical="center"/>
    </xf>
    <xf numFmtId="41" fontId="43" fillId="0" borderId="0" xfId="0" applyNumberFormat="1" applyFont="1" applyAlignment="1">
      <alignment horizontal="center" vertical="center"/>
    </xf>
    <xf numFmtId="186" fontId="48" fillId="0" borderId="0" xfId="0" applyNumberFormat="1" applyFont="1" applyAlignment="1">
      <alignment horizontal="center" vertical="center"/>
    </xf>
    <xf numFmtId="9" fontId="43" fillId="0" borderId="0" xfId="0" applyNumberFormat="1" applyFont="1" applyAlignment="1">
      <alignment horizontal="center" vertical="center"/>
    </xf>
    <xf numFmtId="0" fontId="48" fillId="32" borderId="23" xfId="0" applyFont="1" applyFill="1" applyBorder="1" applyAlignment="1">
      <alignment horizontal="center" vertical="center" wrapText="1"/>
    </xf>
    <xf numFmtId="0" fontId="64" fillId="0" borderId="98" xfId="0" applyFont="1" applyBorder="1" applyAlignment="1">
      <alignment horizontal="center" vertical="center"/>
    </xf>
    <xf numFmtId="0" fontId="0" fillId="0" borderId="18" xfId="0" applyBorder="1"/>
    <xf numFmtId="0" fontId="43" fillId="0" borderId="13" xfId="0" applyFont="1" applyBorder="1" applyAlignment="1">
      <alignment horizontal="center" vertical="center"/>
    </xf>
    <xf numFmtId="41" fontId="43" fillId="0" borderId="96" xfId="0" applyNumberFormat="1" applyFont="1" applyBorder="1" applyAlignment="1">
      <alignment horizontal="center" vertical="center"/>
    </xf>
    <xf numFmtId="9" fontId="48" fillId="0" borderId="125" xfId="0" applyNumberFormat="1" applyFont="1" applyBorder="1" applyAlignment="1">
      <alignment horizontal="center" vertical="center"/>
    </xf>
    <xf numFmtId="9" fontId="43" fillId="0" borderId="103" xfId="0" applyNumberFormat="1" applyFont="1" applyBorder="1" applyAlignment="1">
      <alignment horizontal="center" vertical="center"/>
    </xf>
    <xf numFmtId="0" fontId="43" fillId="0" borderId="35" xfId="0" applyFont="1" applyBorder="1" applyAlignment="1">
      <alignment horizontal="center" vertical="center"/>
    </xf>
    <xf numFmtId="41" fontId="43" fillId="0" borderId="49" xfId="0" applyNumberFormat="1" applyFont="1" applyBorder="1" applyAlignment="1">
      <alignment horizontal="center" vertical="center"/>
    </xf>
    <xf numFmtId="43" fontId="43" fillId="0" borderId="14" xfId="0" applyNumberFormat="1" applyFont="1" applyBorder="1" applyAlignment="1">
      <alignment horizontal="center" vertical="center"/>
    </xf>
    <xf numFmtId="43" fontId="43" fillId="0" borderId="107" xfId="0" applyNumberFormat="1" applyFont="1" applyBorder="1" applyAlignment="1">
      <alignment horizontal="center" vertical="center"/>
    </xf>
    <xf numFmtId="43" fontId="43" fillId="0" borderId="101" xfId="0" applyNumberFormat="1" applyFont="1" applyBorder="1" applyAlignment="1">
      <alignment horizontal="center" vertical="center"/>
    </xf>
    <xf numFmtId="41" fontId="43" fillId="0" borderId="67" xfId="0" applyNumberFormat="1" applyFont="1" applyBorder="1" applyAlignment="1">
      <alignment horizontal="center" vertical="center"/>
    </xf>
    <xf numFmtId="0" fontId="50" fillId="0" borderId="126" xfId="0" applyFont="1" applyBorder="1" applyAlignment="1">
      <alignment horizontal="center" vertical="center"/>
    </xf>
    <xf numFmtId="41" fontId="43" fillId="0" borderId="115" xfId="0" applyNumberFormat="1" applyFont="1" applyBorder="1" applyAlignment="1">
      <alignment horizontal="center" vertical="center"/>
    </xf>
    <xf numFmtId="41" fontId="43" fillId="0" borderId="117" xfId="0" applyNumberFormat="1" applyFont="1" applyBorder="1" applyAlignment="1">
      <alignment horizontal="center" vertical="center"/>
    </xf>
    <xf numFmtId="0" fontId="48" fillId="0" borderId="0" xfId="0" applyFont="1" applyAlignment="1">
      <alignment vertical="center" wrapText="1"/>
    </xf>
    <xf numFmtId="0" fontId="64" fillId="0" borderId="56" xfId="0" applyFont="1" applyBorder="1" applyAlignment="1">
      <alignment vertical="center"/>
    </xf>
    <xf numFmtId="0" fontId="43" fillId="0" borderId="98" xfId="0" applyFont="1" applyBorder="1" applyAlignment="1">
      <alignment horizontal="center" vertical="center"/>
    </xf>
    <xf numFmtId="9" fontId="43" fillId="0" borderId="95" xfId="0" applyNumberFormat="1" applyFont="1" applyBorder="1" applyAlignment="1">
      <alignment horizontal="center" vertical="center"/>
    </xf>
    <xf numFmtId="9" fontId="43" fillId="0" borderId="97" xfId="0" applyNumberFormat="1" applyFont="1" applyBorder="1" applyAlignment="1">
      <alignment horizontal="center" vertical="center"/>
    </xf>
    <xf numFmtId="9" fontId="48" fillId="0" borderId="102" xfId="0" applyNumberFormat="1" applyFont="1" applyBorder="1" applyAlignment="1">
      <alignment horizontal="center" vertical="center"/>
    </xf>
    <xf numFmtId="9" fontId="48" fillId="0" borderId="49" xfId="0" applyNumberFormat="1" applyFont="1" applyBorder="1" applyAlignment="1">
      <alignment horizontal="center" vertical="center"/>
    </xf>
    <xf numFmtId="9" fontId="43" fillId="0" borderId="49" xfId="0" applyNumberFormat="1" applyFont="1" applyBorder="1" applyAlignment="1">
      <alignment horizontal="center" vertical="center"/>
    </xf>
    <xf numFmtId="41" fontId="43" fillId="0" borderId="100" xfId="0" applyNumberFormat="1" applyFont="1" applyBorder="1" applyAlignment="1">
      <alignment horizontal="center" vertical="center"/>
    </xf>
    <xf numFmtId="41" fontId="43" fillId="0" borderId="68" xfId="0" applyNumberFormat="1" applyFont="1" applyBorder="1" applyAlignment="1">
      <alignment horizontal="center" vertical="center"/>
    </xf>
    <xf numFmtId="41" fontId="43" fillId="0" borderId="101" xfId="0" applyNumberFormat="1" applyFont="1" applyBorder="1" applyAlignment="1">
      <alignment horizontal="center" vertical="center"/>
    </xf>
    <xf numFmtId="9" fontId="43" fillId="0" borderId="67" xfId="0" applyNumberFormat="1" applyFont="1" applyBorder="1" applyAlignment="1">
      <alignment horizontal="center" vertical="center"/>
    </xf>
    <xf numFmtId="41" fontId="43" fillId="0" borderId="113" xfId="0" applyNumberFormat="1" applyFont="1" applyBorder="1" applyAlignment="1">
      <alignment horizontal="center" vertical="center"/>
    </xf>
    <xf numFmtId="41" fontId="43" fillId="0" borderId="116" xfId="0" applyNumberFormat="1" applyFont="1" applyBorder="1" applyAlignment="1">
      <alignment horizontal="center" vertical="center"/>
    </xf>
    <xf numFmtId="9" fontId="43" fillId="0" borderId="115" xfId="0" applyNumberFormat="1" applyFont="1" applyBorder="1" applyAlignment="1">
      <alignment horizontal="center" vertical="center"/>
    </xf>
    <xf numFmtId="176" fontId="7" fillId="0" borderId="0" xfId="0" applyNumberFormat="1" applyFont="1"/>
    <xf numFmtId="176" fontId="7" fillId="0" borderId="0" xfId="0" applyNumberFormat="1" applyFont="1" applyAlignment="1">
      <alignment horizontal="center"/>
    </xf>
    <xf numFmtId="176" fontId="68" fillId="0" borderId="14" xfId="0" applyNumberFormat="1" applyFont="1" applyBorder="1" applyAlignment="1">
      <alignment horizontal="center"/>
    </xf>
    <xf numFmtId="191" fontId="6" fillId="0" borderId="113" xfId="0" applyNumberFormat="1" applyFont="1" applyBorder="1" applyAlignment="1">
      <alignment horizontal="left"/>
    </xf>
    <xf numFmtId="176" fontId="67" fillId="0" borderId="114" xfId="0" applyNumberFormat="1" applyFont="1" applyBorder="1" applyAlignment="1">
      <alignment horizontal="center"/>
    </xf>
    <xf numFmtId="176" fontId="67" fillId="37" borderId="114" xfId="0" applyNumberFormat="1" applyFont="1" applyFill="1" applyBorder="1" applyAlignment="1">
      <alignment horizontal="center"/>
    </xf>
    <xf numFmtId="176" fontId="67" fillId="37" borderId="115" xfId="0" applyNumberFormat="1" applyFont="1" applyFill="1" applyBorder="1" applyAlignment="1">
      <alignment horizontal="center"/>
    </xf>
    <xf numFmtId="176" fontId="67" fillId="37" borderId="127" xfId="0" applyNumberFormat="1" applyFont="1" applyFill="1" applyBorder="1" applyAlignment="1">
      <alignment horizontal="center"/>
    </xf>
    <xf numFmtId="176" fontId="67" fillId="37" borderId="128" xfId="0" applyNumberFormat="1" applyFont="1" applyFill="1" applyBorder="1" applyAlignment="1">
      <alignment horizontal="center"/>
    </xf>
    <xf numFmtId="176" fontId="67" fillId="37" borderId="129" xfId="0" applyNumberFormat="1" applyFont="1" applyFill="1" applyBorder="1" applyAlignment="1">
      <alignment horizontal="center"/>
    </xf>
    <xf numFmtId="176" fontId="67" fillId="0" borderId="0" xfId="0" applyNumberFormat="1" applyFont="1" applyAlignment="1">
      <alignment horizontal="center"/>
    </xf>
    <xf numFmtId="191" fontId="7" fillId="5" borderId="0" xfId="0" applyNumberFormat="1" applyFont="1" applyFill="1" applyAlignment="1">
      <alignment horizontal="left"/>
    </xf>
    <xf numFmtId="176" fontId="73" fillId="0" borderId="0" xfId="0" applyNumberFormat="1" applyFont="1" applyAlignment="1">
      <alignment horizontal="center"/>
    </xf>
    <xf numFmtId="176" fontId="8" fillId="0" borderId="0" xfId="0" applyNumberFormat="1" applyFont="1" applyAlignment="1">
      <alignment horizontal="center"/>
    </xf>
    <xf numFmtId="176" fontId="7" fillId="5" borderId="0" xfId="0" applyNumberFormat="1" applyFont="1" applyFill="1"/>
    <xf numFmtId="176" fontId="72" fillId="0" borderId="0" xfId="0" applyNumberFormat="1" applyFont="1" applyAlignment="1">
      <alignment horizontal="center"/>
    </xf>
    <xf numFmtId="0" fontId="85" fillId="0" borderId="0" xfId="0" applyFont="1" applyAlignment="1">
      <alignment horizontal="center" vertical="center"/>
    </xf>
    <xf numFmtId="0" fontId="86" fillId="35" borderId="130" xfId="0" applyFont="1" applyFill="1" applyBorder="1" applyAlignment="1">
      <alignment horizontal="center" vertical="center"/>
    </xf>
    <xf numFmtId="0" fontId="87" fillId="35" borderId="130" xfId="0" applyFont="1" applyFill="1" applyBorder="1" applyAlignment="1">
      <alignment horizontal="center" vertical="center"/>
    </xf>
    <xf numFmtId="0" fontId="87" fillId="35" borderId="130" xfId="0" applyFont="1" applyFill="1" applyBorder="1" applyAlignment="1">
      <alignment horizontal="center" vertical="center" wrapText="1"/>
    </xf>
    <xf numFmtId="0" fontId="60" fillId="35" borderId="130" xfId="0" applyFont="1" applyFill="1" applyBorder="1" applyAlignment="1">
      <alignment horizontal="center" vertical="center"/>
    </xf>
    <xf numFmtId="49" fontId="88" fillId="35" borderId="130" xfId="0" applyNumberFormat="1" applyFont="1" applyFill="1" applyBorder="1" applyAlignment="1">
      <alignment horizontal="center" vertical="center"/>
    </xf>
    <xf numFmtId="181" fontId="88" fillId="35" borderId="130" xfId="0" applyNumberFormat="1" applyFont="1" applyFill="1" applyBorder="1" applyAlignment="1">
      <alignment horizontal="center" vertical="center" wrapText="1"/>
    </xf>
    <xf numFmtId="0" fontId="35" fillId="9" borderId="0" xfId="0" applyFont="1" applyFill="1" applyAlignment="1">
      <alignment horizontal="left" vertical="center"/>
    </xf>
    <xf numFmtId="0" fontId="88" fillId="0" borderId="130" xfId="0" applyFont="1" applyBorder="1" applyAlignment="1">
      <alignment horizontal="center" vertical="center" wrapText="1"/>
    </xf>
    <xf numFmtId="0" fontId="87" fillId="35" borderId="131" xfId="0" applyFont="1" applyFill="1" applyBorder="1" applyAlignment="1">
      <alignment horizontal="center" vertical="center"/>
    </xf>
    <xf numFmtId="0" fontId="60" fillId="0" borderId="130" xfId="0" applyFont="1" applyBorder="1" applyAlignment="1">
      <alignment horizontal="center" vertical="center"/>
    </xf>
    <xf numFmtId="0" fontId="86" fillId="35" borderId="130" xfId="0" applyFont="1" applyFill="1" applyBorder="1" applyAlignment="1">
      <alignment horizontal="center" vertical="center" wrapText="1"/>
    </xf>
    <xf numFmtId="0" fontId="87" fillId="38" borderId="130" xfId="0" applyFont="1" applyFill="1" applyBorder="1" applyAlignment="1">
      <alignment horizontal="center" vertical="center"/>
    </xf>
    <xf numFmtId="0" fontId="87" fillId="39" borderId="130" xfId="0" applyFont="1" applyFill="1" applyBorder="1" applyAlignment="1">
      <alignment horizontal="center" vertical="center" wrapText="1"/>
    </xf>
    <xf numFmtId="0" fontId="87" fillId="38" borderId="132" xfId="0" applyFont="1" applyFill="1" applyBorder="1" applyAlignment="1">
      <alignment horizontal="center" vertical="center"/>
    </xf>
    <xf numFmtId="176" fontId="53" fillId="0" borderId="0" xfId="0" applyNumberFormat="1" applyFont="1"/>
    <xf numFmtId="176" fontId="89" fillId="0" borderId="23" xfId="0" applyNumberFormat="1" applyFont="1" applyBorder="1" applyAlignment="1">
      <alignment horizontal="center" vertical="center" wrapText="1"/>
    </xf>
    <xf numFmtId="176" fontId="89" fillId="9" borderId="23" xfId="0" applyNumberFormat="1" applyFont="1" applyFill="1" applyBorder="1" applyAlignment="1">
      <alignment horizontal="center" vertical="center" wrapText="1"/>
    </xf>
    <xf numFmtId="176" fontId="89" fillId="0" borderId="0" xfId="0" applyNumberFormat="1" applyFont="1" applyAlignment="1">
      <alignment horizontal="center" vertical="center" wrapText="1"/>
    </xf>
    <xf numFmtId="0" fontId="83" fillId="40" borderId="133" xfId="0" applyFont="1" applyFill="1" applyBorder="1" applyAlignment="1">
      <alignment horizontal="center" vertical="center" wrapText="1"/>
    </xf>
    <xf numFmtId="192" fontId="83" fillId="40" borderId="134" xfId="0" applyNumberFormat="1" applyFont="1" applyFill="1" applyBorder="1" applyAlignment="1">
      <alignment horizontal="center" vertical="center" wrapText="1"/>
    </xf>
    <xf numFmtId="0" fontId="83" fillId="40" borderId="135" xfId="0" applyFont="1" applyFill="1" applyBorder="1" applyAlignment="1">
      <alignment horizontal="center" vertical="center" wrapText="1"/>
    </xf>
    <xf numFmtId="49" fontId="83" fillId="40" borderId="135" xfId="0" applyNumberFormat="1" applyFont="1" applyFill="1" applyBorder="1" applyAlignment="1">
      <alignment horizontal="center" vertical="center" wrapText="1"/>
    </xf>
    <xf numFmtId="0" fontId="0" fillId="0" borderId="136" xfId="0" applyBorder="1"/>
    <xf numFmtId="0" fontId="0" fillId="0" borderId="134" xfId="0" applyBorder="1"/>
    <xf numFmtId="49" fontId="83" fillId="40" borderId="137" xfId="0" applyNumberFormat="1" applyFont="1" applyFill="1" applyBorder="1" applyAlignment="1">
      <alignment horizontal="center" vertical="center" wrapText="1"/>
    </xf>
    <xf numFmtId="0" fontId="83" fillId="40" borderId="138" xfId="0" applyFont="1" applyFill="1" applyBorder="1" applyAlignment="1">
      <alignment horizontal="center" vertical="center"/>
    </xf>
    <xf numFmtId="176" fontId="58" fillId="0" borderId="23" xfId="0" applyNumberFormat="1" applyFont="1" applyBorder="1" applyAlignment="1">
      <alignment horizontal="center"/>
    </xf>
    <xf numFmtId="176" fontId="58" fillId="9" borderId="23" xfId="0" applyNumberFormat="1" applyFont="1" applyFill="1" applyBorder="1" applyAlignment="1">
      <alignment horizontal="center"/>
    </xf>
    <xf numFmtId="176" fontId="58" fillId="0" borderId="0" xfId="0" applyNumberFormat="1" applyFont="1" applyAlignment="1">
      <alignment horizontal="center"/>
    </xf>
    <xf numFmtId="176" fontId="89" fillId="0" borderId="0" xfId="0" applyNumberFormat="1" applyFont="1"/>
    <xf numFmtId="0" fontId="0" fillId="0" borderId="139" xfId="0" applyBorder="1"/>
    <xf numFmtId="0" fontId="0" fillId="0" borderId="140" xfId="0" applyBorder="1"/>
    <xf numFmtId="49" fontId="83" fillId="40" borderId="141" xfId="0" applyNumberFormat="1" applyFont="1" applyFill="1" applyBorder="1" applyAlignment="1">
      <alignment horizontal="center" vertical="center" wrapText="1"/>
    </xf>
    <xf numFmtId="49" fontId="64" fillId="40" borderId="141" xfId="0" applyNumberFormat="1" applyFont="1" applyFill="1" applyBorder="1" applyAlignment="1">
      <alignment horizontal="center" vertical="center" wrapText="1"/>
    </xf>
    <xf numFmtId="0" fontId="83" fillId="40" borderId="141" xfId="0" applyFont="1" applyFill="1" applyBorder="1" applyAlignment="1">
      <alignment horizontal="center" vertical="center" wrapText="1"/>
    </xf>
    <xf numFmtId="184" fontId="83" fillId="40" borderId="141" xfId="0" applyNumberFormat="1" applyFont="1" applyFill="1" applyBorder="1" applyAlignment="1">
      <alignment horizontal="center" vertical="center" wrapText="1"/>
    </xf>
    <xf numFmtId="49" fontId="71" fillId="40" borderId="141" xfId="0" applyNumberFormat="1" applyFont="1" applyFill="1" applyBorder="1" applyAlignment="1">
      <alignment horizontal="center" vertical="center" wrapText="1"/>
    </xf>
    <xf numFmtId="0" fontId="0" fillId="0" borderId="142" xfId="0" applyBorder="1"/>
    <xf numFmtId="0" fontId="64" fillId="0" borderId="0" xfId="0" applyFont="1" applyAlignment="1">
      <alignment horizontal="center" vertical="center"/>
    </xf>
    <xf numFmtId="192" fontId="64" fillId="0" borderId="0" xfId="0" applyNumberFormat="1" applyFont="1" applyAlignment="1">
      <alignment horizontal="center" vertical="center"/>
    </xf>
    <xf numFmtId="41" fontId="64" fillId="0" borderId="0" xfId="0" applyNumberFormat="1" applyFont="1" applyAlignment="1">
      <alignment horizontal="center" vertical="center"/>
    </xf>
    <xf numFmtId="9" fontId="64" fillId="0" borderId="0" xfId="0" applyNumberFormat="1" applyFont="1" applyAlignment="1">
      <alignment horizontal="center" vertical="center"/>
    </xf>
    <xf numFmtId="176" fontId="89" fillId="0" borderId="0" xfId="0" applyNumberFormat="1" applyFont="1" applyAlignment="1">
      <alignment horizontal="center"/>
    </xf>
    <xf numFmtId="176" fontId="90" fillId="0" borderId="143" xfId="0" applyNumberFormat="1" applyFont="1" applyBorder="1" applyAlignment="1">
      <alignment wrapText="1"/>
    </xf>
    <xf numFmtId="176" fontId="90" fillId="0" borderId="144" xfId="0" applyNumberFormat="1" applyFont="1" applyBorder="1" applyAlignment="1">
      <alignment wrapText="1"/>
    </xf>
    <xf numFmtId="176" fontId="90" fillId="9" borderId="144" xfId="0" applyNumberFormat="1" applyFont="1" applyFill="1" applyBorder="1" applyAlignment="1">
      <alignment wrapText="1"/>
    </xf>
    <xf numFmtId="176" fontId="90" fillId="10" borderId="144" xfId="0" applyNumberFormat="1" applyFont="1" applyFill="1" applyBorder="1" applyAlignment="1">
      <alignment wrapText="1"/>
    </xf>
    <xf numFmtId="176" fontId="91" fillId="0" borderId="144" xfId="0" applyNumberFormat="1" applyFont="1" applyBorder="1" applyAlignment="1">
      <alignment wrapText="1"/>
    </xf>
    <xf numFmtId="176" fontId="90" fillId="10" borderId="144" xfId="0" applyNumberFormat="1" applyFont="1" applyFill="1" applyBorder="1" applyAlignment="1">
      <alignment horizontal="center" wrapText="1"/>
    </xf>
    <xf numFmtId="176" fontId="90" fillId="41" borderId="144" xfId="0" applyNumberFormat="1" applyFont="1" applyFill="1" applyBorder="1" applyAlignment="1">
      <alignment wrapText="1"/>
    </xf>
    <xf numFmtId="176" fontId="90" fillId="41" borderId="145" xfId="0" applyNumberFormat="1" applyFont="1" applyFill="1" applyBorder="1" applyAlignment="1">
      <alignment wrapText="1"/>
    </xf>
    <xf numFmtId="176" fontId="92" fillId="41" borderId="145" xfId="0" applyNumberFormat="1" applyFont="1" applyFill="1" applyBorder="1" applyAlignment="1">
      <alignment wrapText="1"/>
    </xf>
    <xf numFmtId="176" fontId="90" fillId="0" borderId="146" xfId="0" applyNumberFormat="1" applyFont="1" applyBorder="1" applyAlignment="1">
      <alignment wrapText="1"/>
    </xf>
    <xf numFmtId="0" fontId="53" fillId="0" borderId="0" xfId="0" applyFont="1"/>
    <xf numFmtId="176" fontId="90" fillId="0" borderId="147" xfId="0" applyNumberFormat="1" applyFont="1" applyBorder="1"/>
    <xf numFmtId="176" fontId="90" fillId="0" borderId="148" xfId="0" applyNumberFormat="1" applyFont="1" applyBorder="1" applyAlignment="1">
      <alignment horizontal="center"/>
    </xf>
    <xf numFmtId="176" fontId="90" fillId="0" borderId="14" xfId="0" applyNumberFormat="1" applyFont="1" applyBorder="1" applyAlignment="1">
      <alignment horizontal="center"/>
    </xf>
    <xf numFmtId="176" fontId="90" fillId="42" borderId="148" xfId="0" applyNumberFormat="1" applyFont="1" applyFill="1" applyBorder="1" applyAlignment="1">
      <alignment horizontal="center"/>
    </xf>
    <xf numFmtId="176" fontId="90" fillId="0" borderId="149" xfId="0" applyNumberFormat="1" applyFont="1" applyBorder="1" applyAlignment="1">
      <alignment horizontal="center"/>
    </xf>
    <xf numFmtId="10" fontId="90" fillId="0" borderId="149" xfId="0" applyNumberFormat="1" applyFont="1" applyBorder="1" applyAlignment="1">
      <alignment horizontal="center"/>
    </xf>
    <xf numFmtId="2" fontId="90" fillId="0" borderId="149" xfId="0" applyNumberFormat="1" applyFont="1" applyBorder="1" applyAlignment="1">
      <alignment horizontal="center"/>
    </xf>
    <xf numFmtId="176" fontId="90" fillId="0" borderId="150" xfId="0" applyNumberFormat="1" applyFont="1" applyBorder="1" applyAlignment="1">
      <alignment horizontal="center"/>
    </xf>
    <xf numFmtId="176" fontId="93" fillId="0" borderId="0" xfId="0" applyNumberFormat="1" applyFont="1"/>
    <xf numFmtId="176" fontId="90" fillId="0" borderId="151" xfId="0" applyNumberFormat="1" applyFont="1" applyBorder="1"/>
    <xf numFmtId="176" fontId="90" fillId="0" borderId="15" xfId="0" applyNumberFormat="1" applyFont="1" applyBorder="1" applyAlignment="1">
      <alignment horizontal="center"/>
    </xf>
    <xf numFmtId="176" fontId="90" fillId="42" borderId="14" xfId="0" applyNumberFormat="1" applyFont="1" applyFill="1" applyBorder="1" applyAlignment="1">
      <alignment horizontal="center"/>
    </xf>
    <xf numFmtId="176" fontId="90" fillId="0" borderId="19" xfId="0" applyNumberFormat="1" applyFont="1" applyBorder="1" applyAlignment="1">
      <alignment horizontal="center"/>
    </xf>
    <xf numFmtId="10" fontId="90" fillId="0" borderId="19" xfId="0" applyNumberFormat="1" applyFont="1" applyBorder="1" applyAlignment="1">
      <alignment horizontal="center"/>
    </xf>
    <xf numFmtId="0" fontId="90" fillId="0" borderId="19" xfId="0" applyFont="1" applyBorder="1" applyAlignment="1">
      <alignment horizontal="center"/>
    </xf>
    <xf numFmtId="176" fontId="90" fillId="0" borderId="152" xfId="0" applyNumberFormat="1" applyFont="1" applyBorder="1"/>
    <xf numFmtId="176" fontId="90" fillId="0" borderId="153" xfId="0" applyNumberFormat="1" applyFont="1" applyBorder="1" applyAlignment="1">
      <alignment horizontal="center"/>
    </xf>
    <xf numFmtId="176" fontId="90" fillId="0" borderId="154" xfId="0" applyNumberFormat="1" applyFont="1" applyBorder="1" applyAlignment="1">
      <alignment horizontal="center"/>
    </xf>
    <xf numFmtId="176" fontId="90" fillId="0" borderId="155" xfId="0" applyNumberFormat="1" applyFont="1" applyBorder="1" applyAlignment="1">
      <alignment horizontal="center"/>
    </xf>
    <xf numFmtId="176" fontId="94" fillId="0" borderId="0" xfId="0" applyNumberFormat="1" applyFont="1"/>
    <xf numFmtId="192" fontId="6" fillId="0" borderId="0" xfId="0" applyNumberFormat="1" applyFont="1" applyAlignment="1">
      <alignment horizontal="center" vertical="center"/>
    </xf>
    <xf numFmtId="0" fontId="6" fillId="0" borderId="0" xfId="0" applyFont="1" applyAlignment="1">
      <alignment horizontal="center" vertical="center"/>
    </xf>
    <xf numFmtId="41" fontId="6" fillId="0" borderId="0" xfId="0" applyNumberFormat="1" applyFont="1" applyAlignment="1">
      <alignment horizontal="center" vertical="center"/>
    </xf>
    <xf numFmtId="9" fontId="6" fillId="0" borderId="0" xfId="0" applyNumberFormat="1" applyFont="1" applyAlignment="1">
      <alignment horizontal="center" vertical="center"/>
    </xf>
    <xf numFmtId="177" fontId="95" fillId="0" borderId="0" xfId="0" applyNumberFormat="1" applyFont="1" applyAlignment="1">
      <alignment horizontal="center" vertical="center"/>
    </xf>
    <xf numFmtId="177" fontId="96" fillId="0" borderId="23" xfId="0" applyNumberFormat="1" applyFont="1" applyBorder="1" applyAlignment="1">
      <alignment horizontal="center" vertical="center"/>
    </xf>
    <xf numFmtId="10" fontId="96" fillId="0" borderId="23" xfId="0" applyNumberFormat="1" applyFont="1" applyBorder="1" applyAlignment="1">
      <alignment horizontal="center" vertical="center"/>
    </xf>
    <xf numFmtId="178" fontId="96" fillId="0" borderId="23" xfId="0" applyNumberFormat="1" applyFont="1" applyBorder="1" applyAlignment="1">
      <alignment horizontal="center" vertical="center"/>
    </xf>
    <xf numFmtId="177" fontId="97" fillId="0" borderId="23" xfId="0" applyNumberFormat="1" applyFont="1" applyBorder="1" applyAlignment="1">
      <alignment horizontal="center" vertical="center" wrapText="1"/>
    </xf>
    <xf numFmtId="0" fontId="35" fillId="26" borderId="23" xfId="0" applyFont="1" applyFill="1" applyBorder="1" applyAlignment="1" applyProtection="1">
      <alignment horizontal="center" vertical="center" wrapText="1"/>
      <protection locked="0"/>
    </xf>
    <xf numFmtId="0" fontId="35" fillId="43" borderId="23" xfId="0" applyFont="1" applyFill="1" applyBorder="1" applyAlignment="1" applyProtection="1">
      <alignment horizontal="center" vertical="center" wrapText="1"/>
      <protection locked="0"/>
    </xf>
    <xf numFmtId="0" fontId="98" fillId="44" borderId="156" xfId="0" applyFont="1" applyFill="1" applyBorder="1" applyAlignment="1">
      <alignment horizontal="center" vertical="center" wrapText="1"/>
    </xf>
    <xf numFmtId="0" fontId="0" fillId="0" borderId="157" xfId="0" applyBorder="1"/>
    <xf numFmtId="0" fontId="0" fillId="0" borderId="158" xfId="0" applyBorder="1"/>
    <xf numFmtId="0" fontId="99" fillId="0" borderId="23" xfId="0" applyFont="1" applyBorder="1" applyAlignment="1">
      <alignment horizontal="left" vertical="center" wrapText="1"/>
    </xf>
    <xf numFmtId="0" fontId="99" fillId="0" borderId="23" xfId="0" applyFont="1" applyBorder="1" applyAlignment="1">
      <alignment horizontal="center" vertical="center" wrapText="1"/>
    </xf>
    <xf numFmtId="0" fontId="35" fillId="45" borderId="23" xfId="0" applyFont="1" applyFill="1" applyBorder="1" applyAlignment="1" applyProtection="1">
      <alignment horizontal="center" vertical="center" wrapText="1"/>
      <protection locked="0"/>
    </xf>
    <xf numFmtId="0" fontId="35" fillId="46" borderId="23" xfId="0" applyFont="1" applyFill="1" applyBorder="1" applyAlignment="1" applyProtection="1">
      <alignment horizontal="center" vertical="center" wrapText="1"/>
      <protection locked="0"/>
    </xf>
    <xf numFmtId="188" fontId="41" fillId="40" borderId="23" xfId="0" applyNumberFormat="1" applyFont="1" applyFill="1" applyBorder="1" applyAlignment="1" applyProtection="1">
      <alignment horizontal="center" vertical="center" wrapText="1"/>
      <protection locked="0"/>
    </xf>
    <xf numFmtId="0" fontId="57" fillId="40" borderId="23" xfId="0" applyFont="1" applyFill="1" applyBorder="1" applyAlignment="1" applyProtection="1">
      <alignment horizontal="center" vertical="center" wrapText="1"/>
      <protection locked="0"/>
    </xf>
    <xf numFmtId="188" fontId="35" fillId="46" borderId="23" xfId="0" applyNumberFormat="1" applyFont="1" applyFill="1" applyBorder="1" applyAlignment="1" applyProtection="1">
      <alignment horizontal="center" vertical="center" wrapText="1"/>
      <protection locked="0"/>
    </xf>
    <xf numFmtId="188" fontId="57" fillId="40" borderId="23" xfId="0" applyNumberFormat="1" applyFont="1" applyFill="1" applyBorder="1" applyAlignment="1" applyProtection="1">
      <alignment horizontal="center" vertical="center" wrapText="1"/>
      <protection locked="0"/>
    </xf>
    <xf numFmtId="0" fontId="57" fillId="40" borderId="23" xfId="0" applyFont="1" applyFill="1" applyBorder="1" applyAlignment="1">
      <alignment horizontal="center" vertical="center" wrapText="1"/>
    </xf>
    <xf numFmtId="188" fontId="35" fillId="47" borderId="23" xfId="0" applyNumberFormat="1" applyFont="1" applyFill="1" applyBorder="1" applyAlignment="1" applyProtection="1">
      <alignment horizontal="center" vertical="center" wrapText="1"/>
      <protection locked="0"/>
    </xf>
    <xf numFmtId="188" fontId="35" fillId="48" borderId="23" xfId="0" applyNumberFormat="1" applyFont="1" applyFill="1" applyBorder="1" applyAlignment="1" applyProtection="1">
      <alignment horizontal="center" vertical="center" wrapText="1"/>
      <protection locked="0"/>
    </xf>
    <xf numFmtId="188" fontId="35" fillId="43" borderId="23" xfId="0" applyNumberFormat="1" applyFont="1" applyFill="1" applyBorder="1" applyAlignment="1" applyProtection="1">
      <alignment horizontal="center" vertical="center" wrapText="1"/>
      <protection locked="0"/>
    </xf>
    <xf numFmtId="43" fontId="96" fillId="0" borderId="0" xfId="0" applyNumberFormat="1" applyFont="1" applyAlignment="1">
      <alignment vertical="center"/>
    </xf>
    <xf numFmtId="0" fontId="99" fillId="0" borderId="60" xfId="0" applyFont="1" applyBorder="1" applyAlignment="1">
      <alignment horizontal="center" vertical="center" wrapText="1"/>
    </xf>
    <xf numFmtId="1" fontId="96" fillId="0" borderId="23" xfId="0" applyNumberFormat="1" applyFont="1" applyBorder="1" applyAlignment="1">
      <alignment horizontal="center" vertical="center"/>
    </xf>
    <xf numFmtId="1" fontId="96" fillId="0" borderId="23" xfId="0" applyNumberFormat="1" applyFont="1" applyBorder="1" applyAlignment="1">
      <alignment horizontal="left" vertical="center" wrapText="1"/>
    </xf>
    <xf numFmtId="0" fontId="35" fillId="49" borderId="23" xfId="0" applyFont="1" applyFill="1" applyBorder="1" applyAlignment="1" applyProtection="1">
      <alignment horizontal="center" vertical="center" wrapText="1"/>
      <protection locked="0"/>
    </xf>
    <xf numFmtId="0" fontId="35" fillId="50" borderId="23" xfId="0" applyFont="1" applyFill="1" applyBorder="1" applyAlignment="1" applyProtection="1">
      <alignment horizontal="center" vertical="center" wrapText="1"/>
      <protection locked="0"/>
    </xf>
    <xf numFmtId="188" fontId="35" fillId="51" borderId="23" xfId="0" applyNumberFormat="1" applyFont="1" applyFill="1" applyBorder="1" applyAlignment="1" applyProtection="1">
      <alignment horizontal="center" vertical="center" wrapText="1"/>
      <protection locked="0"/>
    </xf>
    <xf numFmtId="10" fontId="99" fillId="0" borderId="23" xfId="0" applyNumberFormat="1" applyFont="1" applyBorder="1" applyAlignment="1">
      <alignment horizontal="left" vertical="center" wrapText="1"/>
    </xf>
    <xf numFmtId="10" fontId="99" fillId="0" borderId="23" xfId="0" applyNumberFormat="1" applyFont="1" applyBorder="1" applyAlignment="1">
      <alignment horizontal="center" vertical="center" wrapText="1"/>
    </xf>
    <xf numFmtId="0" fontId="89" fillId="0" borderId="0" xfId="0" applyFont="1" applyAlignment="1" applyProtection="1">
      <alignment horizontal="left" vertical="top" wrapText="1"/>
      <protection locked="0"/>
    </xf>
    <xf numFmtId="0" fontId="0" fillId="0" borderId="0" xfId="0" applyProtection="1">
      <protection locked="0"/>
    </xf>
    <xf numFmtId="9" fontId="99" fillId="0" borderId="23" xfId="0" applyNumberFormat="1" applyFont="1" applyBorder="1" applyAlignment="1">
      <alignment horizontal="center" vertical="center" wrapText="1"/>
    </xf>
    <xf numFmtId="0" fontId="99" fillId="0" borderId="159" xfId="0" applyFont="1" applyBorder="1" applyAlignment="1">
      <alignment horizontal="left" vertical="center" wrapText="1"/>
    </xf>
    <xf numFmtId="0" fontId="99" fillId="0" borderId="159" xfId="0" applyFont="1" applyBorder="1" applyAlignment="1">
      <alignment horizontal="center" vertical="center" wrapText="1"/>
    </xf>
    <xf numFmtId="0" fontId="99" fillId="0" borderId="160" xfId="0" applyFont="1" applyBorder="1" applyAlignment="1">
      <alignment horizontal="center" vertical="center" wrapText="1"/>
    </xf>
    <xf numFmtId="0" fontId="62" fillId="0" borderId="0" xfId="0" applyFont="1" applyAlignment="1">
      <alignment vertical="center"/>
    </xf>
    <xf numFmtId="0" fontId="62" fillId="0" borderId="0" xfId="0" applyFont="1" applyAlignment="1">
      <alignment horizontal="left" vertical="center" wrapText="1"/>
    </xf>
    <xf numFmtId="0" fontId="62" fillId="0" borderId="0" xfId="0" applyFont="1" applyAlignment="1">
      <alignment vertical="center" wrapText="1"/>
    </xf>
    <xf numFmtId="177" fontId="96" fillId="0" borderId="23" xfId="0" applyNumberFormat="1" applyFont="1" applyBorder="1" applyAlignment="1">
      <alignment horizontal="center" vertical="center" wrapText="1"/>
    </xf>
    <xf numFmtId="1" fontId="96" fillId="0" borderId="23" xfId="0" applyNumberFormat="1" applyFont="1" applyBorder="1" applyAlignment="1">
      <alignment horizontal="center" vertical="center" wrapText="1"/>
    </xf>
    <xf numFmtId="10" fontId="96" fillId="0" borderId="23" xfId="0" applyNumberFormat="1" applyFont="1" applyBorder="1" applyAlignment="1">
      <alignment horizontal="center" vertical="center" wrapText="1"/>
    </xf>
    <xf numFmtId="2" fontId="96" fillId="0" borderId="23" xfId="0" applyNumberFormat="1" applyFont="1" applyBorder="1" applyAlignment="1">
      <alignment horizontal="center" vertical="center"/>
    </xf>
    <xf numFmtId="178" fontId="81" fillId="0" borderId="23" xfId="0" applyNumberFormat="1" applyFont="1" applyBorder="1" applyAlignment="1">
      <alignment horizontal="center" vertical="center"/>
    </xf>
    <xf numFmtId="177" fontId="96" fillId="0" borderId="0" xfId="0" applyNumberFormat="1" applyFont="1" applyAlignment="1">
      <alignment horizontal="center" vertical="center" wrapText="1"/>
    </xf>
    <xf numFmtId="177" fontId="100" fillId="0" borderId="0" xfId="0" applyNumberFormat="1" applyFont="1" applyAlignment="1">
      <alignment horizontal="left" vertical="center" wrapText="1"/>
    </xf>
    <xf numFmtId="10" fontId="96" fillId="0" borderId="0" xfId="0" applyNumberFormat="1" applyFont="1" applyAlignment="1">
      <alignment horizontal="right" vertical="center" wrapText="1"/>
    </xf>
    <xf numFmtId="10" fontId="96" fillId="0" borderId="0" xfId="0" applyNumberFormat="1" applyFont="1" applyAlignment="1">
      <alignment horizontal="right" vertical="center"/>
    </xf>
    <xf numFmtId="178" fontId="96" fillId="0" borderId="0" xfId="0" applyNumberFormat="1" applyFont="1" applyAlignment="1">
      <alignment horizontal="center" vertical="center"/>
    </xf>
    <xf numFmtId="1" fontId="96" fillId="0" borderId="0" xfId="0" applyNumberFormat="1" applyFont="1" applyAlignment="1">
      <alignment horizontal="center" vertical="center" wrapText="1"/>
    </xf>
    <xf numFmtId="177" fontId="96" fillId="0" borderId="0" xfId="0" applyNumberFormat="1" applyFont="1" applyAlignment="1">
      <alignment horizontal="center" vertical="center"/>
    </xf>
    <xf numFmtId="10" fontId="96" fillId="0" borderId="0" xfId="0" applyNumberFormat="1" applyFont="1" applyAlignment="1">
      <alignment horizontal="left" vertical="top" wrapText="1"/>
    </xf>
    <xf numFmtId="10" fontId="96" fillId="0" borderId="0" xfId="0" applyNumberFormat="1" applyFont="1" applyAlignment="1">
      <alignment horizontal="center" vertical="center" wrapText="1"/>
    </xf>
    <xf numFmtId="178" fontId="96" fillId="0" borderId="0" xfId="0" applyNumberFormat="1" applyFont="1" applyAlignment="1">
      <alignment horizontal="center" vertical="center" wrapText="1"/>
    </xf>
    <xf numFmtId="177" fontId="97" fillId="0" borderId="0" xfId="0" applyNumberFormat="1" applyFont="1" applyAlignment="1">
      <alignment vertical="center"/>
    </xf>
    <xf numFmtId="10" fontId="96" fillId="0" borderId="0" xfId="0" applyNumberFormat="1" applyFont="1" applyAlignment="1">
      <alignment vertical="center"/>
    </xf>
    <xf numFmtId="178" fontId="96" fillId="0" borderId="0" xfId="0" applyNumberFormat="1" applyFont="1" applyAlignment="1">
      <alignment vertical="center"/>
    </xf>
    <xf numFmtId="177" fontId="101" fillId="0" borderId="23" xfId="0" applyNumberFormat="1" applyFont="1" applyBorder="1" applyAlignment="1">
      <alignment horizontal="center" vertical="center"/>
    </xf>
    <xf numFmtId="177" fontId="101" fillId="0" borderId="0" xfId="0" applyNumberFormat="1" applyFont="1" applyAlignment="1">
      <alignment horizontal="left" vertical="center"/>
    </xf>
    <xf numFmtId="177" fontId="101" fillId="0" borderId="0" xfId="0" applyNumberFormat="1" applyFont="1" applyAlignment="1">
      <alignment horizontal="center" vertical="center"/>
    </xf>
    <xf numFmtId="178" fontId="95" fillId="0" borderId="0" xfId="0" applyNumberFormat="1" applyFont="1" applyAlignment="1">
      <alignment vertical="center"/>
    </xf>
    <xf numFmtId="0" fontId="101" fillId="0" borderId="23" xfId="0" applyFont="1" applyBorder="1" applyAlignment="1">
      <alignment horizontal="center" vertical="center"/>
    </xf>
    <xf numFmtId="183" fontId="101" fillId="0" borderId="0" xfId="0" applyNumberFormat="1" applyFont="1" applyAlignment="1">
      <alignment horizontal="center" vertical="center"/>
    </xf>
    <xf numFmtId="0" fontId="97" fillId="6" borderId="23" xfId="0" applyFont="1" applyFill="1" applyBorder="1" applyAlignment="1">
      <alignment horizontal="center" vertical="center"/>
    </xf>
    <xf numFmtId="0" fontId="102" fillId="6" borderId="23" xfId="0" applyFont="1" applyFill="1" applyBorder="1" applyAlignment="1">
      <alignment horizontal="center" vertical="center"/>
    </xf>
    <xf numFmtId="176" fontId="7" fillId="0" borderId="83" xfId="0" applyNumberFormat="1" applyFont="1" applyBorder="1"/>
    <xf numFmtId="9" fontId="102" fillId="6" borderId="23" xfId="0" applyNumberFormat="1" applyFont="1" applyFill="1" applyBorder="1" applyAlignment="1">
      <alignment horizontal="center" vertical="center" wrapText="1"/>
    </xf>
    <xf numFmtId="0" fontId="102" fillId="6" borderId="23" xfId="0" applyFont="1" applyFill="1" applyBorder="1" applyAlignment="1">
      <alignment horizontal="center" vertical="center" wrapText="1"/>
    </xf>
    <xf numFmtId="0" fontId="102" fillId="6" borderId="51" xfId="0" applyFont="1" applyFill="1" applyBorder="1" applyAlignment="1">
      <alignment vertical="center"/>
    </xf>
    <xf numFmtId="9" fontId="102" fillId="6" borderId="23" xfId="0" applyNumberFormat="1" applyFont="1" applyFill="1" applyBorder="1" applyAlignment="1">
      <alignment vertical="center"/>
    </xf>
    <xf numFmtId="9" fontId="102" fillId="6" borderId="23" xfId="0" applyNumberFormat="1" applyFont="1" applyFill="1" applyBorder="1" applyAlignment="1">
      <alignment horizontal="center" vertical="center"/>
    </xf>
    <xf numFmtId="0" fontId="102" fillId="27" borderId="23" xfId="0" applyFont="1" applyFill="1" applyBorder="1" applyAlignment="1">
      <alignment horizontal="center" vertical="center"/>
    </xf>
    <xf numFmtId="9" fontId="102" fillId="6" borderId="23" xfId="0" applyNumberFormat="1" applyFont="1" applyFill="1" applyBorder="1" applyAlignment="1">
      <alignment vertical="center" wrapText="1"/>
    </xf>
    <xf numFmtId="188" fontId="102" fillId="6" borderId="23" xfId="0" applyNumberFormat="1" applyFont="1" applyFill="1" applyBorder="1" applyAlignment="1">
      <alignment horizontal="center" vertical="center"/>
    </xf>
    <xf numFmtId="193" fontId="102" fillId="6" borderId="23" xfId="0" applyNumberFormat="1" applyFont="1" applyFill="1" applyBorder="1" applyAlignment="1">
      <alignment horizontal="center" vertical="center"/>
    </xf>
    <xf numFmtId="0" fontId="102" fillId="9" borderId="23" xfId="0" applyFont="1" applyFill="1" applyBorder="1" applyAlignment="1">
      <alignment horizontal="center" vertical="center"/>
    </xf>
    <xf numFmtId="188" fontId="102" fillId="27" borderId="23" xfId="0" applyNumberFormat="1" applyFont="1" applyFill="1" applyBorder="1" applyAlignment="1">
      <alignment horizontal="center" vertical="center"/>
    </xf>
    <xf numFmtId="188" fontId="103" fillId="6" borderId="23" xfId="0" applyNumberFormat="1" applyFont="1" applyFill="1" applyBorder="1" applyAlignment="1">
      <alignment horizontal="center" vertical="center"/>
    </xf>
    <xf numFmtId="0" fontId="102" fillId="6" borderId="83" xfId="0" applyFont="1" applyFill="1" applyBorder="1" applyAlignment="1">
      <alignment horizontal="center" vertical="center"/>
    </xf>
    <xf numFmtId="0" fontId="102" fillId="6" borderId="23" xfId="0" applyFont="1" applyFill="1" applyBorder="1" applyAlignment="1">
      <alignment vertical="center"/>
    </xf>
    <xf numFmtId="0" fontId="104" fillId="0" borderId="23" xfId="0" applyFont="1" applyBorder="1" applyAlignment="1">
      <alignment horizontal="center" vertical="center"/>
    </xf>
    <xf numFmtId="176" fontId="104" fillId="0" borderId="0" xfId="0" applyNumberFormat="1" applyFont="1" applyAlignment="1">
      <alignment vertical="center"/>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83" xfId="0" applyFont="1" applyBorder="1" applyAlignment="1">
      <alignment vertical="center"/>
    </xf>
    <xf numFmtId="176" fontId="24" fillId="0" borderId="0" xfId="0" applyNumberFormat="1" applyFont="1" applyAlignment="1">
      <alignment vertical="center"/>
    </xf>
    <xf numFmtId="176" fontId="105" fillId="52" borderId="161" xfId="0" applyNumberFormat="1" applyFont="1" applyFill="1" applyBorder="1" applyAlignment="1">
      <alignment horizontal="center" vertical="center" wrapText="1"/>
    </xf>
    <xf numFmtId="0" fontId="106" fillId="53" borderId="87" xfId="0" applyFont="1" applyFill="1" applyBorder="1" applyAlignment="1">
      <alignment horizontal="center" vertical="center"/>
    </xf>
    <xf numFmtId="0" fontId="106" fillId="53" borderId="87" xfId="0" applyFont="1" applyFill="1" applyBorder="1" applyAlignment="1">
      <alignment horizontal="center" vertical="center" wrapText="1"/>
    </xf>
    <xf numFmtId="0" fontId="107" fillId="9" borderId="87" xfId="0" applyFont="1" applyFill="1" applyBorder="1" applyAlignment="1">
      <alignment horizontal="center" vertical="center" wrapText="1"/>
    </xf>
    <xf numFmtId="0" fontId="35" fillId="54" borderId="87" xfId="0" applyFont="1" applyFill="1" applyBorder="1" applyAlignment="1">
      <alignment horizontal="center" vertical="center"/>
    </xf>
    <xf numFmtId="9" fontId="35" fillId="0" borderId="87" xfId="0" applyNumberFormat="1" applyFont="1" applyBorder="1" applyAlignment="1">
      <alignment horizontal="center" vertical="center"/>
    </xf>
    <xf numFmtId="0" fontId="57" fillId="0" borderId="87" xfId="0" applyFont="1" applyBorder="1" applyAlignment="1">
      <alignment horizontal="center" vertical="center" wrapText="1"/>
    </xf>
    <xf numFmtId="188" fontId="84" fillId="0" borderId="87" xfId="0" applyNumberFormat="1" applyFont="1" applyBorder="1" applyAlignment="1">
      <alignment horizontal="center" vertical="center" wrapText="1"/>
    </xf>
    <xf numFmtId="176" fontId="35" fillId="0" borderId="87" xfId="0" applyNumberFormat="1" applyFont="1" applyBorder="1" applyAlignment="1">
      <alignment horizontal="center" vertical="center" wrapText="1"/>
    </xf>
    <xf numFmtId="188" fontId="35" fillId="0" borderId="87" xfId="0" applyNumberFormat="1" applyFont="1" applyBorder="1" applyAlignment="1">
      <alignment horizontal="center" vertical="center" wrapText="1"/>
    </xf>
    <xf numFmtId="188" fontId="43" fillId="0" borderId="87" xfId="0" applyNumberFormat="1" applyFont="1" applyBorder="1" applyAlignment="1">
      <alignment horizontal="center" vertical="center" wrapText="1"/>
    </xf>
    <xf numFmtId="0" fontId="24" fillId="0" borderId="0" xfId="0" applyFont="1" applyAlignment="1">
      <alignment vertical="center"/>
    </xf>
    <xf numFmtId="0" fontId="24" fillId="0" borderId="0" xfId="0" applyFont="1" applyAlignment="1">
      <alignment horizontal="center" vertical="center"/>
    </xf>
    <xf numFmtId="0" fontId="24" fillId="0" borderId="83" xfId="0" applyFont="1" applyBorder="1" applyAlignment="1">
      <alignment vertical="center"/>
    </xf>
    <xf numFmtId="0" fontId="104" fillId="0" borderId="0" xfId="0" applyFont="1" applyAlignment="1">
      <alignment vertical="center"/>
    </xf>
    <xf numFmtId="0" fontId="24" fillId="0" borderId="0" xfId="0" applyFont="1" applyAlignment="1">
      <alignment horizontal="left" vertical="center"/>
    </xf>
    <xf numFmtId="0" fontId="108" fillId="0" borderId="0" xfId="0" applyFont="1" applyAlignment="1">
      <alignment vertical="center"/>
    </xf>
    <xf numFmtId="0" fontId="109" fillId="0" borderId="0" xfId="0" applyFont="1" applyAlignment="1">
      <alignment horizontal="center" vertical="center"/>
    </xf>
    <xf numFmtId="0" fontId="108" fillId="0" borderId="0" xfId="0" applyFont="1" applyAlignment="1">
      <alignment horizontal="center" vertical="center"/>
    </xf>
    <xf numFmtId="0" fontId="110" fillId="10" borderId="162" xfId="0" applyFont="1" applyFill="1" applyBorder="1" applyAlignment="1">
      <alignment horizontal="center" vertical="center"/>
    </xf>
    <xf numFmtId="0" fontId="110" fillId="0" borderId="163" xfId="0" applyFont="1" applyBorder="1" applyAlignment="1">
      <alignment horizontal="center" vertical="center"/>
    </xf>
    <xf numFmtId="0" fontId="110" fillId="55" borderId="164" xfId="0" applyFont="1" applyFill="1" applyBorder="1" applyAlignment="1">
      <alignment horizontal="center" vertical="center"/>
    </xf>
    <xf numFmtId="0" fontId="110" fillId="55" borderId="164" xfId="0" applyFont="1" applyFill="1" applyBorder="1" applyAlignment="1">
      <alignment horizontal="center" vertical="center" wrapText="1"/>
    </xf>
    <xf numFmtId="0" fontId="110" fillId="55" borderId="163" xfId="0" applyFont="1" applyFill="1" applyBorder="1" applyAlignment="1">
      <alignment horizontal="center" vertical="center" wrapText="1"/>
    </xf>
    <xf numFmtId="0" fontId="110" fillId="55" borderId="163" xfId="0" applyFont="1" applyFill="1" applyBorder="1" applyAlignment="1">
      <alignment horizontal="center" vertical="center"/>
    </xf>
    <xf numFmtId="0" fontId="110" fillId="56" borderId="163" xfId="0" applyFont="1" applyFill="1" applyBorder="1" applyAlignment="1">
      <alignment horizontal="center" vertical="center"/>
    </xf>
    <xf numFmtId="0" fontId="0" fillId="0" borderId="165" xfId="0" applyBorder="1"/>
    <xf numFmtId="0" fontId="110" fillId="57" borderId="166" xfId="0" applyFont="1" applyFill="1" applyBorder="1" applyAlignment="1">
      <alignment horizontal="center" vertical="center"/>
    </xf>
    <xf numFmtId="0" fontId="110" fillId="0" borderId="167" xfId="0" applyFont="1" applyBorder="1" applyAlignment="1">
      <alignment horizontal="center" vertical="center"/>
    </xf>
    <xf numFmtId="0" fontId="0" fillId="0" borderId="168" xfId="0" applyBorder="1"/>
    <xf numFmtId="0" fontId="0" fillId="0" borderId="169" xfId="0" applyBorder="1"/>
    <xf numFmtId="0" fontId="111" fillId="56" borderId="131" xfId="0" applyFont="1" applyFill="1" applyBorder="1" applyAlignment="1">
      <alignment horizontal="center" vertical="center" wrapText="1"/>
    </xf>
    <xf numFmtId="0" fontId="110" fillId="56" borderId="131" xfId="0" applyFont="1" applyFill="1" applyBorder="1" applyAlignment="1">
      <alignment horizontal="center" vertical="center" wrapText="1"/>
    </xf>
    <xf numFmtId="0" fontId="0" fillId="0" borderId="170" xfId="0" applyBorder="1"/>
    <xf numFmtId="0" fontId="0" fillId="0" borderId="171" xfId="0" applyBorder="1"/>
    <xf numFmtId="0" fontId="112" fillId="0" borderId="0" xfId="0" applyFont="1" applyAlignment="1">
      <alignment horizontal="center" vertical="center"/>
    </xf>
    <xf numFmtId="0" fontId="70" fillId="0" borderId="0" xfId="0" applyFont="1" applyAlignment="1">
      <alignment horizontal="center" vertical="center"/>
    </xf>
    <xf numFmtId="0" fontId="0" fillId="0" borderId="172" xfId="0" applyBorder="1"/>
    <xf numFmtId="0" fontId="0" fillId="0" borderId="173" xfId="0" applyBorder="1"/>
    <xf numFmtId="0" fontId="113" fillId="56" borderId="131" xfId="0" applyFont="1" applyFill="1" applyBorder="1" applyAlignment="1">
      <alignment horizontal="center" vertical="center" wrapText="1"/>
    </xf>
    <xf numFmtId="0" fontId="114" fillId="58" borderId="162" xfId="0" applyFont="1" applyFill="1" applyBorder="1" applyAlignment="1">
      <alignment horizontal="center" vertical="center"/>
    </xf>
    <xf numFmtId="0" fontId="114" fillId="58" borderId="163" xfId="0" applyFont="1" applyFill="1" applyBorder="1" applyAlignment="1">
      <alignment horizontal="center" vertical="center"/>
    </xf>
    <xf numFmtId="0" fontId="114" fillId="58" borderId="167" xfId="0" applyFont="1" applyFill="1" applyBorder="1" applyAlignment="1">
      <alignment horizontal="center" vertical="center"/>
    </xf>
    <xf numFmtId="0" fontId="110" fillId="10" borderId="174" xfId="0" applyFont="1" applyFill="1" applyBorder="1" applyAlignment="1">
      <alignment horizontal="center" vertical="center"/>
    </xf>
    <xf numFmtId="0" fontId="110" fillId="0" borderId="131" xfId="0" applyFont="1" applyBorder="1" applyAlignment="1">
      <alignment horizontal="center" vertical="center"/>
    </xf>
    <xf numFmtId="0" fontId="110" fillId="59" borderId="131" xfId="0" applyFont="1" applyFill="1" applyBorder="1" applyAlignment="1">
      <alignment horizontal="center" vertical="center"/>
    </xf>
    <xf numFmtId="1" fontId="110" fillId="0" borderId="131" xfId="0" applyNumberFormat="1" applyFont="1" applyBorder="1" applyAlignment="1">
      <alignment horizontal="center" vertical="center"/>
    </xf>
    <xf numFmtId="0" fontId="0" fillId="0" borderId="175" xfId="0" applyBorder="1"/>
    <xf numFmtId="0" fontId="0" fillId="0" borderId="176" xfId="0" applyBorder="1"/>
    <xf numFmtId="0" fontId="115" fillId="0" borderId="174" xfId="0" applyFont="1" applyBorder="1" applyAlignment="1">
      <alignment horizontal="center" vertical="center"/>
    </xf>
    <xf numFmtId="0" fontId="115" fillId="0" borderId="131" xfId="0" applyFont="1" applyBorder="1" applyAlignment="1">
      <alignment horizontal="center" vertical="center"/>
    </xf>
    <xf numFmtId="1" fontId="115" fillId="0" borderId="131" xfId="0" applyNumberFormat="1" applyFont="1" applyBorder="1" applyAlignment="1">
      <alignment horizontal="center" vertical="center"/>
    </xf>
    <xf numFmtId="0" fontId="115" fillId="0" borderId="177" xfId="0" applyFont="1" applyBorder="1" applyAlignment="1">
      <alignment horizontal="center" vertical="center"/>
    </xf>
    <xf numFmtId="0" fontId="113" fillId="57" borderId="131" xfId="0" applyFont="1" applyFill="1" applyBorder="1" applyAlignment="1">
      <alignment horizontal="center" vertical="center"/>
    </xf>
    <xf numFmtId="0" fontId="110" fillId="55" borderId="131" xfId="0" applyFont="1" applyFill="1" applyBorder="1" applyAlignment="1">
      <alignment horizontal="center" vertical="center"/>
    </xf>
    <xf numFmtId="0" fontId="113" fillId="0" borderId="131" xfId="0" applyFont="1" applyBorder="1" applyAlignment="1">
      <alignment horizontal="center" vertical="center"/>
    </xf>
    <xf numFmtId="1" fontId="110" fillId="57" borderId="178" xfId="0" applyNumberFormat="1" applyFont="1" applyFill="1" applyBorder="1" applyAlignment="1">
      <alignment horizontal="center" vertical="center"/>
    </xf>
    <xf numFmtId="1" fontId="113" fillId="0" borderId="177" xfId="0" applyNumberFormat="1" applyFont="1" applyBorder="1" applyAlignment="1">
      <alignment horizontal="center" vertical="center"/>
    </xf>
    <xf numFmtId="9" fontId="116" fillId="0" borderId="131" xfId="0" applyNumberFormat="1" applyFont="1" applyBorder="1" applyAlignment="1">
      <alignment horizontal="center" vertical="center"/>
    </xf>
    <xf numFmtId="0" fontId="0" fillId="0" borderId="179" xfId="0" applyBorder="1"/>
    <xf numFmtId="0" fontId="110" fillId="10" borderId="180" xfId="0" applyFont="1" applyFill="1" applyBorder="1" applyAlignment="1">
      <alignment horizontal="center" vertical="center"/>
    </xf>
    <xf numFmtId="0" fontId="110" fillId="0" borderId="181" xfId="0" applyFont="1" applyBorder="1" applyAlignment="1">
      <alignment horizontal="center" vertical="center"/>
    </xf>
    <xf numFmtId="1" fontId="110" fillId="0" borderId="181" xfId="0" applyNumberFormat="1" applyFont="1" applyBorder="1" applyAlignment="1">
      <alignment horizontal="center" vertical="center"/>
    </xf>
    <xf numFmtId="0" fontId="0" fillId="0" borderId="182" xfId="0" applyBorder="1"/>
    <xf numFmtId="0" fontId="0" fillId="0" borderId="183" xfId="0" applyBorder="1"/>
    <xf numFmtId="0" fontId="110" fillId="0" borderId="0" xfId="0" applyFont="1" applyAlignment="1">
      <alignment horizontal="center" vertical="center"/>
    </xf>
    <xf numFmtId="0" fontId="110" fillId="0" borderId="0" xfId="0" applyFont="1" applyAlignment="1">
      <alignment horizontal="center" vertical="center" wrapText="1"/>
    </xf>
    <xf numFmtId="0" fontId="111" fillId="55" borderId="164" xfId="0" applyFont="1" applyFill="1" applyBorder="1" applyAlignment="1">
      <alignment horizontal="center" vertical="center" wrapText="1"/>
    </xf>
    <xf numFmtId="1" fontId="113" fillId="56" borderId="131" xfId="0" applyNumberFormat="1" applyFont="1" applyFill="1" applyBorder="1" applyAlignment="1">
      <alignment horizontal="center" vertical="center" wrapText="1"/>
    </xf>
    <xf numFmtId="0" fontId="108" fillId="0" borderId="131" xfId="0" applyFont="1" applyBorder="1" applyAlignment="1">
      <alignment horizontal="center" vertical="center"/>
    </xf>
    <xf numFmtId="0" fontId="110" fillId="10" borderId="174" xfId="0" applyFont="1" applyFill="1" applyBorder="1" applyAlignment="1">
      <alignment horizontal="center" vertical="center" wrapText="1"/>
    </xf>
    <xf numFmtId="3" fontId="115" fillId="0" borderId="177" xfId="0" applyNumberFormat="1" applyFont="1" applyBorder="1" applyAlignment="1">
      <alignment horizontal="center" vertical="center"/>
    </xf>
    <xf numFmtId="188" fontId="110" fillId="0" borderId="181" xfId="0" applyNumberFormat="1" applyFont="1" applyBorder="1" applyAlignment="1">
      <alignment horizontal="center" vertical="center"/>
    </xf>
    <xf numFmtId="0" fontId="108" fillId="0" borderId="177" xfId="0" applyFont="1" applyBorder="1" applyAlignment="1">
      <alignment horizontal="center" vertical="center"/>
    </xf>
    <xf numFmtId="0" fontId="101" fillId="0" borderId="184" xfId="0" applyFont="1" applyBorder="1" applyAlignment="1">
      <alignment vertical="center"/>
    </xf>
    <xf numFmtId="1" fontId="108" fillId="0" borderId="131" xfId="0" applyNumberFormat="1" applyFont="1" applyBorder="1" applyAlignment="1">
      <alignment horizontal="center" vertical="center"/>
    </xf>
    <xf numFmtId="0" fontId="115" fillId="0" borderId="180" xfId="0" applyFont="1" applyBorder="1" applyAlignment="1">
      <alignment horizontal="center" vertical="center"/>
    </xf>
    <xf numFmtId="0" fontId="108" fillId="0" borderId="181" xfId="0" applyFont="1" applyBorder="1" applyAlignment="1">
      <alignment horizontal="center" vertical="center"/>
    </xf>
    <xf numFmtId="1" fontId="108" fillId="0" borderId="181" xfId="0" applyNumberFormat="1" applyFont="1" applyBorder="1" applyAlignment="1">
      <alignment horizontal="center" vertical="center"/>
    </xf>
    <xf numFmtId="0" fontId="108" fillId="0" borderId="185" xfId="0" applyFont="1" applyBorder="1" applyAlignment="1">
      <alignment horizontal="center" vertical="center"/>
    </xf>
    <xf numFmtId="0" fontId="111" fillId="56" borderId="186" xfId="0" applyFont="1" applyFill="1" applyBorder="1" applyAlignment="1">
      <alignment horizontal="center" vertical="center" wrapText="1"/>
    </xf>
    <xf numFmtId="0" fontId="113" fillId="56" borderId="131" xfId="0" applyFont="1" applyFill="1" applyBorder="1" applyAlignment="1">
      <alignment horizontal="center" vertical="center"/>
    </xf>
    <xf numFmtId="0" fontId="111" fillId="0" borderId="0" xfId="0" applyFont="1" applyAlignment="1">
      <alignment horizontal="center" vertical="center"/>
    </xf>
    <xf numFmtId="0" fontId="110" fillId="56" borderId="162" xfId="0" applyFont="1" applyFill="1" applyBorder="1" applyAlignment="1">
      <alignment horizontal="center" vertical="center"/>
    </xf>
    <xf numFmtId="0" fontId="111" fillId="55" borderId="164" xfId="0" applyFont="1" applyFill="1" applyBorder="1" applyAlignment="1">
      <alignment horizontal="center" vertical="center"/>
    </xf>
    <xf numFmtId="0" fontId="111" fillId="55" borderId="163" xfId="0" applyFont="1" applyFill="1" applyBorder="1" applyAlignment="1">
      <alignment horizontal="center" vertical="center"/>
    </xf>
    <xf numFmtId="0" fontId="110" fillId="56" borderId="131" xfId="0" applyFont="1" applyFill="1" applyBorder="1" applyAlignment="1">
      <alignment horizontal="center" vertical="center"/>
    </xf>
    <xf numFmtId="0" fontId="111" fillId="55" borderId="186" xfId="0" applyFont="1" applyFill="1" applyBorder="1" applyAlignment="1">
      <alignment horizontal="center" vertical="center"/>
    </xf>
    <xf numFmtId="0" fontId="113" fillId="56" borderId="173" xfId="0" applyFont="1" applyFill="1" applyBorder="1" applyAlignment="1">
      <alignment horizontal="center" vertical="center"/>
    </xf>
    <xf numFmtId="0" fontId="111" fillId="56" borderId="174" xfId="0" applyFont="1" applyFill="1" applyBorder="1" applyAlignment="1">
      <alignment horizontal="center" vertical="center" wrapText="1"/>
    </xf>
    <xf numFmtId="0" fontId="111" fillId="59" borderId="131" xfId="0" applyFont="1" applyFill="1" applyBorder="1" applyAlignment="1">
      <alignment horizontal="center" vertical="center"/>
    </xf>
    <xf numFmtId="0" fontId="113" fillId="59" borderId="131" xfId="0" applyFont="1" applyFill="1" applyBorder="1" applyAlignment="1">
      <alignment horizontal="center" vertical="center"/>
    </xf>
    <xf numFmtId="0" fontId="111" fillId="57" borderId="131" xfId="0" applyFont="1" applyFill="1" applyBorder="1" applyAlignment="1">
      <alignment horizontal="center" vertical="center"/>
    </xf>
    <xf numFmtId="0" fontId="110" fillId="0" borderId="186" xfId="0" applyFont="1" applyBorder="1" applyAlignment="1">
      <alignment horizontal="center" vertical="center"/>
    </xf>
    <xf numFmtId="1" fontId="110" fillId="0" borderId="177" xfId="0" applyNumberFormat="1" applyFont="1" applyBorder="1" applyAlignment="1">
      <alignment horizontal="center" vertical="center"/>
    </xf>
    <xf numFmtId="0" fontId="110" fillId="56" borderId="174" xfId="0" applyFont="1" applyFill="1" applyBorder="1" applyAlignment="1">
      <alignment horizontal="center" vertical="center"/>
    </xf>
    <xf numFmtId="0" fontId="111" fillId="0" borderId="131" xfId="0" applyFont="1" applyBorder="1" applyAlignment="1">
      <alignment horizontal="center" vertical="center"/>
    </xf>
    <xf numFmtId="0" fontId="110" fillId="56" borderId="180" xfId="0" applyFont="1" applyFill="1" applyBorder="1" applyAlignment="1">
      <alignment horizontal="center"/>
    </xf>
    <xf numFmtId="0" fontId="117" fillId="56" borderId="162" xfId="0" applyFont="1" applyFill="1" applyBorder="1" applyAlignment="1">
      <alignment horizontal="center" vertical="center"/>
    </xf>
    <xf numFmtId="0" fontId="117" fillId="0" borderId="163" xfId="0" applyFont="1" applyBorder="1" applyAlignment="1">
      <alignment horizontal="center" vertical="center"/>
    </xf>
    <xf numFmtId="0" fontId="117" fillId="55" borderId="163" xfId="0" applyFont="1" applyFill="1" applyBorder="1" applyAlignment="1">
      <alignment horizontal="center" vertical="center"/>
    </xf>
    <xf numFmtId="0" fontId="97" fillId="55" borderId="163" xfId="0" applyFont="1" applyFill="1" applyBorder="1" applyAlignment="1">
      <alignment horizontal="center" vertical="center" wrapText="1"/>
    </xf>
    <xf numFmtId="0" fontId="117" fillId="55" borderId="163" xfId="0" applyFont="1" applyFill="1" applyBorder="1" applyAlignment="1">
      <alignment horizontal="center" vertical="center" wrapText="1"/>
    </xf>
    <xf numFmtId="0" fontId="117" fillId="55" borderId="166" xfId="0" applyFont="1" applyFill="1" applyBorder="1" applyAlignment="1">
      <alignment horizontal="center" vertical="center"/>
    </xf>
    <xf numFmtId="0" fontId="108" fillId="57" borderId="163" xfId="0" applyFont="1" applyFill="1" applyBorder="1" applyAlignment="1">
      <alignment horizontal="center" vertical="center"/>
    </xf>
    <xf numFmtId="0" fontId="117" fillId="0" borderId="167" xfId="0" applyFont="1" applyBorder="1" applyAlignment="1">
      <alignment horizontal="center" vertical="center"/>
    </xf>
    <xf numFmtId="0" fontId="97" fillId="56" borderId="174" xfId="0" applyFont="1" applyFill="1" applyBorder="1" applyAlignment="1">
      <alignment horizontal="center" vertical="center" wrapText="1"/>
    </xf>
    <xf numFmtId="0" fontId="117" fillId="56" borderId="131" xfId="0" applyFont="1" applyFill="1" applyBorder="1" applyAlignment="1">
      <alignment horizontal="center" vertical="center"/>
    </xf>
    <xf numFmtId="0" fontId="117" fillId="56" borderId="174" xfId="0" applyFont="1" applyFill="1" applyBorder="1" applyAlignment="1">
      <alignment horizontal="center" vertical="center"/>
    </xf>
    <xf numFmtId="0" fontId="117" fillId="59" borderId="131" xfId="0" applyFont="1" applyFill="1" applyBorder="1" applyAlignment="1">
      <alignment horizontal="center" vertical="center"/>
    </xf>
    <xf numFmtId="0" fontId="117" fillId="0" borderId="131" xfId="0" applyFont="1" applyBorder="1" applyAlignment="1">
      <alignment horizontal="center" vertical="center"/>
    </xf>
    <xf numFmtId="1" fontId="117" fillId="0" borderId="187" xfId="0" applyNumberFormat="1" applyFont="1" applyBorder="1" applyAlignment="1">
      <alignment horizontal="center" vertical="center"/>
    </xf>
    <xf numFmtId="1" fontId="108" fillId="57" borderId="131" xfId="0" applyNumberFormat="1" applyFont="1" applyFill="1" applyBorder="1" applyAlignment="1">
      <alignment horizontal="center" vertical="center"/>
    </xf>
    <xf numFmtId="1" fontId="117" fillId="0" borderId="177" xfId="0" applyNumberFormat="1" applyFont="1" applyBorder="1" applyAlignment="1">
      <alignment horizontal="center" vertical="center"/>
    </xf>
    <xf numFmtId="0" fontId="117" fillId="57" borderId="131" xfId="0" applyFont="1" applyFill="1" applyBorder="1" applyAlignment="1">
      <alignment horizontal="center" vertical="center"/>
    </xf>
    <xf numFmtId="0" fontId="103" fillId="56" borderId="131" xfId="0" applyFont="1" applyFill="1" applyBorder="1" applyAlignment="1">
      <alignment horizontal="center" vertical="center"/>
    </xf>
    <xf numFmtId="0" fontId="117" fillId="0" borderId="174" xfId="0" applyFont="1" applyBorder="1" applyAlignment="1">
      <alignment horizontal="center" vertical="center"/>
    </xf>
    <xf numFmtId="0" fontId="117" fillId="56" borderId="180" xfId="0" applyFont="1" applyFill="1" applyBorder="1" applyAlignment="1">
      <alignment horizontal="center" vertical="center"/>
    </xf>
    <xf numFmtId="0" fontId="117" fillId="0" borderId="181" xfId="0" applyFont="1" applyBorder="1" applyAlignment="1">
      <alignment horizontal="center" vertical="center"/>
    </xf>
    <xf numFmtId="1" fontId="117" fillId="0" borderId="181" xfId="0" applyNumberFormat="1" applyFont="1" applyBorder="1" applyAlignment="1">
      <alignment horizontal="center" vertical="center"/>
    </xf>
    <xf numFmtId="0" fontId="0" fillId="0" borderId="188" xfId="0" applyBorder="1"/>
    <xf numFmtId="0" fontId="108" fillId="0" borderId="0" xfId="0" applyFont="1" applyAlignment="1">
      <alignment horizontal="center" vertical="center" wrapText="1"/>
    </xf>
    <xf numFmtId="0" fontId="118" fillId="0" borderId="0" xfId="0" applyFont="1" applyAlignment="1">
      <alignment horizontal="center" vertical="center"/>
    </xf>
    <xf numFmtId="0" fontId="117" fillId="0" borderId="0" xfId="0" applyFont="1" applyAlignment="1">
      <alignment horizontal="center" vertical="center"/>
    </xf>
    <xf numFmtId="0" fontId="97" fillId="0" borderId="0" xfId="0" applyFont="1" applyAlignment="1">
      <alignment horizontal="center" vertical="center" wrapText="1"/>
    </xf>
    <xf numFmtId="0" fontId="117" fillId="0" borderId="0" xfId="0" applyFont="1" applyAlignment="1">
      <alignment horizontal="center" vertical="center" wrapText="1"/>
    </xf>
    <xf numFmtId="0" fontId="110" fillId="60" borderId="162" xfId="0" applyFont="1" applyFill="1" applyBorder="1" applyAlignment="1">
      <alignment horizontal="center" vertical="center"/>
    </xf>
    <xf numFmtId="0" fontId="117" fillId="61" borderId="163" xfId="0" applyFont="1" applyFill="1" applyBorder="1" applyAlignment="1">
      <alignment horizontal="center" vertical="center"/>
    </xf>
    <xf numFmtId="0" fontId="97" fillId="56" borderId="163" xfId="0" applyFont="1" applyFill="1" applyBorder="1" applyAlignment="1">
      <alignment horizontal="center" vertical="center" wrapText="1"/>
    </xf>
    <xf numFmtId="0" fontId="110" fillId="56" borderId="189" xfId="0" applyFont="1" applyFill="1" applyBorder="1" applyAlignment="1">
      <alignment horizontal="center" vertical="center"/>
    </xf>
    <xf numFmtId="0" fontId="0" fillId="0" borderId="190" xfId="0" applyBorder="1"/>
    <xf numFmtId="0" fontId="108" fillId="0" borderId="163" xfId="0" applyFont="1" applyBorder="1" applyAlignment="1">
      <alignment horizontal="center" vertical="center"/>
    </xf>
    <xf numFmtId="0" fontId="117" fillId="57" borderId="163" xfId="0" applyFont="1" applyFill="1" applyBorder="1" applyAlignment="1">
      <alignment horizontal="center" vertical="center"/>
    </xf>
    <xf numFmtId="0" fontId="97" fillId="56" borderId="131" xfId="0" applyFont="1" applyFill="1" applyBorder="1" applyAlignment="1">
      <alignment horizontal="center" vertical="center" wrapText="1"/>
    </xf>
    <xf numFmtId="0" fontId="117" fillId="56" borderId="131" xfId="0" applyFont="1" applyFill="1" applyBorder="1" applyAlignment="1">
      <alignment horizontal="center" vertical="center" wrapText="1"/>
    </xf>
    <xf numFmtId="0" fontId="103" fillId="56" borderId="131" xfId="0" applyFont="1" applyFill="1" applyBorder="1" applyAlignment="1">
      <alignment horizontal="center" vertical="center" wrapText="1"/>
    </xf>
    <xf numFmtId="0" fontId="111" fillId="60" borderId="174" xfId="0" applyFont="1" applyFill="1" applyBorder="1" applyAlignment="1">
      <alignment horizontal="center" vertical="center" wrapText="1"/>
    </xf>
    <xf numFmtId="9" fontId="117" fillId="59" borderId="131" xfId="0" applyNumberFormat="1" applyFont="1" applyFill="1" applyBorder="1" applyAlignment="1">
      <alignment horizontal="center" vertical="center"/>
    </xf>
    <xf numFmtId="1" fontId="117" fillId="0" borderId="131" xfId="0" applyNumberFormat="1" applyFont="1" applyBorder="1" applyAlignment="1">
      <alignment horizontal="center" vertical="center"/>
    </xf>
    <xf numFmtId="0" fontId="119" fillId="56" borderId="131" xfId="0" applyFont="1" applyFill="1" applyBorder="1" applyAlignment="1">
      <alignment horizontal="center" vertical="center" wrapText="1"/>
    </xf>
    <xf numFmtId="0" fontId="103" fillId="57" borderId="131" xfId="0" applyFont="1" applyFill="1" applyBorder="1" applyAlignment="1">
      <alignment horizontal="center" vertical="center"/>
    </xf>
    <xf numFmtId="193" fontId="103" fillId="57" borderId="131" xfId="0" applyNumberFormat="1" applyFont="1" applyFill="1" applyBorder="1" applyAlignment="1">
      <alignment horizontal="center" vertical="center"/>
    </xf>
    <xf numFmtId="10" fontId="103" fillId="57" borderId="131" xfId="0" applyNumberFormat="1" applyFont="1" applyFill="1" applyBorder="1" applyAlignment="1">
      <alignment horizontal="center" vertical="center"/>
    </xf>
    <xf numFmtId="0" fontId="117" fillId="55" borderId="131" xfId="0" applyFont="1" applyFill="1" applyBorder="1" applyAlignment="1">
      <alignment horizontal="center" vertical="center"/>
    </xf>
    <xf numFmtId="0" fontId="103" fillId="0" borderId="131" xfId="0" applyFont="1" applyBorder="1" applyAlignment="1">
      <alignment horizontal="center" vertical="center"/>
    </xf>
    <xf numFmtId="1" fontId="117" fillId="57" borderId="131" xfId="0" applyNumberFormat="1" applyFont="1" applyFill="1" applyBorder="1" applyAlignment="1">
      <alignment horizontal="center" vertical="center"/>
    </xf>
    <xf numFmtId="1" fontId="103" fillId="0" borderId="177" xfId="0" applyNumberFormat="1" applyFont="1" applyBorder="1" applyAlignment="1">
      <alignment horizontal="center" vertical="center"/>
    </xf>
    <xf numFmtId="0" fontId="110" fillId="60" borderId="174" xfId="0" applyFont="1" applyFill="1" applyBorder="1" applyAlignment="1">
      <alignment horizontal="center" vertical="center"/>
    </xf>
    <xf numFmtId="10" fontId="116" fillId="0" borderId="131" xfId="0" applyNumberFormat="1" applyFont="1" applyBorder="1" applyAlignment="1">
      <alignment horizontal="center" vertical="center"/>
    </xf>
    <xf numFmtId="0" fontId="102" fillId="0" borderId="131" xfId="0" applyFont="1" applyBorder="1" applyAlignment="1">
      <alignment horizontal="center" vertical="center"/>
    </xf>
    <xf numFmtId="0" fontId="110" fillId="60" borderId="180" xfId="0" applyFont="1" applyFill="1" applyBorder="1" applyAlignment="1">
      <alignment horizontal="center" vertical="center"/>
    </xf>
    <xf numFmtId="1" fontId="117" fillId="0" borderId="0" xfId="0" applyNumberFormat="1" applyFont="1" applyAlignment="1">
      <alignment horizontal="center" vertical="center"/>
    </xf>
    <xf numFmtId="1" fontId="117" fillId="57" borderId="0" xfId="0" applyNumberFormat="1" applyFont="1" applyFill="1" applyAlignment="1">
      <alignment horizontal="center" vertical="center"/>
    </xf>
    <xf numFmtId="1" fontId="103" fillId="0" borderId="0" xfId="0" applyNumberFormat="1" applyFont="1" applyAlignment="1">
      <alignment horizontal="center" vertical="center"/>
    </xf>
    <xf numFmtId="4" fontId="118" fillId="0" borderId="0" xfId="0" applyNumberFormat="1" applyFont="1" applyAlignment="1">
      <alignment horizontal="center" vertical="center"/>
    </xf>
    <xf numFmtId="176" fontId="8" fillId="5" borderId="0" xfId="0" applyNumberFormat="1" applyFont="1" applyFill="1" applyAlignment="1">
      <alignment vertical="center"/>
    </xf>
    <xf numFmtId="0" fontId="7" fillId="0" borderId="191" xfId="0" applyFont="1" applyBorder="1" applyAlignment="1">
      <alignment vertical="center"/>
    </xf>
    <xf numFmtId="0" fontId="7" fillId="0" borderId="192" xfId="0" applyFont="1" applyBorder="1" applyAlignment="1">
      <alignment vertical="center"/>
    </xf>
    <xf numFmtId="0" fontId="7" fillId="0" borderId="192" xfId="0" applyFont="1" applyBorder="1" applyAlignment="1">
      <alignment horizontal="left" vertical="center"/>
    </xf>
    <xf numFmtId="0" fontId="0" fillId="0" borderId="193" xfId="0" applyBorder="1"/>
    <xf numFmtId="0" fontId="0" fillId="0" borderId="194" xfId="0" applyBorder="1"/>
    <xf numFmtId="0" fontId="7" fillId="0" borderId="47" xfId="0" applyFont="1" applyBorder="1" applyAlignment="1">
      <alignment vertical="center"/>
    </xf>
    <xf numFmtId="0" fontId="8" fillId="0" borderId="47" xfId="0" applyFont="1" applyBorder="1" applyAlignment="1">
      <alignment vertical="center"/>
    </xf>
    <xf numFmtId="0" fontId="7" fillId="0" borderId="194" xfId="0" applyFont="1" applyBorder="1" applyAlignment="1">
      <alignment vertical="center"/>
    </xf>
    <xf numFmtId="0" fontId="0" fillId="0" borderId="195" xfId="0" applyBorder="1"/>
    <xf numFmtId="0" fontId="7" fillId="0" borderId="14" xfId="0" applyFont="1" applyBorder="1" applyAlignment="1">
      <alignment vertical="center"/>
    </xf>
    <xf numFmtId="0" fontId="7" fillId="0" borderId="22" xfId="0" applyFont="1" applyBorder="1" applyAlignment="1">
      <alignment vertical="center"/>
    </xf>
    <xf numFmtId="0" fontId="8" fillId="0" borderId="22" xfId="0" applyFont="1" applyBorder="1" applyAlignment="1">
      <alignment vertical="center"/>
    </xf>
    <xf numFmtId="0" fontId="7" fillId="0" borderId="13" xfId="0" applyFont="1" applyBorder="1" applyAlignment="1">
      <alignment vertical="center"/>
    </xf>
    <xf numFmtId="0" fontId="0" fillId="0" borderId="196" xfId="0" applyBorder="1"/>
    <xf numFmtId="176" fontId="8" fillId="0" borderId="14" xfId="0" applyNumberFormat="1" applyFont="1" applyBorder="1" applyAlignment="1">
      <alignment horizontal="center" vertical="center" wrapText="1"/>
    </xf>
    <xf numFmtId="176" fontId="8" fillId="0" borderId="17" xfId="0" applyNumberFormat="1" applyFont="1" applyBorder="1" applyAlignment="1">
      <alignment horizontal="center" vertical="center" wrapText="1"/>
    </xf>
    <xf numFmtId="176" fontId="8" fillId="0" borderId="22" xfId="0" applyNumberFormat="1" applyFont="1" applyBorder="1" applyAlignment="1">
      <alignment horizontal="center" vertical="center" wrapText="1"/>
    </xf>
    <xf numFmtId="176" fontId="8" fillId="0" borderId="13" xfId="0" applyNumberFormat="1" applyFont="1" applyBorder="1" applyAlignment="1">
      <alignment horizontal="center" vertical="center" wrapText="1"/>
    </xf>
    <xf numFmtId="9" fontId="8" fillId="0" borderId="112" xfId="0" applyNumberFormat="1" applyFont="1" applyBorder="1" applyAlignment="1">
      <alignment horizontal="center" vertical="center" wrapText="1"/>
    </xf>
    <xf numFmtId="0" fontId="7" fillId="0" borderId="197" xfId="0" applyFont="1" applyBorder="1"/>
    <xf numFmtId="176" fontId="42" fillId="62" borderId="14" xfId="0" applyNumberFormat="1" applyFont="1" applyFill="1" applyBorder="1" applyAlignment="1">
      <alignment horizontal="center" vertical="center" wrapText="1"/>
    </xf>
    <xf numFmtId="9" fontId="42" fillId="62" borderId="14" xfId="0" applyNumberFormat="1" applyFont="1" applyFill="1" applyBorder="1" applyAlignment="1">
      <alignment horizontal="center" vertical="center" wrapText="1"/>
    </xf>
    <xf numFmtId="176" fontId="8" fillId="5" borderId="0" xfId="0" applyNumberFormat="1" applyFont="1" applyFill="1" applyAlignment="1">
      <alignment vertical="center" wrapText="1"/>
    </xf>
    <xf numFmtId="0" fontId="8" fillId="6" borderId="198" xfId="0" applyFont="1" applyFill="1" applyBorder="1" applyAlignment="1">
      <alignment vertical="center"/>
    </xf>
    <xf numFmtId="0" fontId="7" fillId="6" borderId="14" xfId="0" applyFont="1" applyFill="1" applyBorder="1"/>
    <xf numFmtId="176" fontId="42" fillId="23" borderId="14" xfId="0" applyNumberFormat="1" applyFont="1" applyFill="1" applyBorder="1" applyAlignment="1">
      <alignment horizontal="center" vertical="center" wrapText="1"/>
    </xf>
    <xf numFmtId="176" fontId="42" fillId="23" borderId="17" xfId="0" applyNumberFormat="1" applyFont="1" applyFill="1" applyBorder="1" applyAlignment="1">
      <alignment horizontal="center" vertical="center" wrapText="1"/>
    </xf>
    <xf numFmtId="176" fontId="42" fillId="23" borderId="22" xfId="0" applyNumberFormat="1" applyFont="1" applyFill="1" applyBorder="1" applyAlignment="1">
      <alignment horizontal="center" vertical="center" wrapText="1"/>
    </xf>
    <xf numFmtId="176" fontId="42" fillId="23" borderId="13" xfId="0" applyNumberFormat="1" applyFont="1" applyFill="1" applyBorder="1" applyAlignment="1">
      <alignment horizontal="center" vertical="center" wrapText="1"/>
    </xf>
    <xf numFmtId="9" fontId="42" fillId="23" borderId="112" xfId="0" applyNumberFormat="1" applyFont="1" applyFill="1" applyBorder="1" applyAlignment="1">
      <alignment horizontal="center" vertical="center" wrapText="1"/>
    </xf>
    <xf numFmtId="176" fontId="8" fillId="6" borderId="14" xfId="0" applyNumberFormat="1" applyFont="1" applyFill="1" applyBorder="1" applyAlignment="1">
      <alignment horizontal="left" vertical="center" wrapText="1"/>
    </xf>
    <xf numFmtId="176" fontId="42" fillId="63" borderId="14" xfId="0" applyNumberFormat="1" applyFont="1" applyFill="1" applyBorder="1" applyAlignment="1">
      <alignment horizontal="center" vertical="center" wrapText="1"/>
    </xf>
    <xf numFmtId="176" fontId="42" fillId="63" borderId="17" xfId="0" applyNumberFormat="1" applyFont="1" applyFill="1" applyBorder="1" applyAlignment="1">
      <alignment horizontal="center" vertical="center" wrapText="1"/>
    </xf>
    <xf numFmtId="176" fontId="42" fillId="63" borderId="22" xfId="0" applyNumberFormat="1" applyFont="1" applyFill="1" applyBorder="1" applyAlignment="1">
      <alignment horizontal="center" vertical="center" wrapText="1"/>
    </xf>
    <xf numFmtId="176" fontId="42" fillId="63" borderId="17" xfId="0" applyNumberFormat="1" applyFont="1" applyFill="1" applyBorder="1" applyAlignment="1">
      <alignment vertical="center" wrapText="1"/>
    </xf>
    <xf numFmtId="176" fontId="42" fillId="63" borderId="13" xfId="0" applyNumberFormat="1" applyFont="1" applyFill="1" applyBorder="1" applyAlignment="1">
      <alignment horizontal="center" vertical="center" wrapText="1"/>
    </xf>
    <xf numFmtId="9" fontId="42" fillId="63" borderId="112" xfId="0" applyNumberFormat="1" applyFont="1" applyFill="1" applyBorder="1" applyAlignment="1">
      <alignment vertical="center" wrapText="1"/>
    </xf>
    <xf numFmtId="176" fontId="42" fillId="0" borderId="14" xfId="0" applyNumberFormat="1" applyFont="1" applyBorder="1" applyAlignment="1">
      <alignment horizontal="center" vertical="center" wrapText="1"/>
    </xf>
    <xf numFmtId="176" fontId="42" fillId="0" borderId="17" xfId="0" applyNumberFormat="1" applyFont="1" applyBorder="1" applyAlignment="1">
      <alignment horizontal="center" vertical="center" wrapText="1"/>
    </xf>
    <xf numFmtId="176" fontId="42" fillId="0" borderId="22" xfId="0" applyNumberFormat="1" applyFont="1" applyBorder="1" applyAlignment="1">
      <alignment horizontal="center" vertical="center" wrapText="1"/>
    </xf>
    <xf numFmtId="176" fontId="42" fillId="0" borderId="17" xfId="0" applyNumberFormat="1" applyFont="1" applyBorder="1" applyAlignment="1">
      <alignment vertical="center" wrapText="1"/>
    </xf>
    <xf numFmtId="176" fontId="42" fillId="0" borderId="22" xfId="0" applyNumberFormat="1" applyFont="1" applyBorder="1" applyAlignment="1">
      <alignment vertical="center" wrapText="1"/>
    </xf>
    <xf numFmtId="176" fontId="42" fillId="0" borderId="13" xfId="0" applyNumberFormat="1" applyFont="1" applyBorder="1" applyAlignment="1">
      <alignment horizontal="center" vertical="center" wrapText="1"/>
    </xf>
    <xf numFmtId="9" fontId="42" fillId="0" borderId="112" xfId="0" applyNumberFormat="1" applyFont="1" applyBorder="1" applyAlignment="1">
      <alignment vertical="center" wrapText="1"/>
    </xf>
    <xf numFmtId="176" fontId="42" fillId="4" borderId="17" xfId="0" applyNumberFormat="1" applyFont="1" applyFill="1" applyBorder="1" applyAlignment="1">
      <alignment vertical="center" wrapText="1"/>
    </xf>
    <xf numFmtId="176" fontId="42" fillId="64" borderId="22" xfId="0" applyNumberFormat="1" applyFont="1" applyFill="1" applyBorder="1" applyAlignment="1">
      <alignment horizontal="center" vertical="center" wrapText="1"/>
    </xf>
    <xf numFmtId="176" fontId="42" fillId="63" borderId="22" xfId="0" applyNumberFormat="1" applyFont="1" applyFill="1" applyBorder="1" applyAlignment="1">
      <alignment vertical="center" wrapText="1"/>
    </xf>
    <xf numFmtId="176" fontId="42" fillId="5" borderId="0" xfId="0" applyNumberFormat="1" applyFont="1" applyFill="1" applyAlignment="1">
      <alignment vertical="center" wrapText="1"/>
    </xf>
    <xf numFmtId="9" fontId="42" fillId="5" borderId="0" xfId="0" applyNumberFormat="1" applyFont="1" applyFill="1" applyAlignment="1">
      <alignment vertical="center" wrapText="1"/>
    </xf>
    <xf numFmtId="0" fontId="8" fillId="6" borderId="14" xfId="0" applyFont="1" applyFill="1" applyBorder="1" applyAlignment="1">
      <alignment vertical="center"/>
    </xf>
    <xf numFmtId="176" fontId="42" fillId="6" borderId="14" xfId="0" applyNumberFormat="1" applyFont="1" applyFill="1" applyBorder="1" applyAlignment="1">
      <alignment horizontal="left" vertical="center" wrapText="1"/>
    </xf>
    <xf numFmtId="176" fontId="42" fillId="6" borderId="17" xfId="0" applyNumberFormat="1" applyFont="1" applyFill="1" applyBorder="1" applyAlignment="1">
      <alignment vertical="center" wrapText="1"/>
    </xf>
    <xf numFmtId="9" fontId="42" fillId="0" borderId="0" xfId="0" applyNumberFormat="1" applyFont="1" applyAlignment="1">
      <alignment vertical="center" wrapText="1"/>
    </xf>
    <xf numFmtId="0" fontId="7" fillId="6" borderId="14" xfId="0" applyFont="1" applyFill="1" applyBorder="1" applyAlignment="1">
      <alignment vertical="center"/>
    </xf>
    <xf numFmtId="176" fontId="42" fillId="63" borderId="14" xfId="0" applyNumberFormat="1" applyFont="1" applyFill="1" applyBorder="1" applyAlignment="1">
      <alignment vertical="center" wrapText="1"/>
    </xf>
    <xf numFmtId="176" fontId="42" fillId="63" borderId="66" xfId="0" applyNumberFormat="1" applyFont="1" applyFill="1" applyBorder="1" applyAlignment="1">
      <alignment vertical="center" wrapText="1"/>
    </xf>
    <xf numFmtId="0" fontId="8" fillId="6" borderId="197" xfId="0" applyFont="1" applyFill="1" applyBorder="1" applyAlignment="1">
      <alignment horizontal="center" vertical="center"/>
    </xf>
    <xf numFmtId="0" fontId="8" fillId="6" borderId="14" xfId="0" applyFont="1" applyFill="1" applyBorder="1" applyAlignment="1">
      <alignment horizontal="center" vertical="center"/>
    </xf>
    <xf numFmtId="176" fontId="42" fillId="6" borderId="22" xfId="0" applyNumberFormat="1" applyFont="1" applyFill="1" applyBorder="1" applyAlignment="1">
      <alignment vertical="center" wrapText="1"/>
    </xf>
    <xf numFmtId="176" fontId="42" fillId="65" borderId="14" xfId="0" applyNumberFormat="1" applyFont="1" applyFill="1" applyBorder="1" applyAlignment="1">
      <alignment horizontal="center" vertical="center" wrapText="1"/>
    </xf>
    <xf numFmtId="176" fontId="42" fillId="65" borderId="17" xfId="0" applyNumberFormat="1" applyFont="1" applyFill="1" applyBorder="1" applyAlignment="1">
      <alignment horizontal="center" vertical="center" wrapText="1"/>
    </xf>
    <xf numFmtId="176" fontId="42" fillId="65" borderId="22" xfId="0" applyNumberFormat="1" applyFont="1" applyFill="1" applyBorder="1" applyAlignment="1">
      <alignment vertical="center" wrapText="1"/>
    </xf>
    <xf numFmtId="176" fontId="42" fillId="65" borderId="14" xfId="0" applyNumberFormat="1" applyFont="1" applyFill="1" applyBorder="1" applyAlignment="1">
      <alignment vertical="center" wrapText="1"/>
    </xf>
    <xf numFmtId="176" fontId="42" fillId="65" borderId="17" xfId="0" applyNumberFormat="1" applyFont="1" applyFill="1" applyBorder="1" applyAlignment="1">
      <alignment vertical="center" wrapText="1"/>
    </xf>
    <xf numFmtId="176" fontId="42" fillId="65" borderId="22" xfId="0" applyNumberFormat="1" applyFont="1" applyFill="1" applyBorder="1" applyAlignment="1">
      <alignment horizontal="center" vertical="center" wrapText="1"/>
    </xf>
    <xf numFmtId="176" fontId="42" fillId="65" borderId="13" xfId="0" applyNumberFormat="1" applyFont="1" applyFill="1" applyBorder="1" applyAlignment="1">
      <alignment horizontal="center" vertical="center" wrapText="1"/>
    </xf>
    <xf numFmtId="9" fontId="42" fillId="65" borderId="112" xfId="0" applyNumberFormat="1" applyFont="1" applyFill="1" applyBorder="1" applyAlignment="1">
      <alignment vertical="center" wrapText="1"/>
    </xf>
    <xf numFmtId="0" fontId="7" fillId="6" borderId="14" xfId="0" applyFont="1" applyFill="1" applyBorder="1" applyAlignment="1">
      <alignment horizontal="center" vertical="center"/>
    </xf>
    <xf numFmtId="176" fontId="42" fillId="63" borderId="32" xfId="0" applyNumberFormat="1" applyFont="1" applyFill="1" applyBorder="1" applyAlignment="1">
      <alignment vertical="center" wrapText="1"/>
    </xf>
    <xf numFmtId="176" fontId="42" fillId="0" borderId="11" xfId="0" applyNumberFormat="1" applyFont="1" applyBorder="1" applyAlignment="1">
      <alignment vertical="center" wrapText="1"/>
    </xf>
    <xf numFmtId="176" fontId="42" fillId="5" borderId="14" xfId="0" applyNumberFormat="1" applyFont="1" applyFill="1" applyBorder="1" applyAlignment="1">
      <alignment horizontal="center" vertical="center" wrapText="1"/>
    </xf>
    <xf numFmtId="0" fontId="8" fillId="6" borderId="14" xfId="0" applyFont="1" applyFill="1" applyBorder="1"/>
    <xf numFmtId="0" fontId="7" fillId="6" borderId="197" xfId="0" applyFont="1" applyFill="1" applyBorder="1" applyAlignment="1">
      <alignment vertical="center"/>
    </xf>
    <xf numFmtId="176" fontId="8" fillId="23" borderId="14" xfId="0" applyNumberFormat="1" applyFont="1" applyFill="1" applyBorder="1" applyAlignment="1">
      <alignment horizontal="left" vertical="center" wrapText="1"/>
    </xf>
    <xf numFmtId="176" fontId="42" fillId="23" borderId="17" xfId="0" applyNumberFormat="1" applyFont="1" applyFill="1" applyBorder="1" applyAlignment="1">
      <alignment vertical="center" wrapText="1"/>
    </xf>
    <xf numFmtId="9" fontId="42" fillId="23" borderId="112" xfId="0" applyNumberFormat="1" applyFont="1" applyFill="1" applyBorder="1" applyAlignment="1">
      <alignment vertical="center" wrapText="1"/>
    </xf>
    <xf numFmtId="176" fontId="8" fillId="0" borderId="14" xfId="0" applyNumberFormat="1" applyFont="1" applyBorder="1" applyAlignment="1">
      <alignment horizontal="left" vertical="center" wrapText="1"/>
    </xf>
    <xf numFmtId="176" fontId="8" fillId="6" borderId="14" xfId="0" applyNumberFormat="1" applyFont="1" applyFill="1" applyBorder="1" applyAlignment="1">
      <alignment horizontal="center" vertical="center" wrapText="1"/>
    </xf>
    <xf numFmtId="176" fontId="42" fillId="23" borderId="22" xfId="0" applyNumberFormat="1" applyFont="1" applyFill="1" applyBorder="1" applyAlignment="1">
      <alignment vertical="center" wrapText="1"/>
    </xf>
    <xf numFmtId="176" fontId="42" fillId="23" borderId="14" xfId="0" applyNumberFormat="1" applyFont="1" applyFill="1" applyBorder="1" applyAlignment="1">
      <alignment vertical="center" wrapText="1"/>
    </xf>
    <xf numFmtId="176" fontId="42" fillId="6" borderId="14" xfId="0" applyNumberFormat="1" applyFont="1" applyFill="1" applyBorder="1" applyAlignment="1">
      <alignment vertical="center" wrapText="1"/>
    </xf>
    <xf numFmtId="176" fontId="42" fillId="0" borderId="14" xfId="0" applyNumberFormat="1" applyFont="1" applyBorder="1" applyAlignment="1">
      <alignment vertical="center" wrapText="1"/>
    </xf>
    <xf numFmtId="176" fontId="8" fillId="6" borderId="14" xfId="0" applyNumberFormat="1" applyFont="1" applyFill="1" applyBorder="1" applyAlignment="1">
      <alignment vertical="center" wrapText="1"/>
    </xf>
    <xf numFmtId="176" fontId="8" fillId="6" borderId="199" xfId="0" applyNumberFormat="1" applyFont="1" applyFill="1" applyBorder="1" applyAlignment="1">
      <alignment vertical="center" wrapText="1"/>
    </xf>
    <xf numFmtId="176" fontId="8" fillId="0" borderId="199" xfId="0" applyNumberFormat="1" applyFont="1" applyBorder="1" applyAlignment="1">
      <alignment horizontal="left" vertical="center" wrapText="1"/>
    </xf>
    <xf numFmtId="176" fontId="42" fillId="0" borderId="199" xfId="0" applyNumberFormat="1" applyFont="1" applyBorder="1" applyAlignment="1">
      <alignment horizontal="center" vertical="center" wrapText="1"/>
    </xf>
    <xf numFmtId="176" fontId="42" fillId="0" borderId="200" xfId="0" applyNumberFormat="1" applyFont="1" applyBorder="1" applyAlignment="1">
      <alignment horizontal="center" vertical="center" wrapText="1"/>
    </xf>
    <xf numFmtId="176" fontId="42" fillId="0" borderId="201" xfId="0" applyNumberFormat="1" applyFont="1" applyBorder="1" applyAlignment="1">
      <alignment vertical="center" wrapText="1"/>
    </xf>
    <xf numFmtId="176" fontId="42" fillId="0" borderId="200" xfId="0" applyNumberFormat="1" applyFont="1" applyBorder="1" applyAlignment="1">
      <alignment vertical="center" wrapText="1"/>
    </xf>
    <xf numFmtId="176" fontId="42" fillId="0" borderId="201" xfId="0" applyNumberFormat="1" applyFont="1" applyBorder="1" applyAlignment="1">
      <alignment horizontal="center" vertical="center" wrapText="1"/>
    </xf>
    <xf numFmtId="176" fontId="42" fillId="0" borderId="202" xfId="0" applyNumberFormat="1" applyFont="1" applyBorder="1" applyAlignment="1">
      <alignment horizontal="center" vertical="center" wrapText="1"/>
    </xf>
    <xf numFmtId="9" fontId="42" fillId="0" borderId="203" xfId="0" applyNumberFormat="1" applyFont="1" applyBorder="1" applyAlignment="1">
      <alignment vertical="center" wrapText="1"/>
    </xf>
    <xf numFmtId="176" fontId="8" fillId="5" borderId="0" xfId="0" applyNumberFormat="1" applyFont="1" applyFill="1" applyAlignment="1">
      <alignment horizontal="center" vertical="center" wrapText="1"/>
    </xf>
    <xf numFmtId="176" fontId="8" fillId="0" borderId="0" xfId="0" applyNumberFormat="1" applyFont="1" applyAlignment="1">
      <alignment horizontal="left" vertical="center" wrapText="1"/>
    </xf>
    <xf numFmtId="176" fontId="8" fillId="6" borderId="0" xfId="0" applyNumberFormat="1" applyFont="1" applyFill="1" applyAlignment="1">
      <alignment horizontal="center" vertical="center" wrapText="1"/>
    </xf>
    <xf numFmtId="176" fontId="8" fillId="6" borderId="0" xfId="0" applyNumberFormat="1" applyFont="1" applyFill="1" applyAlignment="1">
      <alignment vertical="center" wrapText="1"/>
    </xf>
    <xf numFmtId="176" fontId="8" fillId="6" borderId="0" xfId="0" applyNumberFormat="1" applyFont="1" applyFill="1" applyAlignment="1">
      <alignment horizontal="left" vertical="center" wrapText="1"/>
    </xf>
    <xf numFmtId="176" fontId="42" fillId="6" borderId="0" xfId="0" applyNumberFormat="1" applyFont="1" applyFill="1" applyAlignment="1">
      <alignment horizontal="center" vertical="center" wrapText="1"/>
    </xf>
    <xf numFmtId="176" fontId="42" fillId="6" borderId="0" xfId="0" applyNumberFormat="1" applyFont="1" applyFill="1" applyAlignment="1">
      <alignment vertical="center" wrapText="1"/>
    </xf>
    <xf numFmtId="9" fontId="42" fillId="6" borderId="0" xfId="0" applyNumberFormat="1" applyFont="1" applyFill="1" applyAlignment="1">
      <alignment vertical="center" wrapText="1"/>
    </xf>
    <xf numFmtId="9" fontId="42" fillId="6" borderId="204" xfId="0" applyNumberFormat="1" applyFont="1" applyFill="1" applyBorder="1" applyAlignment="1">
      <alignment vertical="center" wrapText="1"/>
    </xf>
    <xf numFmtId="176" fontId="42" fillId="5" borderId="73" xfId="0" applyNumberFormat="1" applyFont="1" applyFill="1" applyBorder="1" applyAlignment="1">
      <alignment vertical="center" wrapText="1"/>
    </xf>
    <xf numFmtId="176" fontId="42" fillId="5" borderId="205" xfId="0" applyNumberFormat="1" applyFont="1" applyFill="1" applyBorder="1" applyAlignment="1">
      <alignment vertical="center" wrapText="1"/>
    </xf>
    <xf numFmtId="176" fontId="42" fillId="0" borderId="205" xfId="0" applyNumberFormat="1" applyFont="1" applyBorder="1" applyAlignment="1">
      <alignment horizontal="left" vertical="center" wrapText="1"/>
    </xf>
    <xf numFmtId="0" fontId="7" fillId="0" borderId="205" xfId="0" applyFont="1" applyBorder="1"/>
    <xf numFmtId="0" fontId="8" fillId="0" borderId="205" xfId="0" applyFont="1" applyBorder="1"/>
    <xf numFmtId="176" fontId="4" fillId="5" borderId="22" xfId="0" applyNumberFormat="1" applyFont="1" applyFill="1" applyBorder="1" applyAlignment="1">
      <alignment vertical="center" wrapText="1"/>
    </xf>
    <xf numFmtId="176" fontId="4" fillId="5" borderId="14" xfId="0" applyNumberFormat="1" applyFont="1" applyFill="1" applyBorder="1" applyAlignment="1">
      <alignment vertical="center" wrapText="1"/>
    </xf>
    <xf numFmtId="176" fontId="4" fillId="2" borderId="14" xfId="0" applyNumberFormat="1" applyFont="1" applyFill="1" applyBorder="1" applyAlignment="1">
      <alignment horizontal="left" vertical="center" wrapText="1"/>
    </xf>
    <xf numFmtId="9" fontId="8" fillId="0" borderId="17" xfId="0" applyNumberFormat="1" applyFont="1" applyBorder="1" applyAlignment="1">
      <alignment horizontal="center" vertical="center" wrapText="1"/>
    </xf>
    <xf numFmtId="176" fontId="4" fillId="4" borderId="14" xfId="0" applyNumberFormat="1" applyFont="1" applyFill="1" applyBorder="1" applyAlignment="1">
      <alignment horizontal="left" vertical="center" wrapText="1"/>
    </xf>
    <xf numFmtId="176" fontId="8" fillId="4" borderId="14" xfId="0" applyNumberFormat="1" applyFont="1" applyFill="1" applyBorder="1" applyAlignment="1">
      <alignment horizontal="center" vertical="center" wrapText="1"/>
    </xf>
    <xf numFmtId="9" fontId="8" fillId="4" borderId="17" xfId="0" applyNumberFormat="1" applyFont="1" applyFill="1" applyBorder="1" applyAlignment="1">
      <alignment horizontal="center" vertical="center" wrapText="1"/>
    </xf>
    <xf numFmtId="176" fontId="42" fillId="9" borderId="0" xfId="0" applyNumberFormat="1" applyFont="1" applyFill="1" applyAlignment="1">
      <alignment vertical="center" wrapText="1"/>
    </xf>
    <xf numFmtId="176" fontId="8" fillId="9" borderId="0" xfId="0" applyNumberFormat="1" applyFont="1" applyFill="1" applyAlignment="1">
      <alignment vertical="center" wrapText="1"/>
    </xf>
    <xf numFmtId="9" fontId="8" fillId="9" borderId="0" xfId="0" applyNumberFormat="1" applyFont="1" applyFill="1" applyAlignment="1">
      <alignment vertical="center" wrapText="1"/>
    </xf>
    <xf numFmtId="0" fontId="7" fillId="66" borderId="22" xfId="0" applyFont="1" applyFill="1" applyBorder="1" applyAlignment="1">
      <alignment vertical="center"/>
    </xf>
    <xf numFmtId="176" fontId="8" fillId="0" borderId="14" xfId="0" applyNumberFormat="1" applyFont="1" applyBorder="1" applyAlignment="1">
      <alignment vertical="center"/>
    </xf>
    <xf numFmtId="176" fontId="8" fillId="0" borderId="14" xfId="0" applyNumberFormat="1" applyFont="1" applyBorder="1" applyAlignment="1">
      <alignment horizontal="left" vertical="center"/>
    </xf>
    <xf numFmtId="176" fontId="42" fillId="2" borderId="14" xfId="0" applyNumberFormat="1" applyFont="1" applyFill="1" applyBorder="1" applyAlignment="1">
      <alignment horizontal="center" vertical="center" wrapText="1"/>
    </xf>
    <xf numFmtId="0" fontId="7" fillId="0" borderId="21" xfId="0" applyFont="1" applyBorder="1"/>
    <xf numFmtId="176" fontId="42" fillId="9" borderId="17" xfId="0" applyNumberFormat="1" applyFont="1" applyFill="1" applyBorder="1" applyAlignment="1">
      <alignment vertical="center" wrapText="1"/>
    </xf>
    <xf numFmtId="9" fontId="42" fillId="23" borderId="17" xfId="0" applyNumberFormat="1" applyFont="1" applyFill="1" applyBorder="1" applyAlignment="1">
      <alignment vertical="center" wrapText="1"/>
    </xf>
    <xf numFmtId="0" fontId="7" fillId="0" borderId="50" xfId="0" applyFont="1" applyBorder="1"/>
    <xf numFmtId="0" fontId="7" fillId="0" borderId="68" xfId="0" applyFont="1" applyBorder="1"/>
    <xf numFmtId="176" fontId="42" fillId="9" borderId="14" xfId="0" applyNumberFormat="1" applyFont="1" applyFill="1" applyBorder="1" applyAlignment="1">
      <alignment horizontal="center" vertical="center" wrapText="1"/>
    </xf>
    <xf numFmtId="176" fontId="8" fillId="24" borderId="14" xfId="0" applyNumberFormat="1" applyFont="1" applyFill="1" applyBorder="1" applyAlignment="1">
      <alignment vertical="center"/>
    </xf>
    <xf numFmtId="176" fontId="8" fillId="24" borderId="14" xfId="0" applyNumberFormat="1" applyFont="1" applyFill="1" applyBorder="1" applyAlignment="1">
      <alignment horizontal="left" vertical="center"/>
    </xf>
    <xf numFmtId="176" fontId="8" fillId="24" borderId="14" xfId="0" applyNumberFormat="1" applyFont="1" applyFill="1" applyBorder="1" applyAlignment="1">
      <alignment horizontal="center" vertical="center"/>
    </xf>
    <xf numFmtId="176" fontId="8" fillId="24" borderId="17" xfId="0" applyNumberFormat="1" applyFont="1" applyFill="1" applyBorder="1" applyAlignment="1">
      <alignment vertical="center"/>
    </xf>
    <xf numFmtId="176" fontId="8" fillId="24" borderId="13" xfId="0" applyNumberFormat="1" applyFont="1" applyFill="1" applyBorder="1" applyAlignment="1">
      <alignment vertical="center"/>
    </xf>
    <xf numFmtId="176" fontId="8" fillId="24" borderId="13" xfId="0" applyNumberFormat="1" applyFont="1" applyFill="1" applyBorder="1" applyAlignment="1">
      <alignment horizontal="center" vertical="center"/>
    </xf>
    <xf numFmtId="9" fontId="8" fillId="24" borderId="17" xfId="0" applyNumberFormat="1" applyFont="1" applyFill="1" applyBorder="1" applyAlignment="1">
      <alignment vertical="center"/>
    </xf>
    <xf numFmtId="176" fontId="72" fillId="0" borderId="14" xfId="0" applyNumberFormat="1" applyFont="1" applyBorder="1" applyAlignment="1">
      <alignment vertical="center"/>
    </xf>
    <xf numFmtId="176" fontId="8" fillId="67" borderId="14" xfId="0" applyNumberFormat="1" applyFont="1" applyFill="1" applyBorder="1" applyAlignment="1">
      <alignment vertical="center"/>
    </xf>
    <xf numFmtId="176" fontId="8" fillId="67" borderId="14" xfId="0" applyNumberFormat="1" applyFont="1" applyFill="1" applyBorder="1" applyAlignment="1">
      <alignment horizontal="left" vertical="center"/>
    </xf>
    <xf numFmtId="176" fontId="8" fillId="67" borderId="14" xfId="0" applyNumberFormat="1" applyFont="1" applyFill="1" applyBorder="1" applyAlignment="1">
      <alignment horizontal="center" vertical="center"/>
    </xf>
    <xf numFmtId="176" fontId="8" fillId="67" borderId="17" xfId="0" applyNumberFormat="1" applyFont="1" applyFill="1" applyBorder="1" applyAlignment="1">
      <alignment vertical="center"/>
    </xf>
    <xf numFmtId="9" fontId="8" fillId="67" borderId="17" xfId="0" applyNumberFormat="1" applyFont="1" applyFill="1" applyBorder="1" applyAlignment="1">
      <alignment vertical="center"/>
    </xf>
    <xf numFmtId="0" fontId="7" fillId="6" borderId="22" xfId="0" applyFont="1" applyFill="1" applyBorder="1" applyAlignment="1">
      <alignment vertical="center"/>
    </xf>
    <xf numFmtId="176" fontId="8" fillId="5" borderId="75" xfId="0" applyNumberFormat="1" applyFont="1" applyFill="1" applyBorder="1" applyAlignment="1">
      <alignment vertical="center" wrapText="1"/>
    </xf>
    <xf numFmtId="176" fontId="42" fillId="5" borderId="72" xfId="0" applyNumberFormat="1" applyFont="1" applyFill="1" applyBorder="1" applyAlignment="1">
      <alignment vertical="center" wrapText="1"/>
    </xf>
    <xf numFmtId="176" fontId="42" fillId="3" borderId="72" xfId="0" applyNumberFormat="1" applyFont="1" applyFill="1" applyBorder="1" applyAlignment="1">
      <alignment horizontal="left" vertical="center" wrapText="1"/>
    </xf>
    <xf numFmtId="176" fontId="42" fillId="3" borderId="72" xfId="0" applyNumberFormat="1" applyFont="1" applyFill="1" applyBorder="1" applyAlignment="1">
      <alignment vertical="center" wrapText="1"/>
    </xf>
    <xf numFmtId="176" fontId="42" fillId="3" borderId="72" xfId="0" applyNumberFormat="1" applyFont="1" applyFill="1" applyBorder="1" applyAlignment="1">
      <alignment horizontal="center" vertical="center" wrapText="1"/>
    </xf>
    <xf numFmtId="9" fontId="42" fillId="3" borderId="41" xfId="0" applyNumberFormat="1" applyFont="1" applyFill="1" applyBorder="1" applyAlignment="1">
      <alignment vertical="center" wrapText="1"/>
    </xf>
    <xf numFmtId="176" fontId="42" fillId="0" borderId="0" xfId="0" applyNumberFormat="1" applyFont="1" applyAlignment="1">
      <alignment horizontal="left" vertical="center" wrapText="1"/>
    </xf>
    <xf numFmtId="0" fontId="8" fillId="68" borderId="22" xfId="0" applyFont="1" applyFill="1" applyBorder="1" applyAlignment="1">
      <alignment vertical="center"/>
    </xf>
    <xf numFmtId="0" fontId="0" fillId="0" borderId="206" xfId="0" applyBorder="1"/>
    <xf numFmtId="176" fontId="42" fillId="19" borderId="14" xfId="0" applyNumberFormat="1" applyFont="1" applyFill="1" applyBorder="1" applyAlignment="1">
      <alignment horizontal="center" vertical="center" wrapText="1"/>
    </xf>
    <xf numFmtId="0" fontId="0" fillId="0" borderId="11" xfId="0" applyBorder="1"/>
    <xf numFmtId="176" fontId="42" fillId="6" borderId="0" xfId="0" applyNumberFormat="1" applyFont="1" applyFill="1" applyAlignment="1">
      <alignment horizontal="left" vertical="center" wrapText="1"/>
    </xf>
    <xf numFmtId="0" fontId="120" fillId="69" borderId="0" xfId="0" applyFont="1" applyFill="1" applyAlignment="1">
      <alignment horizontal="center"/>
    </xf>
    <xf numFmtId="0" fontId="0" fillId="0" borderId="0" xfId="0" applyAlignment="1">
      <alignment wrapText="1"/>
    </xf>
    <xf numFmtId="0" fontId="121" fillId="70" borderId="0" xfId="0" applyFont="1" applyFill="1" applyAlignment="1">
      <alignment horizontal="center" vertical="center" wrapText="1"/>
    </xf>
    <xf numFmtId="0" fontId="121" fillId="71" borderId="0" xfId="0" applyFont="1" applyFill="1" applyAlignment="1">
      <alignment horizontal="center" vertical="center" wrapText="1"/>
    </xf>
    <xf numFmtId="0" fontId="46" fillId="72" borderId="0" xfId="0" applyFont="1" applyFill="1" applyAlignment="1">
      <alignment horizontal="center" vertical="center" wrapText="1"/>
    </xf>
    <xf numFmtId="0" fontId="46" fillId="73"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4"/>
  <sheetViews>
    <sheetView workbookViewId="0">
      <pane ySplit="4" topLeftCell="A5" activePane="bottomLeft" state="frozen"/>
      <selection/>
      <selection pane="bottomLeft" activeCell="A1" sqref="A1:DZ1"/>
    </sheetView>
  </sheetViews>
  <sheetFormatPr defaultColWidth="9" defaultRowHeight="16.8" outlineLevelRow="3"/>
  <cols>
    <col min="1" max="1" width="16" customWidth="1"/>
    <col min="2" max="2" width="25" customWidth="1"/>
    <col min="3" max="3" width="16" customWidth="1"/>
    <col min="4" max="4" width="23" customWidth="1"/>
    <col min="5" max="5" width="18" customWidth="1"/>
    <col min="6" max="7" width="16" customWidth="1"/>
    <col min="8" max="8" width="23" customWidth="1"/>
    <col min="9" max="12" width="16" customWidth="1"/>
    <col min="13" max="13" width="17" customWidth="1"/>
    <col min="14" max="14" width="16" customWidth="1"/>
    <col min="15" max="15" width="29" customWidth="1"/>
    <col min="16" max="16" width="22" customWidth="1"/>
    <col min="17" max="17" width="16" customWidth="1"/>
    <col min="18" max="18" width="18" customWidth="1"/>
    <col min="19" max="19" width="16" customWidth="1"/>
    <col min="20" max="20" width="18" customWidth="1"/>
    <col min="21" max="23" width="16" customWidth="1"/>
    <col min="24" max="24" width="21" customWidth="1"/>
    <col min="25" max="25" width="16" customWidth="1"/>
    <col min="26" max="26" width="19" customWidth="1"/>
    <col min="27" max="27" width="16" customWidth="1"/>
    <col min="28" max="28" width="17" customWidth="1"/>
    <col min="29" max="29" width="16" customWidth="1"/>
    <col min="30" max="30" width="30" customWidth="1"/>
    <col min="31" max="33" width="16" customWidth="1"/>
    <col min="34" max="34" width="17" customWidth="1"/>
    <col min="35" max="35" width="16" customWidth="1"/>
    <col min="36" max="36" width="36" customWidth="1"/>
    <col min="37" max="37" width="21" customWidth="1"/>
    <col min="38" max="39" width="16" customWidth="1"/>
    <col min="40" max="40" width="18" customWidth="1"/>
    <col min="41" max="51" width="16" customWidth="1"/>
    <col min="52" max="53" width="20" customWidth="1"/>
    <col min="54" max="54" width="31" customWidth="1"/>
    <col min="55" max="55" width="22" customWidth="1"/>
    <col min="56" max="56" width="28" customWidth="1"/>
    <col min="57" max="60" width="16" customWidth="1"/>
    <col min="61" max="61" width="17" customWidth="1"/>
    <col min="62" max="62" width="20" customWidth="1"/>
    <col min="63" max="68" width="16" customWidth="1"/>
    <col min="69" max="69" width="29" customWidth="1"/>
    <col min="70" max="74" width="16" customWidth="1"/>
    <col min="75" max="75" width="36" customWidth="1"/>
    <col min="76" max="76" width="22" customWidth="1"/>
    <col min="77" max="78" width="16" customWidth="1"/>
    <col min="79" max="79" width="18" customWidth="1"/>
    <col min="80" max="81" width="16" customWidth="1"/>
    <col min="82" max="82" width="18" customWidth="1"/>
    <col min="83" max="83" width="17" customWidth="1"/>
    <col min="84" max="85" width="16" customWidth="1"/>
    <col min="86" max="86" width="17" customWidth="1"/>
    <col min="87" max="90" width="16" customWidth="1"/>
    <col min="91" max="91" width="36" customWidth="1"/>
    <col min="92" max="94" width="16" customWidth="1"/>
    <col min="95" max="95" width="17" customWidth="1"/>
    <col min="96" max="97" width="16" customWidth="1"/>
    <col min="98" max="98" width="25" customWidth="1"/>
    <col min="99" max="105" width="16" customWidth="1"/>
    <col min="106" max="106" width="18" customWidth="1"/>
    <col min="107" max="109" width="16" customWidth="1"/>
    <col min="110" max="110" width="18" customWidth="1"/>
    <col min="111" max="113" width="16" customWidth="1"/>
    <col min="114" max="114" width="20" customWidth="1"/>
    <col min="115" max="115" width="16" customWidth="1"/>
    <col min="116" max="116" width="21" customWidth="1"/>
    <col min="117" max="117" width="16" customWidth="1"/>
    <col min="118" max="118" width="32" customWidth="1"/>
    <col min="119" max="119" width="17" customWidth="1"/>
    <col min="120" max="130" width="16" customWidth="1"/>
  </cols>
  <sheetData>
    <row r="1" ht="17.6" spans="1:130">
      <c r="A1" s="1431" t="s">
        <v>0</v>
      </c>
    </row>
    <row r="2" spans="1:130">
      <c r="A2" s="1432" t="s">
        <v>1</v>
      </c>
    </row>
    <row r="3" ht="28" customHeight="1" spans="1:130">
      <c r="A3" s="1433" t="s">
        <v>2</v>
      </c>
      <c r="B3" s="1433"/>
      <c r="C3" s="1433"/>
      <c r="D3" s="1434" t="s">
        <v>3</v>
      </c>
      <c r="E3" s="1433" t="s">
        <v>4</v>
      </c>
      <c r="F3" s="1433"/>
      <c r="G3" s="1433"/>
      <c r="H3" s="1433"/>
      <c r="I3" s="1434" t="s">
        <v>5</v>
      </c>
      <c r="J3" s="1434"/>
      <c r="K3" s="1433" t="s">
        <v>6</v>
      </c>
      <c r="L3" s="1433"/>
      <c r="M3" s="1434" t="s">
        <v>7</v>
      </c>
      <c r="N3" s="1434"/>
      <c r="O3" s="1433" t="s">
        <v>8</v>
      </c>
      <c r="P3" s="1434" t="s">
        <v>9</v>
      </c>
      <c r="Q3" s="1434"/>
      <c r="R3" s="1433" t="s">
        <v>10</v>
      </c>
      <c r="S3" s="1433"/>
      <c r="T3" s="1434" t="s">
        <v>11</v>
      </c>
      <c r="U3" s="1434"/>
      <c r="V3" s="1433" t="s">
        <v>12</v>
      </c>
      <c r="W3" s="1433"/>
      <c r="X3" s="1434" t="s">
        <v>13</v>
      </c>
      <c r="Y3" s="1434"/>
      <c r="Z3" s="1433" t="s">
        <v>14</v>
      </c>
      <c r="AA3" s="1433"/>
      <c r="AB3" s="1434" t="s">
        <v>15</v>
      </c>
      <c r="AC3" s="1434"/>
      <c r="AD3" s="1433" t="s">
        <v>16</v>
      </c>
      <c r="AE3" s="1434" t="s">
        <v>17</v>
      </c>
      <c r="AF3" s="1434"/>
      <c r="AG3" s="1434"/>
      <c r="AH3" s="1433" t="s">
        <v>18</v>
      </c>
      <c r="AI3" s="1433"/>
      <c r="AJ3" s="1434" t="s">
        <v>19</v>
      </c>
      <c r="AK3" s="1433" t="s">
        <v>20</v>
      </c>
      <c r="AL3" s="1433"/>
      <c r="AM3" s="1433"/>
      <c r="AN3" s="1433"/>
      <c r="AO3" s="1434" t="s">
        <v>21</v>
      </c>
      <c r="AP3" s="1434"/>
      <c r="AQ3" s="1433" t="s">
        <v>22</v>
      </c>
      <c r="AR3" s="1433"/>
      <c r="AS3" s="1434" t="s">
        <v>23</v>
      </c>
      <c r="AT3" s="1434"/>
      <c r="AU3" s="1433" t="s">
        <v>24</v>
      </c>
      <c r="AV3" s="1433"/>
      <c r="AW3" s="1434" t="s">
        <v>25</v>
      </c>
      <c r="AX3" s="1434"/>
      <c r="AY3" s="1434"/>
      <c r="AZ3" s="1433" t="s">
        <v>26</v>
      </c>
      <c r="BA3" s="1434" t="s">
        <v>27</v>
      </c>
      <c r="BB3" s="1434"/>
      <c r="BC3" s="1433" t="s">
        <v>28</v>
      </c>
      <c r="BD3" s="1433"/>
      <c r="BE3" s="1433"/>
      <c r="BF3" s="1433"/>
      <c r="BG3" s="1434" t="s">
        <v>29</v>
      </c>
      <c r="BH3" s="1434"/>
      <c r="BI3" s="1433" t="s">
        <v>30</v>
      </c>
      <c r="BJ3" s="1433"/>
      <c r="BK3" s="1433"/>
      <c r="BL3" s="1433"/>
      <c r="BM3" s="1434" t="s">
        <v>31</v>
      </c>
      <c r="BN3" s="1434"/>
      <c r="BO3" s="1434"/>
      <c r="BP3" s="1434"/>
      <c r="BQ3" s="1434"/>
      <c r="BR3" s="1433" t="s">
        <v>32</v>
      </c>
      <c r="BS3" s="1433"/>
      <c r="BT3" s="1433"/>
      <c r="BU3" s="1433"/>
      <c r="BV3" s="1433"/>
      <c r="BW3" s="1433"/>
      <c r="BX3" s="1434" t="s">
        <v>33</v>
      </c>
      <c r="BY3" s="1434"/>
      <c r="BZ3" s="1434"/>
      <c r="CA3" s="1433" t="s">
        <v>34</v>
      </c>
      <c r="CB3" s="1433"/>
      <c r="CC3" s="1433"/>
      <c r="CD3" s="1434" t="s">
        <v>35</v>
      </c>
      <c r="CE3" s="1434"/>
      <c r="CF3" s="1434"/>
      <c r="CG3" s="1434"/>
      <c r="CH3" s="1433" t="s">
        <v>36</v>
      </c>
      <c r="CI3" s="1433"/>
      <c r="CJ3" s="1433"/>
      <c r="CK3" s="1433"/>
      <c r="CL3" s="1433"/>
      <c r="CM3" s="1433"/>
      <c r="CN3" s="1433"/>
      <c r="CO3" s="1433"/>
      <c r="CP3" s="1433"/>
      <c r="CQ3" s="1434" t="s">
        <v>37</v>
      </c>
      <c r="CR3" s="1434"/>
      <c r="CS3" s="1434"/>
      <c r="CT3" s="1433" t="s">
        <v>38</v>
      </c>
      <c r="CU3" s="1434" t="s">
        <v>39</v>
      </c>
      <c r="CV3" s="1433" t="s">
        <v>40</v>
      </c>
      <c r="CW3" s="1433"/>
      <c r="CX3" s="1434" t="s">
        <v>41</v>
      </c>
      <c r="CY3" s="1434"/>
      <c r="CZ3" s="1433" t="s">
        <v>42</v>
      </c>
      <c r="DA3" s="1433"/>
      <c r="DB3" s="1434" t="s">
        <v>43</v>
      </c>
      <c r="DC3" s="1434"/>
      <c r="DD3" s="1433" t="s">
        <v>44</v>
      </c>
      <c r="DE3" s="1433"/>
      <c r="DF3" s="1434" t="s">
        <v>45</v>
      </c>
      <c r="DG3" s="1434"/>
      <c r="DH3" s="1433" t="s">
        <v>46</v>
      </c>
      <c r="DI3" s="1433"/>
      <c r="DJ3" s="1433"/>
      <c r="DK3" s="1434" t="s">
        <v>47</v>
      </c>
      <c r="DL3" s="1433" t="s">
        <v>48</v>
      </c>
      <c r="DM3" s="1433"/>
      <c r="DN3" s="1434" t="s">
        <v>49</v>
      </c>
      <c r="DO3" s="1433" t="s">
        <v>50</v>
      </c>
      <c r="DP3" s="1433"/>
      <c r="DQ3" s="1434" t="s">
        <v>51</v>
      </c>
      <c r="DR3" s="1434"/>
      <c r="DS3" s="1434"/>
      <c r="DT3" s="1433" t="s">
        <v>52</v>
      </c>
      <c r="DU3" s="1433"/>
      <c r="DV3" s="1433"/>
      <c r="DW3" s="1434" t="s">
        <v>53</v>
      </c>
      <c r="DX3" s="1433" t="s">
        <v>54</v>
      </c>
      <c r="DY3" s="1434" t="s">
        <v>55</v>
      </c>
      <c r="DZ3" s="1433" t="s">
        <v>56</v>
      </c>
    </row>
    <row r="4" ht="48" customHeight="1" spans="1:130">
      <c r="A4" s="1435" t="s">
        <v>57</v>
      </c>
      <c r="B4" s="1435" t="s">
        <v>58</v>
      </c>
      <c r="C4" s="1435" t="s">
        <v>59</v>
      </c>
      <c r="D4" s="1436" t="s">
        <v>60</v>
      </c>
      <c r="E4" s="1435" t="s">
        <v>61</v>
      </c>
      <c r="F4" s="1435" t="s">
        <v>62</v>
      </c>
      <c r="G4" s="1435" t="s">
        <v>59</v>
      </c>
      <c r="H4" s="1435" t="s">
        <v>63</v>
      </c>
      <c r="I4" s="1436" t="s">
        <v>64</v>
      </c>
      <c r="J4" s="1436" t="s">
        <v>59</v>
      </c>
      <c r="K4" s="1435" t="s">
        <v>65</v>
      </c>
      <c r="L4" s="1435" t="s">
        <v>59</v>
      </c>
      <c r="M4" s="1436" t="s">
        <v>66</v>
      </c>
      <c r="N4" s="1436" t="s">
        <v>59</v>
      </c>
      <c r="O4" s="1435" t="s">
        <v>67</v>
      </c>
      <c r="P4" s="1436" t="s">
        <v>68</v>
      </c>
      <c r="Q4" s="1436" t="s">
        <v>59</v>
      </c>
      <c r="R4" s="1435" t="s">
        <v>69</v>
      </c>
      <c r="S4" s="1435" t="s">
        <v>59</v>
      </c>
      <c r="T4" s="1436" t="s">
        <v>70</v>
      </c>
      <c r="U4" s="1436" t="s">
        <v>59</v>
      </c>
      <c r="V4" s="1435" t="s">
        <v>57</v>
      </c>
      <c r="W4" s="1435" t="s">
        <v>59</v>
      </c>
      <c r="X4" s="1436" t="s">
        <v>71</v>
      </c>
      <c r="Y4" s="1436" t="s">
        <v>59</v>
      </c>
      <c r="Z4" s="1435" t="s">
        <v>72</v>
      </c>
      <c r="AA4" s="1435" t="s">
        <v>73</v>
      </c>
      <c r="AB4" s="1436" t="s">
        <v>74</v>
      </c>
      <c r="AC4" s="1436" t="s">
        <v>59</v>
      </c>
      <c r="AD4" s="1435" t="s">
        <v>75</v>
      </c>
      <c r="AE4" s="1436" t="s">
        <v>15</v>
      </c>
      <c r="AF4" s="1436" t="s">
        <v>16</v>
      </c>
      <c r="AG4" s="1436" t="s">
        <v>76</v>
      </c>
      <c r="AH4" s="1435" t="s">
        <v>77</v>
      </c>
      <c r="AI4" s="1435" t="s">
        <v>59</v>
      </c>
      <c r="AJ4" s="1436" t="s">
        <v>78</v>
      </c>
      <c r="AK4" s="1435" t="s">
        <v>79</v>
      </c>
      <c r="AL4" s="1435" t="s">
        <v>80</v>
      </c>
      <c r="AM4" s="1435" t="s">
        <v>59</v>
      </c>
      <c r="AN4" s="1435" t="s">
        <v>81</v>
      </c>
      <c r="AO4" s="1436" t="s">
        <v>82</v>
      </c>
      <c r="AP4" s="1436" t="s">
        <v>59</v>
      </c>
      <c r="AQ4" s="1435" t="s">
        <v>83</v>
      </c>
      <c r="AR4" s="1435" t="s">
        <v>59</v>
      </c>
      <c r="AS4" s="1436" t="s">
        <v>84</v>
      </c>
      <c r="AT4" s="1436" t="s">
        <v>59</v>
      </c>
      <c r="AU4" s="1435" t="s">
        <v>85</v>
      </c>
      <c r="AV4" s="1435" t="s">
        <v>59</v>
      </c>
      <c r="AW4" s="1436" t="s">
        <v>86</v>
      </c>
      <c r="AX4" s="1436" t="s">
        <v>8</v>
      </c>
      <c r="AY4" s="1436" t="s">
        <v>87</v>
      </c>
      <c r="AZ4" s="1435" t="s">
        <v>88</v>
      </c>
      <c r="BA4" s="1436" t="s">
        <v>89</v>
      </c>
      <c r="BB4" s="1436" t="s">
        <v>90</v>
      </c>
      <c r="BC4" s="1435" t="s">
        <v>91</v>
      </c>
      <c r="BD4" s="1435" t="s">
        <v>92</v>
      </c>
      <c r="BE4" s="1435" t="s">
        <v>59</v>
      </c>
      <c r="BF4" s="1435" t="s">
        <v>93</v>
      </c>
      <c r="BG4" s="1436" t="s">
        <v>94</v>
      </c>
      <c r="BH4" s="1436" t="s">
        <v>59</v>
      </c>
      <c r="BI4" s="1435" t="s">
        <v>95</v>
      </c>
      <c r="BJ4" s="1435" t="s">
        <v>96</v>
      </c>
      <c r="BK4" s="1435" t="s">
        <v>59</v>
      </c>
      <c r="BL4" s="1435" t="s">
        <v>97</v>
      </c>
      <c r="BM4" s="1436" t="s">
        <v>98</v>
      </c>
      <c r="BN4" s="1436" t="s">
        <v>83</v>
      </c>
      <c r="BO4" s="1436" t="s">
        <v>99</v>
      </c>
      <c r="BP4" s="1436" t="s">
        <v>59</v>
      </c>
      <c r="BQ4" s="1436" t="s">
        <v>100</v>
      </c>
      <c r="BR4" s="1435" t="s">
        <v>84</v>
      </c>
      <c r="BS4" s="1435" t="s">
        <v>101</v>
      </c>
      <c r="BT4" s="1435" t="s">
        <v>102</v>
      </c>
      <c r="BU4" s="1435" t="s">
        <v>103</v>
      </c>
      <c r="BV4" s="1435" t="s">
        <v>59</v>
      </c>
      <c r="BW4" s="1435" t="s">
        <v>104</v>
      </c>
      <c r="BX4" s="1436" t="s">
        <v>105</v>
      </c>
      <c r="BY4" s="1436" t="s">
        <v>59</v>
      </c>
      <c r="BZ4" s="1436" t="s">
        <v>106</v>
      </c>
      <c r="CA4" s="1435" t="s">
        <v>107</v>
      </c>
      <c r="CB4" s="1435" t="s">
        <v>59</v>
      </c>
      <c r="CC4" s="1435" t="s">
        <v>108</v>
      </c>
      <c r="CD4" s="1436" t="s">
        <v>109</v>
      </c>
      <c r="CE4" s="1436" t="s">
        <v>110</v>
      </c>
      <c r="CF4" s="1436" t="s">
        <v>59</v>
      </c>
      <c r="CG4" s="1436" t="s">
        <v>111</v>
      </c>
      <c r="CH4" s="1435" t="s">
        <v>112</v>
      </c>
      <c r="CI4" s="1435" t="s">
        <v>113</v>
      </c>
      <c r="CJ4" s="1435" t="s">
        <v>114</v>
      </c>
      <c r="CK4" s="1435" t="s">
        <v>115</v>
      </c>
      <c r="CL4" s="1435" t="s">
        <v>116</v>
      </c>
      <c r="CM4" s="1435" t="s">
        <v>117</v>
      </c>
      <c r="CN4" s="1435" t="s">
        <v>118</v>
      </c>
      <c r="CO4" s="1435" t="s">
        <v>59</v>
      </c>
      <c r="CP4" s="1435" t="s">
        <v>119</v>
      </c>
      <c r="CQ4" s="1436" t="s">
        <v>120</v>
      </c>
      <c r="CR4" s="1436" t="s">
        <v>59</v>
      </c>
      <c r="CS4" s="1436" t="s">
        <v>121</v>
      </c>
      <c r="CT4" s="1435" t="s">
        <v>122</v>
      </c>
      <c r="CU4" s="1436" t="s">
        <v>123</v>
      </c>
      <c r="CV4" s="1435" t="s">
        <v>124</v>
      </c>
      <c r="CW4" s="1435" t="s">
        <v>59</v>
      </c>
      <c r="CX4" s="1436" t="s">
        <v>125</v>
      </c>
      <c r="CY4" s="1436" t="s">
        <v>59</v>
      </c>
      <c r="CZ4" s="1435" t="s">
        <v>126</v>
      </c>
      <c r="DA4" s="1435" t="s">
        <v>59</v>
      </c>
      <c r="DB4" s="1436" t="s">
        <v>127</v>
      </c>
      <c r="DC4" s="1436" t="s">
        <v>59</v>
      </c>
      <c r="DD4" s="1435" t="s">
        <v>128</v>
      </c>
      <c r="DE4" s="1435" t="s">
        <v>59</v>
      </c>
      <c r="DF4" s="1436" t="s">
        <v>129</v>
      </c>
      <c r="DG4" s="1436" t="s">
        <v>59</v>
      </c>
      <c r="DH4" s="1435" t="s">
        <v>130</v>
      </c>
      <c r="DI4" s="1435" t="s">
        <v>59</v>
      </c>
      <c r="DJ4" s="1435" t="s">
        <v>131</v>
      </c>
      <c r="DK4" s="1436" t="s">
        <v>132</v>
      </c>
      <c r="DL4" s="1435" t="s">
        <v>133</v>
      </c>
      <c r="DM4" s="1435" t="s">
        <v>59</v>
      </c>
      <c r="DN4" s="1436" t="s">
        <v>134</v>
      </c>
      <c r="DO4" s="1435" t="s">
        <v>135</v>
      </c>
      <c r="DP4" s="1435" t="s">
        <v>73</v>
      </c>
      <c r="DQ4" s="1436" t="s">
        <v>13</v>
      </c>
      <c r="DR4" s="1436" t="s">
        <v>50</v>
      </c>
      <c r="DS4" s="1436" t="s">
        <v>136</v>
      </c>
      <c r="DT4" s="1435" t="s">
        <v>49</v>
      </c>
      <c r="DU4" s="1435" t="s">
        <v>51</v>
      </c>
      <c r="DV4" s="1435" t="s">
        <v>137</v>
      </c>
      <c r="DW4" s="1436" t="s">
        <v>132</v>
      </c>
      <c r="DX4" s="1435" t="s">
        <v>132</v>
      </c>
      <c r="DY4" s="1436" t="s">
        <v>132</v>
      </c>
      <c r="DZ4" s="1435" t="s">
        <v>132</v>
      </c>
    </row>
  </sheetData>
  <mergeCells count="44">
    <mergeCell ref="A1:DZ1"/>
    <mergeCell ref="A2:DZ2"/>
    <mergeCell ref="A3:C3"/>
    <mergeCell ref="E3:H3"/>
    <mergeCell ref="I3:J3"/>
    <mergeCell ref="K3:L3"/>
    <mergeCell ref="M3:N3"/>
    <mergeCell ref="P3:Q3"/>
    <mergeCell ref="R3:S3"/>
    <mergeCell ref="T3:U3"/>
    <mergeCell ref="V3:W3"/>
    <mergeCell ref="X3:Y3"/>
    <mergeCell ref="Z3:AA3"/>
    <mergeCell ref="AB3:AC3"/>
    <mergeCell ref="AE3:AG3"/>
    <mergeCell ref="AH3:AI3"/>
    <mergeCell ref="AK3:AN3"/>
    <mergeCell ref="AO3:AP3"/>
    <mergeCell ref="AQ3:AR3"/>
    <mergeCell ref="AS3:AT3"/>
    <mergeCell ref="AU3:AV3"/>
    <mergeCell ref="AW3:AY3"/>
    <mergeCell ref="BA3:BB3"/>
    <mergeCell ref="BC3:BF3"/>
    <mergeCell ref="BG3:BH3"/>
    <mergeCell ref="BI3:BL3"/>
    <mergeCell ref="BM3:BQ3"/>
    <mergeCell ref="BR3:BW3"/>
    <mergeCell ref="BX3:BZ3"/>
    <mergeCell ref="CA3:CC3"/>
    <mergeCell ref="CD3:CG3"/>
    <mergeCell ref="CH3:CP3"/>
    <mergeCell ref="CQ3:CS3"/>
    <mergeCell ref="CV3:CW3"/>
    <mergeCell ref="CX3:CY3"/>
    <mergeCell ref="CZ3:DA3"/>
    <mergeCell ref="DB3:DC3"/>
    <mergeCell ref="DD3:DE3"/>
    <mergeCell ref="DF3:DG3"/>
    <mergeCell ref="DH3:DJ3"/>
    <mergeCell ref="DL3:DM3"/>
    <mergeCell ref="DO3:DP3"/>
    <mergeCell ref="DQ3:DS3"/>
    <mergeCell ref="DT3:DV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02"/>
  <sheetViews>
    <sheetView workbookViewId="0">
      <pane xSplit="3" ySplit="41" topLeftCell="D42" activePane="bottomRight" state="frozen"/>
      <selection/>
      <selection pane="topRight"/>
      <selection pane="bottomLeft"/>
      <selection pane="bottomRight" activeCell="A1" sqref="A1"/>
    </sheetView>
  </sheetViews>
  <sheetFormatPr defaultColWidth="9" defaultRowHeight="16.8"/>
  <cols>
    <col min="1" max="1" width="13.4423076923077" customWidth="1"/>
    <col min="2" max="2" width="13.8846153846154" customWidth="1"/>
    <col min="3" max="3" width="13.4423076923077" customWidth="1"/>
    <col min="4" max="4" width="10.4423076923077" customWidth="1"/>
    <col min="6" max="6" width="13.4423076923077" customWidth="1"/>
    <col min="7" max="7" width="8.44230769230769" customWidth="1"/>
    <col min="9" max="9" width="9.44230769230769" customWidth="1"/>
    <col min="10" max="10" width="8.44230769230769" customWidth="1"/>
    <col min="11" max="11" width="7.44230769230769" customWidth="1"/>
    <col min="12" max="12" width="14.4423076923077" customWidth="1"/>
    <col min="13" max="13" width="11.8846153846154" customWidth="1"/>
    <col min="14" max="14" width="11.4423076923077" customWidth="1"/>
    <col min="15" max="15" width="10.4423076923077" customWidth="1"/>
    <col min="16" max="16" width="7.44230769230769" customWidth="1"/>
    <col min="17" max="17" width="6.88461538461539" customWidth="1"/>
    <col min="18" max="18" width="9.11538461538461" customWidth="1"/>
    <col min="19" max="19" width="13" customWidth="1"/>
    <col min="20" max="20" width="12.1153846153846" customWidth="1"/>
    <col min="21" max="21" width="10.4423076923077" customWidth="1"/>
    <col min="22" max="22" width="9.88461538461538" customWidth="1"/>
    <col min="23" max="23" width="11.4423076923077" customWidth="1"/>
    <col min="24" max="24" width="13.4423076923077" customWidth="1"/>
    <col min="25" max="25" width="8" customWidth="1"/>
    <col min="26" max="26" width="10.1153846153846" customWidth="1"/>
    <col min="27" max="27" width="12" customWidth="1"/>
    <col min="28" max="28" width="17.4423076923077" customWidth="1"/>
    <col min="29" max="31" width="10.4423076923077" customWidth="1"/>
    <col min="33" max="34" width="10.4423076923077" customWidth="1"/>
    <col min="40" max="40" width="10.4423076923077" customWidth="1"/>
  </cols>
  <sheetData>
    <row r="1" ht="27.75" customHeight="1" spans="1:39">
      <c r="A1" s="1278" t="s">
        <v>138</v>
      </c>
      <c r="B1" s="1278"/>
    </row>
    <row r="2" ht="42.75" customHeight="1" spans="1:39">
      <c r="A2" s="1278" t="s">
        <v>139</v>
      </c>
      <c r="B2" s="1278"/>
      <c r="M2" s="749" t="s">
        <v>140</v>
      </c>
    </row>
    <row r="3" ht="21.75" customHeight="1" spans="1:39">
      <c r="A3" s="1279" t="s">
        <v>141</v>
      </c>
      <c r="B3" s="1280" t="s">
        <v>142</v>
      </c>
      <c r="C3" s="1281" t="s">
        <v>143</v>
      </c>
      <c r="D3" s="1280" t="s">
        <v>144</v>
      </c>
      <c r="E3" s="1282"/>
      <c r="F3" s="1283"/>
      <c r="G3" s="1284" t="s">
        <v>145</v>
      </c>
      <c r="H3" s="1282"/>
      <c r="I3" s="1283"/>
      <c r="J3" s="1284" t="s">
        <v>146</v>
      </c>
      <c r="K3" s="1282"/>
      <c r="L3" s="1283"/>
      <c r="M3" s="1285" t="s">
        <v>147</v>
      </c>
      <c r="N3" s="1282"/>
      <c r="O3" s="1283"/>
      <c r="P3" s="1284" t="s">
        <v>144</v>
      </c>
      <c r="Q3" s="1282"/>
      <c r="R3" s="1283"/>
      <c r="S3" s="1284" t="s">
        <v>144</v>
      </c>
      <c r="T3" s="1282"/>
      <c r="U3" s="1283"/>
      <c r="V3" s="1284" t="s">
        <v>144</v>
      </c>
      <c r="W3" s="1282"/>
      <c r="X3" s="1283"/>
      <c r="Y3" s="1286" t="s">
        <v>148</v>
      </c>
      <c r="Z3" s="1282"/>
      <c r="AA3" s="1283"/>
    </row>
    <row r="4" ht="15" customHeight="1" spans="1:39">
      <c r="A4" s="1287"/>
      <c r="B4" s="143"/>
      <c r="C4" s="143"/>
      <c r="D4" s="1288" t="s">
        <v>149</v>
      </c>
      <c r="E4" s="457"/>
      <c r="F4" s="467"/>
      <c r="G4" s="1289" t="s">
        <v>150</v>
      </c>
      <c r="H4" s="457"/>
      <c r="I4" s="467"/>
      <c r="J4" s="1289" t="s">
        <v>150</v>
      </c>
      <c r="K4" s="457"/>
      <c r="L4" s="467"/>
      <c r="M4" s="1289"/>
      <c r="N4" s="457"/>
      <c r="O4" s="467"/>
      <c r="P4" s="1290" t="s">
        <v>151</v>
      </c>
      <c r="Q4" s="457"/>
      <c r="R4" s="467"/>
      <c r="S4" s="1290" t="s">
        <v>152</v>
      </c>
      <c r="T4" s="457"/>
      <c r="U4" s="467"/>
      <c r="V4" s="1290" t="s">
        <v>153</v>
      </c>
      <c r="W4" s="457"/>
      <c r="X4" s="467"/>
      <c r="Y4" s="1291" t="s">
        <v>154</v>
      </c>
      <c r="Z4" s="457"/>
      <c r="AA4" s="467"/>
    </row>
    <row r="5" spans="1:39">
      <c r="A5" s="1292"/>
      <c r="B5" s="700"/>
      <c r="C5" s="700"/>
      <c r="D5" s="1293" t="s">
        <v>155</v>
      </c>
      <c r="E5" s="1293" t="s">
        <v>156</v>
      </c>
      <c r="F5" s="1294" t="s">
        <v>157</v>
      </c>
      <c r="G5" s="1295" t="s">
        <v>155</v>
      </c>
      <c r="H5" s="1293" t="s">
        <v>156</v>
      </c>
      <c r="I5" s="1294" t="s">
        <v>157</v>
      </c>
      <c r="J5" s="1295" t="s">
        <v>155</v>
      </c>
      <c r="K5" s="1293" t="s">
        <v>156</v>
      </c>
      <c r="L5" s="1294" t="s">
        <v>157</v>
      </c>
      <c r="M5" s="1295" t="s">
        <v>155</v>
      </c>
      <c r="N5" s="1293" t="s">
        <v>156</v>
      </c>
      <c r="O5" s="1294" t="s">
        <v>157</v>
      </c>
      <c r="P5" s="1295" t="s">
        <v>155</v>
      </c>
      <c r="Q5" s="1293" t="s">
        <v>156</v>
      </c>
      <c r="R5" s="1294" t="s">
        <v>157</v>
      </c>
      <c r="S5" s="1295" t="s">
        <v>155</v>
      </c>
      <c r="T5" s="1293" t="s">
        <v>156</v>
      </c>
      <c r="U5" s="1294" t="s">
        <v>157</v>
      </c>
      <c r="V5" s="1295" t="s">
        <v>155</v>
      </c>
      <c r="W5" s="1293" t="s">
        <v>156</v>
      </c>
      <c r="X5" s="1294" t="s">
        <v>158</v>
      </c>
      <c r="Y5" s="1296" t="s">
        <v>155</v>
      </c>
      <c r="Z5" s="1293" t="s">
        <v>156</v>
      </c>
      <c r="AA5" s="1297" t="s">
        <v>157</v>
      </c>
    </row>
    <row r="6" ht="27" customHeight="1" spans="1:39">
      <c r="A6" s="1298" t="s">
        <v>159</v>
      </c>
      <c r="B6" s="457"/>
      <c r="C6" s="467"/>
      <c r="D6" s="1299">
        <f t="shared" ref="D6:AA6" si="0">D7+D40+D55+D78</f>
        <v>0</v>
      </c>
      <c r="E6" s="1299">
        <f t="shared" si="0"/>
        <v>0</v>
      </c>
      <c r="F6" s="1299">
        <f t="shared" si="0"/>
        <v>5</v>
      </c>
      <c r="G6" s="1299">
        <f t="shared" si="0"/>
        <v>0</v>
      </c>
      <c r="H6" s="1299">
        <f t="shared" si="0"/>
        <v>0</v>
      </c>
      <c r="I6" s="1299">
        <f t="shared" si="0"/>
        <v>15</v>
      </c>
      <c r="J6" s="1299">
        <f t="shared" si="0"/>
        <v>0</v>
      </c>
      <c r="K6" s="1299">
        <f t="shared" si="0"/>
        <v>0</v>
      </c>
      <c r="L6" s="1299">
        <f t="shared" si="0"/>
        <v>16</v>
      </c>
      <c r="M6" s="1299">
        <f t="shared" si="0"/>
        <v>0</v>
      </c>
      <c r="N6" s="1299">
        <f t="shared" si="0"/>
        <v>0</v>
      </c>
      <c r="O6" s="1299">
        <f t="shared" si="0"/>
        <v>17</v>
      </c>
      <c r="P6" s="1299">
        <f t="shared" si="0"/>
        <v>0</v>
      </c>
      <c r="Q6" s="1299">
        <f t="shared" si="0"/>
        <v>0</v>
      </c>
      <c r="R6" s="1299">
        <f t="shared" si="0"/>
        <v>2</v>
      </c>
      <c r="S6" s="1299">
        <f t="shared" si="0"/>
        <v>0</v>
      </c>
      <c r="T6" s="1299">
        <f t="shared" si="0"/>
        <v>0</v>
      </c>
      <c r="U6" s="1299">
        <f t="shared" si="0"/>
        <v>4</v>
      </c>
      <c r="V6" s="1299">
        <f t="shared" si="0"/>
        <v>0</v>
      </c>
      <c r="W6" s="1299">
        <f t="shared" si="0"/>
        <v>0</v>
      </c>
      <c r="X6" s="1299">
        <f t="shared" si="0"/>
        <v>4</v>
      </c>
      <c r="Y6" s="1299">
        <f t="shared" si="0"/>
        <v>0</v>
      </c>
      <c r="Z6" s="1299">
        <f t="shared" si="0"/>
        <v>0</v>
      </c>
      <c r="AA6" s="1300">
        <f t="shared" si="0"/>
        <v>5</v>
      </c>
      <c r="AB6" s="1301" t="s">
        <v>160</v>
      </c>
    </row>
    <row r="7" ht="17.85" customHeight="1" spans="1:39">
      <c r="A7" s="1302" t="s">
        <v>161</v>
      </c>
      <c r="B7" s="1303" t="s">
        <v>162</v>
      </c>
      <c r="C7" s="467"/>
      <c r="D7" s="1304">
        <f>D8+D27</f>
        <v>0</v>
      </c>
      <c r="E7" s="1304">
        <f>E8+E27</f>
        <v>0</v>
      </c>
      <c r="F7" s="1305">
        <f t="shared" ref="F7:F24" si="1">IF(D7=0,1,E7/D7)</f>
        <v>1</v>
      </c>
      <c r="G7" s="1306">
        <f t="shared" ref="G7:AA7" si="2">G8+G16+G28</f>
        <v>0</v>
      </c>
      <c r="H7" s="1304">
        <f t="shared" si="2"/>
        <v>0</v>
      </c>
      <c r="I7" s="1305">
        <f t="shared" si="2"/>
        <v>12</v>
      </c>
      <c r="J7" s="1306">
        <f t="shared" si="2"/>
        <v>0</v>
      </c>
      <c r="K7" s="1304">
        <f t="shared" si="2"/>
        <v>0</v>
      </c>
      <c r="L7" s="1305">
        <f t="shared" si="2"/>
        <v>13</v>
      </c>
      <c r="M7" s="1306">
        <f t="shared" si="2"/>
        <v>0</v>
      </c>
      <c r="N7" s="1304">
        <f t="shared" si="2"/>
        <v>0</v>
      </c>
      <c r="O7" s="1305">
        <f t="shared" si="2"/>
        <v>13</v>
      </c>
      <c r="P7" s="1306">
        <f t="shared" si="2"/>
        <v>0</v>
      </c>
      <c r="Q7" s="1304">
        <f t="shared" si="2"/>
        <v>0</v>
      </c>
      <c r="R7" s="1305">
        <f t="shared" si="2"/>
        <v>2</v>
      </c>
      <c r="S7" s="1306">
        <f t="shared" si="2"/>
        <v>0</v>
      </c>
      <c r="T7" s="1304">
        <f t="shared" si="2"/>
        <v>0</v>
      </c>
      <c r="U7" s="1305">
        <f t="shared" si="2"/>
        <v>2</v>
      </c>
      <c r="V7" s="1306">
        <f t="shared" si="2"/>
        <v>0</v>
      </c>
      <c r="W7" s="1304">
        <f t="shared" si="2"/>
        <v>0</v>
      </c>
      <c r="X7" s="1305">
        <f t="shared" si="2"/>
        <v>2</v>
      </c>
      <c r="Y7" s="1307">
        <f t="shared" si="2"/>
        <v>0</v>
      </c>
      <c r="Z7" s="1304">
        <f t="shared" si="2"/>
        <v>0</v>
      </c>
      <c r="AA7" s="1308">
        <f t="shared" si="2"/>
        <v>2</v>
      </c>
    </row>
    <row r="8" ht="15" customHeight="1" spans="1:39">
      <c r="A8" s="1287"/>
      <c r="B8" s="1303"/>
      <c r="C8" s="1309" t="s">
        <v>163</v>
      </c>
      <c r="D8" s="1310">
        <f>SUM(D9:D15)</f>
        <v>0</v>
      </c>
      <c r="E8" s="1310">
        <f>SUM(E9:E15)</f>
        <v>0</v>
      </c>
      <c r="F8" s="1311">
        <f t="shared" si="1"/>
        <v>1</v>
      </c>
      <c r="G8" s="1312">
        <f>SUM(G9:G15)</f>
        <v>0</v>
      </c>
      <c r="H8" s="1310">
        <f>SUM(H9:H15)</f>
        <v>0</v>
      </c>
      <c r="I8" s="1313">
        <f>IF(G8=0,1,H8/G8)</f>
        <v>1</v>
      </c>
      <c r="J8" s="1312">
        <f>SUM(J9:J15)</f>
        <v>0</v>
      </c>
      <c r="K8" s="1310">
        <f>SUM(K9:K15)</f>
        <v>0</v>
      </c>
      <c r="L8" s="1313">
        <f t="shared" ref="L8:L21" si="3">IF(J8=0,1,K8/J8)</f>
        <v>1</v>
      </c>
      <c r="M8" s="1312">
        <f>SUM(M9:M15)</f>
        <v>0</v>
      </c>
      <c r="N8" s="1310">
        <f>SUM(N9:N15)</f>
        <v>0</v>
      </c>
      <c r="O8" s="1313">
        <f t="shared" ref="O8:O23" si="4">IF(M8=0,1,N8/M8)</f>
        <v>1</v>
      </c>
      <c r="P8" s="1312">
        <f>SUM(P9:P15)</f>
        <v>0</v>
      </c>
      <c r="Q8" s="1310">
        <f>SUM(Q9:Q15)</f>
        <v>0</v>
      </c>
      <c r="R8" s="1313">
        <f t="shared" ref="R8:R16" si="5">IF(P8=0,1,Q8/P8)</f>
        <v>1</v>
      </c>
      <c r="S8" s="1312">
        <f>SUM(S9:S15)</f>
        <v>0</v>
      </c>
      <c r="T8" s="1310">
        <f>SUM(T9:T15)</f>
        <v>0</v>
      </c>
      <c r="U8" s="1313">
        <f>IF(S8=0,1,T8/S8)</f>
        <v>1</v>
      </c>
      <c r="V8" s="1312">
        <f>SUM(V9:V15)</f>
        <v>0</v>
      </c>
      <c r="W8" s="1310">
        <f>SUM(W9:W15)</f>
        <v>0</v>
      </c>
      <c r="X8" s="1313">
        <f>IF(V8=0,1,W8/V8)</f>
        <v>1</v>
      </c>
      <c r="Y8" s="1314">
        <f>SUM(Y9:Y15)</f>
        <v>0</v>
      </c>
      <c r="Z8" s="1310">
        <f>SUM(Z9:Z15)</f>
        <v>0</v>
      </c>
      <c r="AA8" s="1315">
        <f>IF(Y8=0,1,Z8/Y8)</f>
        <v>1</v>
      </c>
    </row>
    <row r="9" ht="12.9" customHeight="1" spans="1:39">
      <c r="A9" s="1287"/>
      <c r="B9" s="143"/>
      <c r="C9" s="1309"/>
      <c r="D9" s="1316"/>
      <c r="E9" s="1316"/>
      <c r="F9" s="1317">
        <f t="shared" si="1"/>
        <v>1</v>
      </c>
      <c r="G9" s="1318"/>
      <c r="H9" s="1316"/>
      <c r="I9" s="1319">
        <f t="shared" ref="I9:I14" si="6">IF(J9=0,1,H9/J9)</f>
        <v>1</v>
      </c>
      <c r="J9" s="1320"/>
      <c r="K9" s="1316"/>
      <c r="L9" s="1319">
        <f t="shared" si="3"/>
        <v>1</v>
      </c>
      <c r="M9" s="1320"/>
      <c r="N9" s="1316"/>
      <c r="O9" s="1319">
        <f t="shared" si="4"/>
        <v>1</v>
      </c>
      <c r="P9" s="1320"/>
      <c r="Q9" s="1316"/>
      <c r="R9" s="1319">
        <f t="shared" si="5"/>
        <v>1</v>
      </c>
      <c r="S9" s="1320"/>
      <c r="T9" s="1316"/>
      <c r="U9" s="1319"/>
      <c r="V9" s="1318"/>
      <c r="W9" s="1316"/>
      <c r="X9" s="1319"/>
      <c r="Y9" s="1321">
        <f t="shared" ref="Y9:Y15" si="7">J9+G9+M9</f>
        <v>0</v>
      </c>
      <c r="Z9" s="1316"/>
      <c r="AA9" s="1322">
        <f t="shared" ref="AA9:AA14" si="8">IF(IF(Y9=0,1,Z9/Y9)&gt;1,1,IF(Y9=0,1,Z9/Y9))</f>
        <v>1</v>
      </c>
    </row>
    <row r="10" ht="12.9" customHeight="1" spans="1:39">
      <c r="A10" s="1287"/>
      <c r="B10" s="143"/>
      <c r="C10" s="1309"/>
      <c r="D10" s="1316"/>
      <c r="E10" s="1316"/>
      <c r="F10" s="1317">
        <f t="shared" si="1"/>
        <v>1</v>
      </c>
      <c r="G10" s="1318"/>
      <c r="H10" s="1316"/>
      <c r="I10" s="1319">
        <f t="shared" si="6"/>
        <v>1</v>
      </c>
      <c r="J10" s="1320"/>
      <c r="K10" s="1316"/>
      <c r="L10" s="1319">
        <f t="shared" si="3"/>
        <v>1</v>
      </c>
      <c r="M10" s="1320"/>
      <c r="N10" s="1316"/>
      <c r="O10" s="1319">
        <f t="shared" si="4"/>
        <v>1</v>
      </c>
      <c r="P10" s="1320"/>
      <c r="Q10" s="1316"/>
      <c r="R10" s="1319">
        <f t="shared" si="5"/>
        <v>1</v>
      </c>
      <c r="S10" s="1320"/>
      <c r="T10" s="1316"/>
      <c r="U10" s="1319"/>
      <c r="V10" s="1318"/>
      <c r="W10" s="1316"/>
      <c r="X10" s="1323"/>
      <c r="Y10" s="1321">
        <f t="shared" si="7"/>
        <v>0</v>
      </c>
      <c r="Z10" s="1316"/>
      <c r="AA10" s="1322">
        <f t="shared" si="8"/>
        <v>1</v>
      </c>
    </row>
    <row r="11" ht="12.9" customHeight="1" spans="1:39">
      <c r="A11" s="1287"/>
      <c r="B11" s="143"/>
      <c r="C11" s="1309"/>
      <c r="D11" s="1316"/>
      <c r="E11" s="1316"/>
      <c r="F11" s="1317">
        <f t="shared" si="1"/>
        <v>1</v>
      </c>
      <c r="G11" s="1318"/>
      <c r="H11" s="1316"/>
      <c r="I11" s="1319">
        <f t="shared" si="6"/>
        <v>1</v>
      </c>
      <c r="J11" s="1320"/>
      <c r="K11" s="1316"/>
      <c r="L11" s="1319">
        <f t="shared" si="3"/>
        <v>1</v>
      </c>
      <c r="M11" s="1320"/>
      <c r="N11" s="1316"/>
      <c r="O11" s="1319">
        <f t="shared" si="4"/>
        <v>1</v>
      </c>
      <c r="P11" s="1320"/>
      <c r="Q11" s="1316"/>
      <c r="R11" s="1319">
        <f t="shared" si="5"/>
        <v>1</v>
      </c>
      <c r="S11" s="1320"/>
      <c r="T11" s="1316"/>
      <c r="U11" s="1319"/>
      <c r="V11" s="1318"/>
      <c r="W11" s="1316"/>
      <c r="X11" s="1323"/>
      <c r="Y11" s="1321">
        <f t="shared" si="7"/>
        <v>0</v>
      </c>
      <c r="Z11" s="1316"/>
      <c r="AA11" s="1322">
        <f t="shared" si="8"/>
        <v>1</v>
      </c>
    </row>
    <row r="12" ht="12.9" customHeight="1" spans="1:39">
      <c r="A12" s="1287"/>
      <c r="B12" s="143"/>
      <c r="C12" s="1309"/>
      <c r="D12" s="1316"/>
      <c r="E12" s="1316"/>
      <c r="F12" s="1317">
        <f t="shared" si="1"/>
        <v>1</v>
      </c>
      <c r="G12" s="1318"/>
      <c r="H12" s="1316"/>
      <c r="I12" s="1319">
        <f t="shared" si="6"/>
        <v>1</v>
      </c>
      <c r="J12" s="1320"/>
      <c r="K12" s="1316"/>
      <c r="L12" s="1319">
        <f t="shared" si="3"/>
        <v>1</v>
      </c>
      <c r="M12" s="1320"/>
      <c r="N12" s="1316"/>
      <c r="O12" s="1319">
        <f t="shared" si="4"/>
        <v>1</v>
      </c>
      <c r="P12" s="1320"/>
      <c r="Q12" s="1316"/>
      <c r="R12" s="1319">
        <f t="shared" si="5"/>
        <v>1</v>
      </c>
      <c r="S12" s="1320"/>
      <c r="T12" s="1316"/>
      <c r="U12" s="1319"/>
      <c r="V12" s="1318"/>
      <c r="W12" s="1316"/>
      <c r="X12" s="1319"/>
      <c r="Y12" s="1321">
        <f t="shared" si="7"/>
        <v>0</v>
      </c>
      <c r="Z12" s="1316"/>
      <c r="AA12" s="1322">
        <f t="shared" si="8"/>
        <v>1</v>
      </c>
    </row>
    <row r="13" ht="12.9" customHeight="1" spans="1:39">
      <c r="A13" s="1287"/>
      <c r="B13" s="143"/>
      <c r="C13" s="1309"/>
      <c r="D13" s="1316"/>
      <c r="E13" s="1316"/>
      <c r="F13" s="1317">
        <f t="shared" si="1"/>
        <v>1</v>
      </c>
      <c r="G13" s="1318"/>
      <c r="H13" s="1316"/>
      <c r="I13" s="1319">
        <f t="shared" si="6"/>
        <v>1</v>
      </c>
      <c r="J13" s="1320"/>
      <c r="K13" s="1316"/>
      <c r="L13" s="1319">
        <f t="shared" si="3"/>
        <v>1</v>
      </c>
      <c r="M13" s="1320"/>
      <c r="N13" s="1316"/>
      <c r="O13" s="1319">
        <f t="shared" si="4"/>
        <v>1</v>
      </c>
      <c r="P13" s="1320"/>
      <c r="Q13" s="1316"/>
      <c r="R13" s="1319">
        <f t="shared" si="5"/>
        <v>1</v>
      </c>
      <c r="S13" s="1320"/>
      <c r="T13" s="1316"/>
      <c r="U13" s="1319"/>
      <c r="V13" s="1324"/>
      <c r="W13" s="1316"/>
      <c r="X13" s="1319"/>
      <c r="Y13" s="1321">
        <f t="shared" si="7"/>
        <v>0</v>
      </c>
      <c r="Z13" s="1316"/>
      <c r="AA13" s="1322">
        <f t="shared" si="8"/>
        <v>1</v>
      </c>
    </row>
    <row r="14" ht="12.9" customHeight="1" spans="1:39">
      <c r="A14" s="1287"/>
      <c r="B14" s="143"/>
      <c r="C14" s="1309"/>
      <c r="D14" s="1316"/>
      <c r="E14" s="1316"/>
      <c r="F14" s="1317">
        <f t="shared" si="1"/>
        <v>1</v>
      </c>
      <c r="G14" s="1318"/>
      <c r="H14" s="1316"/>
      <c r="I14" s="1319">
        <f t="shared" si="6"/>
        <v>1</v>
      </c>
      <c r="J14" s="1320"/>
      <c r="K14" s="1316"/>
      <c r="L14" s="1319">
        <f t="shared" si="3"/>
        <v>1</v>
      </c>
      <c r="M14" s="1320"/>
      <c r="N14" s="1316"/>
      <c r="O14" s="1319">
        <f t="shared" si="4"/>
        <v>1</v>
      </c>
      <c r="P14" s="1320"/>
      <c r="Q14" s="1316"/>
      <c r="R14" s="1319">
        <f t="shared" si="5"/>
        <v>1</v>
      </c>
      <c r="S14" s="1320"/>
      <c r="T14" s="1316"/>
      <c r="U14" s="1319"/>
      <c r="V14" s="1318"/>
      <c r="W14" s="1316"/>
      <c r="X14" s="1319"/>
      <c r="Y14" s="1321">
        <f t="shared" si="7"/>
        <v>0</v>
      </c>
      <c r="Z14" s="1316"/>
      <c r="AA14" s="1322">
        <f t="shared" si="8"/>
        <v>1</v>
      </c>
    </row>
    <row r="15" ht="12.9" customHeight="1" spans="1:39">
      <c r="A15" s="1287"/>
      <c r="B15" s="143"/>
      <c r="C15" s="1309"/>
      <c r="D15" s="1316"/>
      <c r="E15" s="1316"/>
      <c r="F15" s="1317">
        <f t="shared" si="1"/>
        <v>1</v>
      </c>
      <c r="G15" s="1320"/>
      <c r="H15" s="1316"/>
      <c r="I15" s="1319">
        <f>IF(G15=0,1,H15/G15)</f>
        <v>1</v>
      </c>
      <c r="J15" s="1320"/>
      <c r="K15" s="1316"/>
      <c r="L15" s="1319">
        <f t="shared" si="3"/>
        <v>1</v>
      </c>
      <c r="M15" s="1320"/>
      <c r="N15" s="1316"/>
      <c r="O15" s="1319">
        <f t="shared" si="4"/>
        <v>1</v>
      </c>
      <c r="P15" s="1320"/>
      <c r="Q15" s="1316"/>
      <c r="R15" s="1319">
        <f t="shared" si="5"/>
        <v>1</v>
      </c>
      <c r="S15" s="1320"/>
      <c r="T15" s="1316"/>
      <c r="U15" s="1319"/>
      <c r="V15" s="1318"/>
      <c r="W15" s="1316"/>
      <c r="X15" s="1319"/>
      <c r="Y15" s="1321">
        <f t="shared" si="7"/>
        <v>0</v>
      </c>
      <c r="Z15" s="1316"/>
      <c r="AA15" s="1322">
        <f>IF(Y15=0,1,Z15/Y15)</f>
        <v>1</v>
      </c>
    </row>
    <row r="16" ht="24.75" customHeight="1" spans="1:39">
      <c r="A16" s="1287"/>
      <c r="B16" s="700"/>
      <c r="C16" s="1309" t="s">
        <v>164</v>
      </c>
      <c r="D16" s="1310">
        <f>SUM(D17:D26)</f>
        <v>0</v>
      </c>
      <c r="E16" s="1310">
        <f>SUM(E17:E26)</f>
        <v>0</v>
      </c>
      <c r="F16" s="1311">
        <f t="shared" si="1"/>
        <v>1</v>
      </c>
      <c r="G16" s="1325">
        <f>SUM(G17:G26)</f>
        <v>0</v>
      </c>
      <c r="H16" s="1310">
        <f>SUM(H17:H26)</f>
        <v>0</v>
      </c>
      <c r="I16" s="1313"/>
      <c r="J16" s="1325">
        <f>SUM(J17:J26)</f>
        <v>0</v>
      </c>
      <c r="K16" s="1310">
        <f>SUM(K17:K26)</f>
        <v>0</v>
      </c>
      <c r="L16" s="1313">
        <f t="shared" si="3"/>
        <v>1</v>
      </c>
      <c r="M16" s="1325">
        <f>J16*1500</f>
        <v>0</v>
      </c>
      <c r="N16" s="1310">
        <f>SUM(N17:N26)</f>
        <v>0</v>
      </c>
      <c r="O16" s="1313">
        <f t="shared" si="4"/>
        <v>1</v>
      </c>
      <c r="P16" s="1325">
        <f>SUM(P17:P26)</f>
        <v>0</v>
      </c>
      <c r="Q16" s="1310">
        <f>SUM(Q17:Q26)</f>
        <v>0</v>
      </c>
      <c r="R16" s="1313">
        <f t="shared" si="5"/>
        <v>1</v>
      </c>
      <c r="S16" s="1325">
        <f>SUM(S17:S26)</f>
        <v>0</v>
      </c>
      <c r="T16" s="1310">
        <f>SUM(T17:T26)</f>
        <v>0</v>
      </c>
      <c r="U16" s="1313">
        <f>IF(S16=0,1,T16/S16)</f>
        <v>1</v>
      </c>
      <c r="V16" s="1312">
        <f>SUM(V17:V26)</f>
        <v>0</v>
      </c>
      <c r="W16" s="1310">
        <f>SUM(W17:W26)</f>
        <v>0</v>
      </c>
      <c r="X16" s="1313">
        <f>IF(V16=0,1,W16/V16)</f>
        <v>1</v>
      </c>
      <c r="Y16" s="1314">
        <f>SUM(Y17:Y26)</f>
        <v>0</v>
      </c>
      <c r="Z16" s="1310">
        <f>SUM(Z17:Z26)</f>
        <v>0</v>
      </c>
      <c r="AA16" s="1315">
        <f>IF(Y16=0,1,Z16/Y16)</f>
        <v>1</v>
      </c>
      <c r="AB16" s="1326"/>
      <c r="AC16" s="1326"/>
      <c r="AD16" s="1326"/>
      <c r="AE16" s="1326"/>
      <c r="AF16" s="1326"/>
      <c r="AG16" s="1327"/>
      <c r="AH16" s="1326"/>
      <c r="AI16" s="1326"/>
      <c r="AJ16" s="1326"/>
      <c r="AK16" s="1326"/>
      <c r="AL16" s="1326"/>
      <c r="AM16" s="1326"/>
    </row>
    <row r="17" ht="15.75" customHeight="1" spans="1:33">
      <c r="A17" s="1287"/>
      <c r="B17" s="1328" t="s">
        <v>165</v>
      </c>
      <c r="C17" s="1329" t="s">
        <v>166</v>
      </c>
      <c r="D17" s="1316"/>
      <c r="E17" s="1316"/>
      <c r="F17" s="1317">
        <f t="shared" si="1"/>
        <v>1</v>
      </c>
      <c r="G17" s="1320"/>
      <c r="H17" s="1316"/>
      <c r="I17" s="1319">
        <f>IF(G17=0,1,H17/G17)</f>
        <v>1</v>
      </c>
      <c r="J17" s="1320"/>
      <c r="K17" s="1316"/>
      <c r="L17" s="1319">
        <f t="shared" si="3"/>
        <v>1</v>
      </c>
      <c r="M17" s="1320"/>
      <c r="N17" s="1316"/>
      <c r="O17" s="1319">
        <f t="shared" si="4"/>
        <v>1</v>
      </c>
      <c r="P17" s="1320"/>
      <c r="Q17" s="1316"/>
      <c r="R17" s="1319">
        <f t="shared" ref="R17:R26" si="9">IF(Q17&lt;P17,-(P17-Q17)*200,0)</f>
        <v>0</v>
      </c>
      <c r="S17" s="1320"/>
      <c r="T17" s="1316"/>
      <c r="U17" s="1319">
        <f t="shared" ref="U17:U24" si="10">IF(T17&lt;S17,-(S17-T17)*200,0)</f>
        <v>0</v>
      </c>
      <c r="V17" s="1318"/>
      <c r="W17" s="1316"/>
      <c r="X17" s="1330">
        <f t="shared" ref="X17:X24" si="11">IF(W17&lt;V17,-(V17-W17)*300,0)</f>
        <v>0</v>
      </c>
      <c r="Y17" s="1321">
        <f t="shared" ref="Y17:Y26" si="12">J17+G17+M17</f>
        <v>0</v>
      </c>
      <c r="Z17" s="1316"/>
      <c r="AA17" s="1322">
        <f t="shared" ref="AA17:AA26" si="13">IF(IF(Y17=0,1,Z17/Y17)&gt;1,1,IF(Y17=0,1,Z17/Y17))</f>
        <v>1</v>
      </c>
      <c r="AB17" s="560"/>
      <c r="AG17" s="1331"/>
    </row>
    <row r="18" spans="1:33">
      <c r="A18" s="1287"/>
      <c r="B18" s="143"/>
      <c r="C18" s="1329" t="s">
        <v>167</v>
      </c>
      <c r="D18" s="1316"/>
      <c r="E18" s="1316"/>
      <c r="F18" s="1317">
        <f t="shared" si="1"/>
        <v>1</v>
      </c>
      <c r="G18" s="1320"/>
      <c r="H18" s="1316"/>
      <c r="I18" s="1319">
        <f>IF(G18=0,1,H18/G18)</f>
        <v>1</v>
      </c>
      <c r="J18" s="1320"/>
      <c r="K18" s="1316"/>
      <c r="L18" s="1319">
        <f t="shared" si="3"/>
        <v>1</v>
      </c>
      <c r="M18" s="1320"/>
      <c r="N18" s="1316"/>
      <c r="O18" s="1319">
        <f t="shared" si="4"/>
        <v>1</v>
      </c>
      <c r="P18" s="1320"/>
      <c r="Q18" s="1316"/>
      <c r="R18" s="1319">
        <f t="shared" si="9"/>
        <v>0</v>
      </c>
      <c r="S18" s="1320"/>
      <c r="T18" s="1316"/>
      <c r="U18" s="1319">
        <f t="shared" si="10"/>
        <v>0</v>
      </c>
      <c r="V18" s="1318"/>
      <c r="W18" s="1316"/>
      <c r="X18" s="1330">
        <f t="shared" si="11"/>
        <v>0</v>
      </c>
      <c r="Y18" s="1321">
        <f t="shared" si="12"/>
        <v>0</v>
      </c>
      <c r="Z18" s="1316"/>
      <c r="AA18" s="1322">
        <f t="shared" si="13"/>
        <v>1</v>
      </c>
      <c r="AB18" s="560"/>
      <c r="AG18" s="1331"/>
    </row>
    <row r="19" spans="1:33">
      <c r="A19" s="1287"/>
      <c r="B19" s="143"/>
      <c r="C19" s="1329" t="s">
        <v>168</v>
      </c>
      <c r="D19" s="1316"/>
      <c r="E19" s="1316"/>
      <c r="F19" s="1317">
        <f t="shared" si="1"/>
        <v>1</v>
      </c>
      <c r="G19" s="1320"/>
      <c r="H19" s="1316"/>
      <c r="I19" s="1319">
        <f>IF(G19=0,1,H19/G19)</f>
        <v>1</v>
      </c>
      <c r="J19" s="1320"/>
      <c r="K19" s="1316"/>
      <c r="L19" s="1319">
        <f t="shared" si="3"/>
        <v>1</v>
      </c>
      <c r="M19" s="1320"/>
      <c r="N19" s="1316"/>
      <c r="O19" s="1319">
        <f t="shared" si="4"/>
        <v>1</v>
      </c>
      <c r="P19" s="1320"/>
      <c r="Q19" s="1316"/>
      <c r="R19" s="1319">
        <f t="shared" si="9"/>
        <v>0</v>
      </c>
      <c r="S19" s="1320"/>
      <c r="T19" s="1316"/>
      <c r="U19" s="1319">
        <f t="shared" si="10"/>
        <v>0</v>
      </c>
      <c r="V19" s="1318"/>
      <c r="W19" s="1316"/>
      <c r="X19" s="1330">
        <f t="shared" si="11"/>
        <v>0</v>
      </c>
      <c r="Y19" s="1321">
        <f t="shared" si="12"/>
        <v>0</v>
      </c>
      <c r="Z19" s="1316"/>
      <c r="AA19" s="1322">
        <f t="shared" si="13"/>
        <v>1</v>
      </c>
      <c r="AB19" s="560"/>
      <c r="AG19" s="1331"/>
    </row>
    <row r="20" spans="1:33">
      <c r="A20" s="1287"/>
      <c r="B20" s="143"/>
      <c r="C20" s="1329" t="s">
        <v>169</v>
      </c>
      <c r="D20" s="1316"/>
      <c r="E20" s="1316"/>
      <c r="F20" s="1317">
        <f t="shared" si="1"/>
        <v>1</v>
      </c>
      <c r="G20" s="1320"/>
      <c r="H20" s="1316"/>
      <c r="I20" s="1319">
        <f>IF(G20=0,1,H20/G20)</f>
        <v>1</v>
      </c>
      <c r="J20" s="1320"/>
      <c r="K20" s="1316"/>
      <c r="L20" s="1319">
        <f t="shared" si="3"/>
        <v>1</v>
      </c>
      <c r="M20" s="1320"/>
      <c r="N20" s="1316"/>
      <c r="O20" s="1319">
        <f t="shared" si="4"/>
        <v>1</v>
      </c>
      <c r="P20" s="1320"/>
      <c r="Q20" s="1316"/>
      <c r="R20" s="1319">
        <f t="shared" si="9"/>
        <v>0</v>
      </c>
      <c r="S20" s="1320"/>
      <c r="T20" s="1316"/>
      <c r="U20" s="1319">
        <f t="shared" si="10"/>
        <v>0</v>
      </c>
      <c r="V20" s="1318"/>
      <c r="W20" s="1316"/>
      <c r="X20" s="1330">
        <f t="shared" si="11"/>
        <v>0</v>
      </c>
      <c r="Y20" s="1321">
        <f t="shared" si="12"/>
        <v>0</v>
      </c>
      <c r="Z20" s="1316"/>
      <c r="AA20" s="1322">
        <f t="shared" si="13"/>
        <v>1</v>
      </c>
      <c r="AB20" s="560"/>
      <c r="AG20" s="1331"/>
    </row>
    <row r="21" spans="1:33">
      <c r="A21" s="1287"/>
      <c r="B21" s="143"/>
      <c r="C21" s="1329" t="s">
        <v>170</v>
      </c>
      <c r="D21" s="1316"/>
      <c r="E21" s="1316"/>
      <c r="F21" s="1317">
        <f t="shared" si="1"/>
        <v>1</v>
      </c>
      <c r="G21" s="1320"/>
      <c r="H21" s="1316"/>
      <c r="I21" s="1319">
        <f>IF(G21=0,1,H21/G21)</f>
        <v>1</v>
      </c>
      <c r="J21" s="1320"/>
      <c r="K21" s="1316"/>
      <c r="L21" s="1319">
        <f t="shared" si="3"/>
        <v>1</v>
      </c>
      <c r="M21" s="1320"/>
      <c r="N21" s="1316"/>
      <c r="O21" s="1319">
        <f t="shared" si="4"/>
        <v>1</v>
      </c>
      <c r="P21" s="1320"/>
      <c r="Q21" s="1316"/>
      <c r="R21" s="1319">
        <f t="shared" si="9"/>
        <v>0</v>
      </c>
      <c r="S21" s="1320"/>
      <c r="T21" s="1316"/>
      <c r="U21" s="1319">
        <f t="shared" si="10"/>
        <v>0</v>
      </c>
      <c r="V21" s="1318"/>
      <c r="W21" s="1316"/>
      <c r="X21" s="1330">
        <f t="shared" si="11"/>
        <v>0</v>
      </c>
      <c r="Y21" s="1321">
        <f t="shared" si="12"/>
        <v>0</v>
      </c>
      <c r="Z21" s="1316"/>
      <c r="AA21" s="1322">
        <f t="shared" si="13"/>
        <v>1</v>
      </c>
      <c r="AB21" s="560"/>
      <c r="AG21" s="1331"/>
    </row>
    <row r="22" spans="1:33">
      <c r="A22" s="1287"/>
      <c r="B22" s="143"/>
      <c r="C22" s="1309" t="s">
        <v>171</v>
      </c>
      <c r="D22" s="1316"/>
      <c r="E22" s="1316"/>
      <c r="F22" s="1317">
        <f t="shared" si="1"/>
        <v>1</v>
      </c>
      <c r="G22" s="1320"/>
      <c r="H22" s="1316"/>
      <c r="I22" s="1319"/>
      <c r="J22" s="1320"/>
      <c r="K22" s="1316"/>
      <c r="L22" s="1319"/>
      <c r="M22" s="1320"/>
      <c r="N22" s="1316"/>
      <c r="O22" s="1319">
        <f t="shared" si="4"/>
        <v>1</v>
      </c>
      <c r="P22" s="1320"/>
      <c r="Q22" s="1316"/>
      <c r="R22" s="1319">
        <f t="shared" si="9"/>
        <v>0</v>
      </c>
      <c r="S22" s="1320"/>
      <c r="T22" s="1316"/>
      <c r="U22" s="1319">
        <f t="shared" si="10"/>
        <v>0</v>
      </c>
      <c r="V22" s="1318"/>
      <c r="W22" s="1316"/>
      <c r="X22" s="1330">
        <f t="shared" si="11"/>
        <v>0</v>
      </c>
      <c r="Y22" s="1321">
        <f t="shared" si="12"/>
        <v>0</v>
      </c>
      <c r="Z22" s="1316"/>
      <c r="AA22" s="1322">
        <f t="shared" si="13"/>
        <v>1</v>
      </c>
      <c r="AB22" s="560"/>
      <c r="AG22" s="1331"/>
    </row>
    <row r="23" spans="1:33">
      <c r="A23" s="1287"/>
      <c r="B23" s="143"/>
      <c r="C23" s="1309" t="s">
        <v>172</v>
      </c>
      <c r="D23" s="1316"/>
      <c r="E23" s="1316"/>
      <c r="F23" s="1317">
        <f t="shared" si="1"/>
        <v>1</v>
      </c>
      <c r="G23" s="1320"/>
      <c r="H23" s="1316"/>
      <c r="I23" s="1319">
        <f>IF(G23=0,1,H23/G23)</f>
        <v>1</v>
      </c>
      <c r="J23" s="1320"/>
      <c r="K23" s="1316"/>
      <c r="L23" s="1319">
        <f>IF(J23=0,1,K23/J23)</f>
        <v>1</v>
      </c>
      <c r="M23" s="1320"/>
      <c r="N23" s="1316"/>
      <c r="O23" s="1319">
        <f t="shared" si="4"/>
        <v>1</v>
      </c>
      <c r="P23" s="1320"/>
      <c r="Q23" s="1316"/>
      <c r="R23" s="1319">
        <f t="shared" si="9"/>
        <v>0</v>
      </c>
      <c r="S23" s="1320"/>
      <c r="T23" s="1316"/>
      <c r="U23" s="1319">
        <f t="shared" si="10"/>
        <v>0</v>
      </c>
      <c r="V23" s="1318"/>
      <c r="W23" s="1316"/>
      <c r="X23" s="1330">
        <f t="shared" si="11"/>
        <v>0</v>
      </c>
      <c r="Y23" s="1321">
        <f t="shared" si="12"/>
        <v>0</v>
      </c>
      <c r="Z23" s="1316"/>
      <c r="AA23" s="1322">
        <f t="shared" si="13"/>
        <v>1</v>
      </c>
      <c r="AB23" s="560"/>
      <c r="AG23" s="1331"/>
    </row>
    <row r="24" spans="1:33">
      <c r="A24" s="1287"/>
      <c r="B24" s="143"/>
      <c r="C24" s="1309" t="s">
        <v>173</v>
      </c>
      <c r="D24" s="1316"/>
      <c r="E24" s="1316"/>
      <c r="F24" s="1317">
        <f t="shared" si="1"/>
        <v>1</v>
      </c>
      <c r="G24" s="1320"/>
      <c r="H24" s="1316"/>
      <c r="I24" s="1319"/>
      <c r="J24" s="1320"/>
      <c r="K24" s="1316"/>
      <c r="L24" s="1319"/>
      <c r="M24" s="1320"/>
      <c r="N24" s="1316"/>
      <c r="O24" s="1319"/>
      <c r="P24" s="1320"/>
      <c r="Q24" s="1316"/>
      <c r="R24" s="1319">
        <f t="shared" si="9"/>
        <v>0</v>
      </c>
      <c r="S24" s="1320"/>
      <c r="T24" s="1316"/>
      <c r="U24" s="1319">
        <f t="shared" si="10"/>
        <v>0</v>
      </c>
      <c r="V24" s="1318"/>
      <c r="W24" s="1316"/>
      <c r="X24" s="1330">
        <f t="shared" si="11"/>
        <v>0</v>
      </c>
      <c r="Y24" s="1321">
        <f t="shared" si="12"/>
        <v>0</v>
      </c>
      <c r="Z24" s="1316"/>
      <c r="AA24" s="1322">
        <f t="shared" si="13"/>
        <v>1</v>
      </c>
      <c r="AB24" s="560"/>
      <c r="AG24" s="1331"/>
    </row>
    <row r="25" spans="1:33">
      <c r="A25" s="1287"/>
      <c r="B25" s="143"/>
      <c r="C25" s="1309"/>
      <c r="D25" s="1316"/>
      <c r="E25" s="1316"/>
      <c r="F25" s="1317"/>
      <c r="G25" s="1320"/>
      <c r="H25" s="1316"/>
      <c r="I25" s="1319"/>
      <c r="J25" s="1320"/>
      <c r="K25" s="1316"/>
      <c r="L25" s="1319"/>
      <c r="M25" s="1320"/>
      <c r="N25" s="1316"/>
      <c r="O25" s="1319"/>
      <c r="P25" s="1320"/>
      <c r="Q25" s="1316"/>
      <c r="R25" s="1319">
        <f t="shared" si="9"/>
        <v>0</v>
      </c>
      <c r="S25" s="1320"/>
      <c r="T25" s="1316"/>
      <c r="U25" s="1319"/>
      <c r="V25" s="1318"/>
      <c r="W25" s="1316"/>
      <c r="X25" s="1330">
        <f>IF(W25&lt;V25,-(V25-W25)*500,0)</f>
        <v>0</v>
      </c>
      <c r="Y25" s="1321">
        <f t="shared" si="12"/>
        <v>0</v>
      </c>
      <c r="Z25" s="1316"/>
      <c r="AA25" s="1322">
        <f t="shared" si="13"/>
        <v>1</v>
      </c>
      <c r="AB25" s="560"/>
      <c r="AG25" s="1331"/>
    </row>
    <row r="26" spans="1:33">
      <c r="A26" s="1287"/>
      <c r="B26" s="700"/>
      <c r="C26" s="1309"/>
      <c r="D26" s="1316"/>
      <c r="E26" s="1316"/>
      <c r="F26" s="1317"/>
      <c r="G26" s="1320"/>
      <c r="H26" s="1316"/>
      <c r="I26" s="1319"/>
      <c r="J26" s="1320"/>
      <c r="K26" s="1316"/>
      <c r="L26" s="1319"/>
      <c r="M26" s="1320"/>
      <c r="N26" s="1316"/>
      <c r="O26" s="1319"/>
      <c r="P26" s="1320"/>
      <c r="Q26" s="1316"/>
      <c r="R26" s="1319">
        <f t="shared" si="9"/>
        <v>0</v>
      </c>
      <c r="S26" s="1320"/>
      <c r="T26" s="1316"/>
      <c r="U26" s="1319"/>
      <c r="V26" s="1318"/>
      <c r="W26" s="1316"/>
      <c r="X26" s="1330">
        <f>IF(W26&lt;V26,-(V26-W26)*500,0)</f>
        <v>0</v>
      </c>
      <c r="Y26" s="1321">
        <f t="shared" si="12"/>
        <v>0</v>
      </c>
      <c r="Z26" s="1316"/>
      <c r="AA26" s="1322">
        <f t="shared" si="13"/>
        <v>1</v>
      </c>
      <c r="AB26" s="560"/>
      <c r="AG26" s="1331"/>
    </row>
    <row r="27" spans="1:33">
      <c r="A27" s="1287"/>
      <c r="B27" s="1332" t="s">
        <v>174</v>
      </c>
      <c r="C27" s="1309"/>
      <c r="D27" s="1310">
        <f>SUM(D29:D39)</f>
        <v>0</v>
      </c>
      <c r="E27" s="1310">
        <f>SUM(E29:E39)</f>
        <v>0</v>
      </c>
      <c r="F27" s="1311">
        <f>IF(D27=0,1,E27/D27)</f>
        <v>1</v>
      </c>
      <c r="G27" s="1325">
        <f t="shared" ref="G27:L27" si="14">G28</f>
        <v>0</v>
      </c>
      <c r="H27" s="1333">
        <f t="shared" si="14"/>
        <v>0</v>
      </c>
      <c r="I27" s="1313">
        <f t="shared" si="14"/>
        <v>11</v>
      </c>
      <c r="J27" s="1325">
        <f t="shared" si="14"/>
        <v>0</v>
      </c>
      <c r="K27" s="1310">
        <f t="shared" si="14"/>
        <v>0</v>
      </c>
      <c r="L27" s="1313">
        <f t="shared" si="14"/>
        <v>11</v>
      </c>
      <c r="M27" s="1325"/>
      <c r="N27" s="1310"/>
      <c r="O27" s="1313"/>
      <c r="P27" s="1325"/>
      <c r="Q27" s="1310"/>
      <c r="R27" s="1313"/>
      <c r="S27" s="1325"/>
      <c r="T27" s="1310"/>
      <c r="U27" s="1313"/>
      <c r="V27" s="1312"/>
      <c r="W27" s="1310"/>
      <c r="X27" s="1313"/>
      <c r="Y27" s="1314">
        <f>Y28</f>
        <v>0</v>
      </c>
      <c r="Z27" s="1310">
        <f>SUM(Z29:Z39)</f>
        <v>0</v>
      </c>
      <c r="AA27" s="1315">
        <f>IF(Y27=0,1,Z27/Y27)</f>
        <v>1</v>
      </c>
      <c r="AG27" s="1331"/>
    </row>
    <row r="28" spans="1:33">
      <c r="A28" s="1287"/>
      <c r="B28" s="143"/>
      <c r="C28" s="1309" t="s">
        <v>175</v>
      </c>
      <c r="D28" s="1310"/>
      <c r="E28" s="1310"/>
      <c r="F28" s="1311"/>
      <c r="G28" s="1325">
        <f t="shared" ref="G28:W28" si="15">SUM(G29:G39)</f>
        <v>0</v>
      </c>
      <c r="H28" s="1333">
        <f t="shared" si="15"/>
        <v>0</v>
      </c>
      <c r="I28" s="1313">
        <f t="shared" si="15"/>
        <v>11</v>
      </c>
      <c r="J28" s="1325">
        <f t="shared" si="15"/>
        <v>0</v>
      </c>
      <c r="K28" s="1310">
        <f t="shared" si="15"/>
        <v>0</v>
      </c>
      <c r="L28" s="1313">
        <f t="shared" si="15"/>
        <v>11</v>
      </c>
      <c r="M28" s="1325">
        <f t="shared" si="15"/>
        <v>0</v>
      </c>
      <c r="N28" s="1310">
        <f t="shared" si="15"/>
        <v>0</v>
      </c>
      <c r="O28" s="1313">
        <f t="shared" si="15"/>
        <v>11</v>
      </c>
      <c r="P28" s="1334">
        <f t="shared" si="15"/>
        <v>0</v>
      </c>
      <c r="Q28" s="1333">
        <f t="shared" si="15"/>
        <v>0</v>
      </c>
      <c r="R28" s="1313">
        <f t="shared" si="15"/>
        <v>0</v>
      </c>
      <c r="S28" s="1325">
        <f t="shared" si="15"/>
        <v>0</v>
      </c>
      <c r="T28" s="1310">
        <f t="shared" si="15"/>
        <v>0</v>
      </c>
      <c r="U28" s="1313">
        <f t="shared" si="15"/>
        <v>0</v>
      </c>
      <c r="V28" s="1312">
        <f t="shared" si="15"/>
        <v>0</v>
      </c>
      <c r="W28" s="1310">
        <f t="shared" si="15"/>
        <v>0</v>
      </c>
      <c r="X28" s="1313"/>
      <c r="Y28" s="1314">
        <f>SUM(Y29:Y39)</f>
        <v>0</v>
      </c>
      <c r="Z28" s="1310">
        <f>SUM(Z29:Z39)</f>
        <v>0</v>
      </c>
      <c r="AA28" s="1315"/>
      <c r="AG28" s="1331"/>
    </row>
    <row r="29" ht="19.5" customHeight="1" spans="1:33">
      <c r="A29" s="1287"/>
      <c r="B29" s="143"/>
      <c r="C29" s="1309" t="s">
        <v>176</v>
      </c>
      <c r="D29" s="1316"/>
      <c r="E29" s="1316"/>
      <c r="F29" s="1317">
        <f t="shared" ref="F29:F47" si="16">IF(D29=0,1,E29/D29)</f>
        <v>1</v>
      </c>
      <c r="G29" s="1320"/>
      <c r="H29" s="1316"/>
      <c r="I29" s="1319">
        <f t="shared" ref="I29:I39" si="17">IF(G29=0,1,H29/G29)</f>
        <v>1</v>
      </c>
      <c r="J29" s="1320"/>
      <c r="K29" s="1316"/>
      <c r="L29" s="1319">
        <f t="shared" ref="L29:L39" si="18">IF(J29=0,1,K29/J29)</f>
        <v>1</v>
      </c>
      <c r="M29" s="1320"/>
      <c r="N29" s="1316"/>
      <c r="O29" s="1319">
        <f t="shared" ref="O29:O39" si="19">IF(M29=0,1,N29/M29)</f>
        <v>1</v>
      </c>
      <c r="P29" s="1320"/>
      <c r="Q29" s="1316"/>
      <c r="R29" s="1319">
        <f t="shared" ref="R29:R39" si="20">IF(Q29&lt;P29,-(P29-Q29)*200,0)</f>
        <v>0</v>
      </c>
      <c r="S29" s="1320"/>
      <c r="T29" s="1316"/>
      <c r="U29" s="1319">
        <f t="shared" ref="U29:U35" si="21">IF(T29&lt;S29,-(S29-T29)*200,0)</f>
        <v>0</v>
      </c>
      <c r="V29" s="1318"/>
      <c r="W29" s="1316"/>
      <c r="X29" s="1330">
        <f t="shared" ref="X29:X39" si="22">IF(W29&lt;V29,-(V29-W29)*300,0)</f>
        <v>0</v>
      </c>
      <c r="Y29" s="1321">
        <f t="shared" ref="Y29:Y39" si="23">J29+G29+M29</f>
        <v>0</v>
      </c>
      <c r="Z29" s="1316"/>
      <c r="AA29" s="1322">
        <f t="shared" ref="AA29:AA39" si="24">IF(IF(Y29=0,1,Z29/Y29)&gt;1,1,IF(Y29=0,1,Z29/Y29))</f>
        <v>1</v>
      </c>
      <c r="AB29" s="560"/>
      <c r="AG29" s="1331"/>
    </row>
    <row r="30" ht="15" customHeight="1" spans="1:33">
      <c r="A30" s="1287"/>
      <c r="B30" s="143"/>
      <c r="C30" s="1309" t="s">
        <v>177</v>
      </c>
      <c r="D30" s="1316"/>
      <c r="E30" s="1316"/>
      <c r="F30" s="1317">
        <f t="shared" si="16"/>
        <v>1</v>
      </c>
      <c r="G30" s="1320"/>
      <c r="H30" s="1316"/>
      <c r="I30" s="1319">
        <f t="shared" si="17"/>
        <v>1</v>
      </c>
      <c r="J30" s="1320"/>
      <c r="K30" s="1316"/>
      <c r="L30" s="1319">
        <f t="shared" si="18"/>
        <v>1</v>
      </c>
      <c r="M30" s="1320"/>
      <c r="N30" s="1316"/>
      <c r="O30" s="1319">
        <f t="shared" si="19"/>
        <v>1</v>
      </c>
      <c r="P30" s="1320"/>
      <c r="Q30" s="1316"/>
      <c r="R30" s="1319">
        <f t="shared" si="20"/>
        <v>0</v>
      </c>
      <c r="S30" s="1320"/>
      <c r="T30" s="1316"/>
      <c r="U30" s="1319">
        <f t="shared" si="21"/>
        <v>0</v>
      </c>
      <c r="V30" s="1318"/>
      <c r="W30" s="1316"/>
      <c r="X30" s="1330">
        <f t="shared" si="22"/>
        <v>0</v>
      </c>
      <c r="Y30" s="1321">
        <f t="shared" si="23"/>
        <v>0</v>
      </c>
      <c r="Z30" s="1316"/>
      <c r="AA30" s="1322">
        <f t="shared" si="24"/>
        <v>1</v>
      </c>
      <c r="AB30" s="560"/>
      <c r="AG30" s="1331"/>
    </row>
    <row r="31" spans="1:33">
      <c r="A31" s="1287"/>
      <c r="B31" s="143"/>
      <c r="C31" s="1309" t="s">
        <v>178</v>
      </c>
      <c r="D31" s="1316"/>
      <c r="E31" s="1316"/>
      <c r="F31" s="1317">
        <f t="shared" si="16"/>
        <v>1</v>
      </c>
      <c r="G31" s="1320"/>
      <c r="H31" s="1316"/>
      <c r="I31" s="1319">
        <f t="shared" si="17"/>
        <v>1</v>
      </c>
      <c r="J31" s="1320"/>
      <c r="K31" s="1316"/>
      <c r="L31" s="1319">
        <f t="shared" si="18"/>
        <v>1</v>
      </c>
      <c r="M31" s="1320"/>
      <c r="N31" s="1316"/>
      <c r="O31" s="1319">
        <f t="shared" si="19"/>
        <v>1</v>
      </c>
      <c r="P31" s="1320"/>
      <c r="Q31" s="1316"/>
      <c r="R31" s="1319">
        <f t="shared" si="20"/>
        <v>0</v>
      </c>
      <c r="S31" s="1320"/>
      <c r="T31" s="1316"/>
      <c r="U31" s="1319">
        <f t="shared" si="21"/>
        <v>0</v>
      </c>
      <c r="V31" s="1318"/>
      <c r="W31" s="1316"/>
      <c r="X31" s="1330">
        <f t="shared" si="22"/>
        <v>0</v>
      </c>
      <c r="Y31" s="1321">
        <f t="shared" si="23"/>
        <v>0</v>
      </c>
      <c r="Z31" s="1316"/>
      <c r="AA31" s="1322">
        <f t="shared" si="24"/>
        <v>1</v>
      </c>
      <c r="AB31" s="560"/>
      <c r="AG31" s="1331"/>
    </row>
    <row r="32" spans="1:33">
      <c r="A32" s="1287"/>
      <c r="B32" s="143"/>
      <c r="C32" s="1309" t="s">
        <v>179</v>
      </c>
      <c r="D32" s="1316"/>
      <c r="E32" s="1316"/>
      <c r="F32" s="1317">
        <f t="shared" si="16"/>
        <v>1</v>
      </c>
      <c r="G32" s="1320"/>
      <c r="H32" s="1316"/>
      <c r="I32" s="1319">
        <f t="shared" si="17"/>
        <v>1</v>
      </c>
      <c r="J32" s="1320"/>
      <c r="K32" s="1316"/>
      <c r="L32" s="1319">
        <f t="shared" si="18"/>
        <v>1</v>
      </c>
      <c r="M32" s="1320"/>
      <c r="N32" s="1316"/>
      <c r="O32" s="1319">
        <f t="shared" si="19"/>
        <v>1</v>
      </c>
      <c r="P32" s="1320"/>
      <c r="Q32" s="1316"/>
      <c r="R32" s="1319">
        <f t="shared" si="20"/>
        <v>0</v>
      </c>
      <c r="S32" s="1320"/>
      <c r="T32" s="1316"/>
      <c r="U32" s="1319">
        <f t="shared" si="21"/>
        <v>0</v>
      </c>
      <c r="V32" s="1318"/>
      <c r="W32" s="1316"/>
      <c r="X32" s="1330">
        <f t="shared" si="22"/>
        <v>0</v>
      </c>
      <c r="Y32" s="1321">
        <f t="shared" si="23"/>
        <v>0</v>
      </c>
      <c r="Z32" s="1316"/>
      <c r="AA32" s="1322">
        <f t="shared" si="24"/>
        <v>1</v>
      </c>
      <c r="AB32" s="560"/>
      <c r="AG32" s="1331"/>
    </row>
    <row r="33" ht="15.75" customHeight="1" spans="1:33">
      <c r="A33" s="1287"/>
      <c r="B33" s="143"/>
      <c r="C33" s="1309" t="s">
        <v>180</v>
      </c>
      <c r="D33" s="1316"/>
      <c r="E33" s="1316"/>
      <c r="F33" s="1317">
        <f t="shared" si="16"/>
        <v>1</v>
      </c>
      <c r="G33" s="1320"/>
      <c r="H33" s="1316"/>
      <c r="I33" s="1319">
        <f t="shared" si="17"/>
        <v>1</v>
      </c>
      <c r="J33" s="1320"/>
      <c r="K33" s="1316"/>
      <c r="L33" s="1319">
        <f t="shared" si="18"/>
        <v>1</v>
      </c>
      <c r="M33" s="1320"/>
      <c r="N33" s="1316"/>
      <c r="O33" s="1319">
        <f t="shared" si="19"/>
        <v>1</v>
      </c>
      <c r="P33" s="1320"/>
      <c r="Q33" s="1316"/>
      <c r="R33" s="1319">
        <f t="shared" si="20"/>
        <v>0</v>
      </c>
      <c r="S33" s="1320"/>
      <c r="T33" s="1316"/>
      <c r="U33" s="1319">
        <f t="shared" si="21"/>
        <v>0</v>
      </c>
      <c r="V33" s="1318"/>
      <c r="W33" s="1316"/>
      <c r="X33" s="1330">
        <f t="shared" si="22"/>
        <v>0</v>
      </c>
      <c r="Y33" s="1321">
        <f t="shared" si="23"/>
        <v>0</v>
      </c>
      <c r="Z33" s="1316"/>
      <c r="AA33" s="1322">
        <f t="shared" si="24"/>
        <v>1</v>
      </c>
      <c r="AB33" s="560"/>
      <c r="AG33" s="1331"/>
    </row>
    <row r="34" spans="1:33">
      <c r="A34" s="1287"/>
      <c r="B34" s="143"/>
      <c r="C34" s="1309" t="s">
        <v>181</v>
      </c>
      <c r="D34" s="1316"/>
      <c r="E34" s="1316"/>
      <c r="F34" s="1317">
        <f t="shared" si="16"/>
        <v>1</v>
      </c>
      <c r="G34" s="1320"/>
      <c r="H34" s="1316"/>
      <c r="I34" s="1319">
        <f t="shared" si="17"/>
        <v>1</v>
      </c>
      <c r="J34" s="1320"/>
      <c r="K34" s="1316"/>
      <c r="L34" s="1319">
        <f t="shared" si="18"/>
        <v>1</v>
      </c>
      <c r="M34" s="1320"/>
      <c r="N34" s="1316"/>
      <c r="O34" s="1319">
        <f t="shared" si="19"/>
        <v>1</v>
      </c>
      <c r="P34" s="1320"/>
      <c r="Q34" s="1316"/>
      <c r="R34" s="1319">
        <f t="shared" si="20"/>
        <v>0</v>
      </c>
      <c r="S34" s="1320"/>
      <c r="T34" s="1316"/>
      <c r="U34" s="1319">
        <f t="shared" si="21"/>
        <v>0</v>
      </c>
      <c r="V34" s="1318"/>
      <c r="W34" s="1316"/>
      <c r="X34" s="1330">
        <f t="shared" si="22"/>
        <v>0</v>
      </c>
      <c r="Y34" s="1321">
        <f t="shared" si="23"/>
        <v>0</v>
      </c>
      <c r="Z34" s="1316"/>
      <c r="AA34" s="1322">
        <f t="shared" si="24"/>
        <v>1</v>
      </c>
      <c r="AB34" s="560"/>
      <c r="AG34" s="1331"/>
    </row>
    <row r="35" spans="1:33">
      <c r="A35" s="1287"/>
      <c r="B35" s="143"/>
      <c r="C35" s="1309" t="s">
        <v>182</v>
      </c>
      <c r="D35" s="1316"/>
      <c r="E35" s="1316"/>
      <c r="F35" s="1317">
        <f t="shared" si="16"/>
        <v>1</v>
      </c>
      <c r="G35" s="1320"/>
      <c r="H35" s="1316"/>
      <c r="I35" s="1319">
        <f t="shared" si="17"/>
        <v>1</v>
      </c>
      <c r="J35" s="1320"/>
      <c r="K35" s="1316"/>
      <c r="L35" s="1319">
        <f t="shared" si="18"/>
        <v>1</v>
      </c>
      <c r="M35" s="1320"/>
      <c r="N35" s="1316"/>
      <c r="O35" s="1319">
        <f t="shared" si="19"/>
        <v>1</v>
      </c>
      <c r="P35" s="1320"/>
      <c r="Q35" s="1316"/>
      <c r="R35" s="1319">
        <f t="shared" si="20"/>
        <v>0</v>
      </c>
      <c r="S35" s="1320"/>
      <c r="T35" s="1316"/>
      <c r="U35" s="1319">
        <f t="shared" si="21"/>
        <v>0</v>
      </c>
      <c r="V35" s="1318"/>
      <c r="W35" s="1316"/>
      <c r="X35" s="1330">
        <f t="shared" si="22"/>
        <v>0</v>
      </c>
      <c r="Y35" s="1321">
        <f t="shared" si="23"/>
        <v>0</v>
      </c>
      <c r="Z35" s="1316"/>
      <c r="AA35" s="1322">
        <f t="shared" si="24"/>
        <v>1</v>
      </c>
      <c r="AB35" s="560"/>
      <c r="AG35" s="1331"/>
    </row>
    <row r="36" spans="1:33">
      <c r="A36" s="1287"/>
      <c r="B36" s="143"/>
      <c r="C36" s="1309" t="s">
        <v>183</v>
      </c>
      <c r="D36" s="1316"/>
      <c r="E36" s="1316"/>
      <c r="F36" s="1317">
        <f t="shared" si="16"/>
        <v>1</v>
      </c>
      <c r="G36" s="1320"/>
      <c r="H36" s="1316"/>
      <c r="I36" s="1319">
        <f t="shared" si="17"/>
        <v>1</v>
      </c>
      <c r="J36" s="1320"/>
      <c r="K36" s="1316"/>
      <c r="L36" s="1319">
        <f t="shared" si="18"/>
        <v>1</v>
      </c>
      <c r="M36" s="1320"/>
      <c r="N36" s="1316"/>
      <c r="O36" s="1319">
        <f t="shared" si="19"/>
        <v>1</v>
      </c>
      <c r="P36" s="1320"/>
      <c r="Q36" s="1316"/>
      <c r="R36" s="1319">
        <f t="shared" si="20"/>
        <v>0</v>
      </c>
      <c r="S36" s="1320"/>
      <c r="T36" s="1316"/>
      <c r="U36" s="1319"/>
      <c r="V36" s="1318"/>
      <c r="W36" s="1316"/>
      <c r="X36" s="1330">
        <f t="shared" si="22"/>
        <v>0</v>
      </c>
      <c r="Y36" s="1321">
        <f t="shared" si="23"/>
        <v>0</v>
      </c>
      <c r="Z36" s="1316"/>
      <c r="AA36" s="1322">
        <f t="shared" si="24"/>
        <v>1</v>
      </c>
      <c r="AB36" s="560"/>
      <c r="AG36" s="1331"/>
    </row>
    <row r="37" ht="15.75" customHeight="1" spans="1:33">
      <c r="A37" s="1287"/>
      <c r="B37" s="143"/>
      <c r="C37" s="1309" t="s">
        <v>184</v>
      </c>
      <c r="D37" s="1316"/>
      <c r="E37" s="1316"/>
      <c r="F37" s="1317">
        <f t="shared" si="16"/>
        <v>1</v>
      </c>
      <c r="G37" s="1320"/>
      <c r="H37" s="1316"/>
      <c r="I37" s="1319">
        <f t="shared" si="17"/>
        <v>1</v>
      </c>
      <c r="J37" s="1320"/>
      <c r="K37" s="1316"/>
      <c r="L37" s="1319">
        <f t="shared" si="18"/>
        <v>1</v>
      </c>
      <c r="M37" s="1320"/>
      <c r="N37" s="1316"/>
      <c r="O37" s="1319">
        <f t="shared" si="19"/>
        <v>1</v>
      </c>
      <c r="P37" s="1320"/>
      <c r="Q37" s="1316"/>
      <c r="R37" s="1319">
        <f t="shared" si="20"/>
        <v>0</v>
      </c>
      <c r="S37" s="1320"/>
      <c r="T37" s="1316"/>
      <c r="U37" s="1319">
        <f>IF(T37&lt;S37,-(S37-T37)*200,0)</f>
        <v>0</v>
      </c>
      <c r="V37" s="1318"/>
      <c r="W37" s="1316"/>
      <c r="X37" s="1330">
        <f t="shared" si="22"/>
        <v>0</v>
      </c>
      <c r="Y37" s="1321">
        <f t="shared" si="23"/>
        <v>0</v>
      </c>
      <c r="Z37" s="1316"/>
      <c r="AA37" s="1322">
        <f t="shared" si="24"/>
        <v>1</v>
      </c>
      <c r="AB37" s="560"/>
      <c r="AG37" s="1331"/>
    </row>
    <row r="38" spans="1:33">
      <c r="A38" s="1287"/>
      <c r="B38" s="143"/>
      <c r="C38" s="1309"/>
      <c r="D38" s="1316"/>
      <c r="E38" s="1316"/>
      <c r="F38" s="1317">
        <f t="shared" si="16"/>
        <v>1</v>
      </c>
      <c r="G38" s="1320"/>
      <c r="H38" s="1316"/>
      <c r="I38" s="1319">
        <f t="shared" si="17"/>
        <v>1</v>
      </c>
      <c r="J38" s="1320"/>
      <c r="K38" s="1316"/>
      <c r="L38" s="1319">
        <f t="shared" si="18"/>
        <v>1</v>
      </c>
      <c r="M38" s="1320"/>
      <c r="N38" s="1316"/>
      <c r="O38" s="1319">
        <f t="shared" si="19"/>
        <v>1</v>
      </c>
      <c r="P38" s="1320"/>
      <c r="Q38" s="1316"/>
      <c r="R38" s="1319">
        <f t="shared" si="20"/>
        <v>0</v>
      </c>
      <c r="S38" s="1320"/>
      <c r="T38" s="1316"/>
      <c r="U38" s="1319">
        <f>IF(T38&lt;S38,-(S38-T38)*200,0)</f>
        <v>0</v>
      </c>
      <c r="V38" s="1318"/>
      <c r="W38" s="1316"/>
      <c r="X38" s="1330">
        <f t="shared" si="22"/>
        <v>0</v>
      </c>
      <c r="Y38" s="1321">
        <f t="shared" si="23"/>
        <v>0</v>
      </c>
      <c r="Z38" s="1316"/>
      <c r="AA38" s="1322">
        <f t="shared" si="24"/>
        <v>1</v>
      </c>
      <c r="AB38" s="560"/>
      <c r="AG38" s="1331"/>
    </row>
    <row r="39" spans="1:33">
      <c r="A39" s="1287"/>
      <c r="B39" s="700"/>
      <c r="C39" s="1309"/>
      <c r="D39" s="1316"/>
      <c r="E39" s="1316"/>
      <c r="F39" s="1317">
        <f t="shared" si="16"/>
        <v>1</v>
      </c>
      <c r="G39" s="1320"/>
      <c r="H39" s="1316"/>
      <c r="I39" s="1319">
        <f t="shared" si="17"/>
        <v>1</v>
      </c>
      <c r="J39" s="1320"/>
      <c r="K39" s="1316"/>
      <c r="L39" s="1319">
        <f t="shared" si="18"/>
        <v>1</v>
      </c>
      <c r="M39" s="1320"/>
      <c r="N39" s="1316"/>
      <c r="O39" s="1319">
        <f t="shared" si="19"/>
        <v>1</v>
      </c>
      <c r="P39" s="1320"/>
      <c r="Q39" s="1316"/>
      <c r="R39" s="1319">
        <f t="shared" si="20"/>
        <v>0</v>
      </c>
      <c r="S39" s="1320"/>
      <c r="T39" s="1316"/>
      <c r="U39" s="1319">
        <f>IF(T39&lt;S39,-(S39-T39)*200,0)</f>
        <v>0</v>
      </c>
      <c r="V39" s="1318"/>
      <c r="W39" s="1316"/>
      <c r="X39" s="1330">
        <f t="shared" si="22"/>
        <v>0</v>
      </c>
      <c r="Y39" s="1321">
        <f t="shared" si="23"/>
        <v>0</v>
      </c>
      <c r="Z39" s="1316"/>
      <c r="AA39" s="1322">
        <f t="shared" si="24"/>
        <v>1</v>
      </c>
      <c r="AB39" s="560"/>
      <c r="AG39" s="1331"/>
    </row>
    <row r="40" spans="1:33">
      <c r="A40" s="1335" t="s">
        <v>185</v>
      </c>
      <c r="B40" s="1336" t="s">
        <v>186</v>
      </c>
      <c r="C40" s="1309" t="s">
        <v>162</v>
      </c>
      <c r="D40" s="1304">
        <f>SUM(D41:D54)</f>
        <v>0</v>
      </c>
      <c r="E40" s="1304">
        <f>SUM(E41:E54)</f>
        <v>0</v>
      </c>
      <c r="F40" s="1305">
        <f t="shared" si="16"/>
        <v>1</v>
      </c>
      <c r="G40" s="1306"/>
      <c r="H40" s="1304">
        <f>H54</f>
        <v>0</v>
      </c>
      <c r="I40" s="1307">
        <f>I54</f>
        <v>0</v>
      </c>
      <c r="J40" s="1306"/>
      <c r="K40" s="1304">
        <f>K54</f>
        <v>0</v>
      </c>
      <c r="L40" s="1307">
        <f>L54</f>
        <v>0</v>
      </c>
      <c r="M40" s="1306">
        <f>SUM(M29:M39)</f>
        <v>0</v>
      </c>
      <c r="N40" s="1304">
        <f>N54</f>
        <v>0</v>
      </c>
      <c r="O40" s="1307">
        <f>O54</f>
        <v>1</v>
      </c>
      <c r="P40" s="1307">
        <f>SUM(P41:P53)</f>
        <v>0</v>
      </c>
      <c r="Q40" s="1307">
        <f>SUM(Q41:Q53)</f>
        <v>0</v>
      </c>
      <c r="R40" s="1307">
        <f t="shared" ref="R40:W40" si="25">R54</f>
        <v>0</v>
      </c>
      <c r="S40" s="1306">
        <f t="shared" si="25"/>
        <v>0</v>
      </c>
      <c r="T40" s="1304">
        <f t="shared" si="25"/>
        <v>0</v>
      </c>
      <c r="U40" s="1307">
        <f t="shared" si="25"/>
        <v>0</v>
      </c>
      <c r="V40" s="1306">
        <f t="shared" si="25"/>
        <v>0</v>
      </c>
      <c r="W40" s="1304">
        <f t="shared" si="25"/>
        <v>0</v>
      </c>
      <c r="X40" s="1307">
        <f>SUM(X17:X39)</f>
        <v>0</v>
      </c>
      <c r="Y40" s="1306">
        <f>Y54</f>
        <v>0</v>
      </c>
      <c r="Z40" s="1304">
        <f>Z54</f>
        <v>0</v>
      </c>
      <c r="AA40" s="1307">
        <f>AA54</f>
        <v>0</v>
      </c>
      <c r="AG40" s="1331"/>
    </row>
    <row r="41" spans="1:33">
      <c r="A41" s="1287"/>
      <c r="B41" s="143"/>
      <c r="C41" s="1329" t="s">
        <v>187</v>
      </c>
      <c r="D41" s="1316"/>
      <c r="E41" s="1316"/>
      <c r="F41" s="1317">
        <f t="shared" si="16"/>
        <v>1</v>
      </c>
      <c r="G41" s="1320"/>
      <c r="H41" s="1316"/>
      <c r="I41" s="1319">
        <f t="shared" ref="I41:I47" si="26">IF(G41=0,1,H41/G41)</f>
        <v>1</v>
      </c>
      <c r="J41" s="1320"/>
      <c r="K41" s="1316"/>
      <c r="L41" s="1319">
        <f t="shared" ref="L41:L47" si="27">IF(J41=0,1,K41/J41)</f>
        <v>1</v>
      </c>
      <c r="M41" s="1320"/>
      <c r="N41" s="1316"/>
      <c r="O41" s="1319">
        <f t="shared" ref="O41:O47" si="28">IF(M41=0,1,N41/M41)</f>
        <v>1</v>
      </c>
      <c r="P41" s="1337"/>
      <c r="Q41" s="1316"/>
      <c r="R41" s="1330">
        <f t="shared" ref="R41:R53" si="29">IF(Q41&lt;P41,-(P41-Q41)*200,0)</f>
        <v>0</v>
      </c>
      <c r="S41" s="1320"/>
      <c r="T41" s="1316"/>
      <c r="U41" s="1319">
        <f t="shared" ref="U41:U50" si="30">IF(T41&lt;S41,-(S41-T41)*300,0)</f>
        <v>0</v>
      </c>
      <c r="V41" s="1318"/>
      <c r="W41" s="1316"/>
      <c r="X41" s="1319">
        <f t="shared" ref="X41:X50" si="31">IF(W41&lt;V41,-(V41-W41)*300,0)</f>
        <v>0</v>
      </c>
      <c r="Y41" s="1321">
        <f t="shared" ref="Y41:Y53" si="32">J41+G41+M41</f>
        <v>0</v>
      </c>
      <c r="Z41" s="1316"/>
      <c r="AA41" s="1322">
        <f t="shared" ref="AA41:AA53" si="33">IF(IF(Y41=0,1,Z41/Y41)&gt;1,1,IF(Y41=0,1,Z41/Y41))</f>
        <v>1</v>
      </c>
      <c r="AB41" s="560"/>
      <c r="AG41" s="1331"/>
    </row>
    <row r="42" spans="1:33">
      <c r="A42" s="1287"/>
      <c r="B42" s="143"/>
      <c r="C42" s="1329" t="s">
        <v>188</v>
      </c>
      <c r="D42" s="1316"/>
      <c r="E42" s="1316"/>
      <c r="F42" s="1317">
        <f t="shared" si="16"/>
        <v>1</v>
      </c>
      <c r="G42" s="1320"/>
      <c r="H42" s="1316"/>
      <c r="I42" s="1319">
        <f t="shared" si="26"/>
        <v>1</v>
      </c>
      <c r="J42" s="1320"/>
      <c r="K42" s="1316"/>
      <c r="L42" s="1319">
        <f t="shared" si="27"/>
        <v>1</v>
      </c>
      <c r="M42" s="1320"/>
      <c r="N42" s="1316"/>
      <c r="O42" s="1319">
        <f t="shared" si="28"/>
        <v>1</v>
      </c>
      <c r="P42" s="1337"/>
      <c r="Q42" s="1316"/>
      <c r="R42" s="1330">
        <f t="shared" si="29"/>
        <v>0</v>
      </c>
      <c r="S42" s="1320"/>
      <c r="T42" s="1316"/>
      <c r="U42" s="1319">
        <f t="shared" si="30"/>
        <v>0</v>
      </c>
      <c r="V42" s="1318"/>
      <c r="W42" s="1316"/>
      <c r="X42" s="1319">
        <f t="shared" si="31"/>
        <v>0</v>
      </c>
      <c r="Y42" s="1321">
        <f t="shared" si="32"/>
        <v>0</v>
      </c>
      <c r="Z42" s="1316"/>
      <c r="AA42" s="1322">
        <f t="shared" si="33"/>
        <v>1</v>
      </c>
      <c r="AB42" s="560"/>
      <c r="AG42" s="1331"/>
    </row>
    <row r="43" spans="1:33">
      <c r="A43" s="1287"/>
      <c r="B43" s="143"/>
      <c r="C43" s="1329" t="s">
        <v>189</v>
      </c>
      <c r="D43" s="1316"/>
      <c r="E43" s="1316"/>
      <c r="F43" s="1317">
        <f t="shared" si="16"/>
        <v>1</v>
      </c>
      <c r="G43" s="1320"/>
      <c r="H43" s="1316"/>
      <c r="I43" s="1319">
        <f t="shared" si="26"/>
        <v>1</v>
      </c>
      <c r="J43" s="1320"/>
      <c r="K43" s="1316"/>
      <c r="L43" s="1319">
        <f t="shared" si="27"/>
        <v>1</v>
      </c>
      <c r="M43" s="1320"/>
      <c r="N43" s="1316"/>
      <c r="O43" s="1319">
        <f t="shared" si="28"/>
        <v>1</v>
      </c>
      <c r="P43" s="1337"/>
      <c r="Q43" s="1316"/>
      <c r="R43" s="1330">
        <f t="shared" si="29"/>
        <v>0</v>
      </c>
      <c r="S43" s="1320"/>
      <c r="T43" s="1316"/>
      <c r="U43" s="1319">
        <f t="shared" si="30"/>
        <v>0</v>
      </c>
      <c r="V43" s="1318"/>
      <c r="W43" s="1316"/>
      <c r="X43" s="1319">
        <f t="shared" si="31"/>
        <v>0</v>
      </c>
      <c r="Y43" s="1321">
        <f t="shared" si="32"/>
        <v>0</v>
      </c>
      <c r="Z43" s="1316"/>
      <c r="AA43" s="1322">
        <f t="shared" si="33"/>
        <v>1</v>
      </c>
      <c r="AB43" s="560"/>
      <c r="AG43" s="1331"/>
    </row>
    <row r="44" spans="1:33">
      <c r="A44" s="1287"/>
      <c r="B44" s="143"/>
      <c r="C44" s="1329" t="s">
        <v>190</v>
      </c>
      <c r="D44" s="1316"/>
      <c r="E44" s="1316"/>
      <c r="F44" s="1317">
        <f t="shared" si="16"/>
        <v>1</v>
      </c>
      <c r="G44" s="1320"/>
      <c r="H44" s="1316"/>
      <c r="I44" s="1319">
        <f t="shared" si="26"/>
        <v>1</v>
      </c>
      <c r="J44" s="1320"/>
      <c r="K44" s="1316"/>
      <c r="L44" s="1319">
        <f t="shared" si="27"/>
        <v>1</v>
      </c>
      <c r="M44" s="1320"/>
      <c r="N44" s="1316"/>
      <c r="O44" s="1319">
        <f t="shared" si="28"/>
        <v>1</v>
      </c>
      <c r="P44" s="1337"/>
      <c r="Q44" s="1316"/>
      <c r="R44" s="1330">
        <f t="shared" si="29"/>
        <v>0</v>
      </c>
      <c r="S44" s="1320"/>
      <c r="T44" s="1316"/>
      <c r="U44" s="1319">
        <f t="shared" si="30"/>
        <v>0</v>
      </c>
      <c r="V44" s="1318"/>
      <c r="W44" s="1316"/>
      <c r="X44" s="1319">
        <f t="shared" si="31"/>
        <v>0</v>
      </c>
      <c r="Y44" s="1321">
        <f t="shared" si="32"/>
        <v>0</v>
      </c>
      <c r="Z44" s="1316"/>
      <c r="AA44" s="1322">
        <f t="shared" si="33"/>
        <v>1</v>
      </c>
      <c r="AB44" s="560"/>
      <c r="AG44" s="1331"/>
    </row>
    <row r="45" ht="14.25" customHeight="1" spans="1:33">
      <c r="A45" s="1287"/>
      <c r="B45" s="143"/>
      <c r="C45" s="1329" t="s">
        <v>191</v>
      </c>
      <c r="D45" s="1316"/>
      <c r="E45" s="1316"/>
      <c r="F45" s="1317">
        <f t="shared" si="16"/>
        <v>1</v>
      </c>
      <c r="G45" s="1320"/>
      <c r="H45" s="1316"/>
      <c r="I45" s="1319">
        <f t="shared" si="26"/>
        <v>1</v>
      </c>
      <c r="J45" s="1320"/>
      <c r="K45" s="1316"/>
      <c r="L45" s="1319">
        <f t="shared" si="27"/>
        <v>1</v>
      </c>
      <c r="M45" s="1320"/>
      <c r="N45" s="1316"/>
      <c r="O45" s="1319">
        <f t="shared" si="28"/>
        <v>1</v>
      </c>
      <c r="P45" s="1337"/>
      <c r="Q45" s="1316"/>
      <c r="R45" s="1330">
        <f t="shared" si="29"/>
        <v>0</v>
      </c>
      <c r="S45" s="1320"/>
      <c r="T45" s="1316"/>
      <c r="U45" s="1319">
        <f t="shared" si="30"/>
        <v>0</v>
      </c>
      <c r="V45" s="1318"/>
      <c r="W45" s="1316"/>
      <c r="X45" s="1319">
        <f t="shared" si="31"/>
        <v>0</v>
      </c>
      <c r="Y45" s="1321">
        <f t="shared" si="32"/>
        <v>0</v>
      </c>
      <c r="Z45" s="1316"/>
      <c r="AA45" s="1322">
        <f t="shared" si="33"/>
        <v>1</v>
      </c>
      <c r="AB45" s="560"/>
      <c r="AG45" s="1331"/>
    </row>
    <row r="46" ht="14.25" customHeight="1" spans="1:33">
      <c r="A46" s="1287"/>
      <c r="B46" s="143"/>
      <c r="C46" s="1329" t="s">
        <v>192</v>
      </c>
      <c r="D46" s="1316"/>
      <c r="E46" s="1316"/>
      <c r="F46" s="1317">
        <f t="shared" si="16"/>
        <v>1</v>
      </c>
      <c r="G46" s="1320"/>
      <c r="H46" s="1316"/>
      <c r="I46" s="1319">
        <f t="shared" si="26"/>
        <v>1</v>
      </c>
      <c r="J46" s="1320"/>
      <c r="K46" s="1316"/>
      <c r="L46" s="1319">
        <f t="shared" si="27"/>
        <v>1</v>
      </c>
      <c r="M46" s="1320"/>
      <c r="N46" s="1316"/>
      <c r="O46" s="1319">
        <f t="shared" si="28"/>
        <v>1</v>
      </c>
      <c r="P46" s="1337"/>
      <c r="Q46" s="1316"/>
      <c r="R46" s="1330">
        <f t="shared" si="29"/>
        <v>0</v>
      </c>
      <c r="S46" s="1320"/>
      <c r="T46" s="1316"/>
      <c r="U46" s="1319">
        <f t="shared" si="30"/>
        <v>0</v>
      </c>
      <c r="V46" s="1318"/>
      <c r="W46" s="1316"/>
      <c r="X46" s="1319">
        <f t="shared" si="31"/>
        <v>0</v>
      </c>
      <c r="Y46" s="1321">
        <f t="shared" si="32"/>
        <v>0</v>
      </c>
      <c r="Z46" s="1316"/>
      <c r="AA46" s="1322">
        <f t="shared" si="33"/>
        <v>1</v>
      </c>
      <c r="AB46" s="560"/>
      <c r="AG46" s="1331"/>
    </row>
    <row r="47" ht="14.25" customHeight="1" spans="1:33">
      <c r="A47" s="1287"/>
      <c r="B47" s="143"/>
      <c r="C47" s="1329"/>
      <c r="D47" s="1316"/>
      <c r="E47" s="1316"/>
      <c r="F47" s="1317">
        <f t="shared" si="16"/>
        <v>1</v>
      </c>
      <c r="G47" s="1320"/>
      <c r="H47" s="1316"/>
      <c r="I47" s="1319">
        <f t="shared" si="26"/>
        <v>1</v>
      </c>
      <c r="J47" s="1320"/>
      <c r="K47" s="1316"/>
      <c r="L47" s="1319">
        <f t="shared" si="27"/>
        <v>1</v>
      </c>
      <c r="M47" s="1320"/>
      <c r="N47" s="1316"/>
      <c r="O47" s="1319">
        <f t="shared" si="28"/>
        <v>1</v>
      </c>
      <c r="P47" s="1337"/>
      <c r="Q47" s="1316"/>
      <c r="R47" s="1330">
        <f t="shared" si="29"/>
        <v>0</v>
      </c>
      <c r="S47" s="1320"/>
      <c r="T47" s="1316"/>
      <c r="U47" s="1319">
        <f t="shared" si="30"/>
        <v>0</v>
      </c>
      <c r="V47" s="1318"/>
      <c r="W47" s="1316"/>
      <c r="X47" s="1319">
        <f t="shared" si="31"/>
        <v>0</v>
      </c>
      <c r="Y47" s="1321">
        <f t="shared" si="32"/>
        <v>0</v>
      </c>
      <c r="Z47" s="1316"/>
      <c r="AA47" s="1322">
        <f t="shared" si="33"/>
        <v>1</v>
      </c>
      <c r="AB47" s="560"/>
      <c r="AG47" s="1331"/>
    </row>
    <row r="48" ht="14.1" customHeight="1" spans="1:33">
      <c r="A48" s="1287"/>
      <c r="B48" s="143"/>
      <c r="C48" s="1329"/>
      <c r="D48" s="1316"/>
      <c r="E48" s="1316"/>
      <c r="F48" s="1317"/>
      <c r="G48" s="1320"/>
      <c r="H48" s="1316"/>
      <c r="I48" s="1319"/>
      <c r="J48" s="1320"/>
      <c r="K48" s="1316"/>
      <c r="L48" s="1319"/>
      <c r="M48" s="1320"/>
      <c r="N48" s="1316"/>
      <c r="O48" s="1319"/>
      <c r="P48" s="1337"/>
      <c r="Q48" s="1316"/>
      <c r="R48" s="1330">
        <f t="shared" si="29"/>
        <v>0</v>
      </c>
      <c r="S48" s="1320"/>
      <c r="T48" s="1316"/>
      <c r="U48" s="1319">
        <f t="shared" si="30"/>
        <v>0</v>
      </c>
      <c r="V48" s="1318"/>
      <c r="W48" s="1316"/>
      <c r="X48" s="1319">
        <f t="shared" si="31"/>
        <v>0</v>
      </c>
      <c r="Y48" s="1321">
        <f t="shared" si="32"/>
        <v>0</v>
      </c>
      <c r="Z48" s="1316"/>
      <c r="AA48" s="1322">
        <f t="shared" si="33"/>
        <v>1</v>
      </c>
      <c r="AB48" s="560"/>
      <c r="AG48" s="1331"/>
    </row>
    <row r="49" ht="14.25" customHeight="1" spans="1:33">
      <c r="A49" s="1287"/>
      <c r="B49" s="143"/>
      <c r="C49" s="1309"/>
      <c r="D49" s="1316"/>
      <c r="E49" s="1316"/>
      <c r="F49" s="1317"/>
      <c r="G49" s="1320"/>
      <c r="H49" s="1316"/>
      <c r="I49" s="1319"/>
      <c r="J49" s="1320"/>
      <c r="K49" s="1316"/>
      <c r="L49" s="1319"/>
      <c r="M49" s="1320"/>
      <c r="N49" s="1316"/>
      <c r="O49" s="1319"/>
      <c r="P49" s="1320"/>
      <c r="Q49" s="1316"/>
      <c r="R49" s="1319">
        <f t="shared" si="29"/>
        <v>0</v>
      </c>
      <c r="S49" s="1320"/>
      <c r="T49" s="1316"/>
      <c r="U49" s="1319">
        <f t="shared" si="30"/>
        <v>0</v>
      </c>
      <c r="V49" s="1318"/>
      <c r="W49" s="1316"/>
      <c r="X49" s="1319">
        <f t="shared" si="31"/>
        <v>0</v>
      </c>
      <c r="Y49" s="1321">
        <f t="shared" si="32"/>
        <v>0</v>
      </c>
      <c r="Z49" s="1316"/>
      <c r="AA49" s="1322">
        <f t="shared" si="33"/>
        <v>1</v>
      </c>
      <c r="AB49" s="560"/>
      <c r="AG49" s="1331"/>
    </row>
    <row r="50" ht="14.1" customHeight="1" spans="1:33">
      <c r="A50" s="1287"/>
      <c r="B50" s="143"/>
      <c r="C50" s="1329"/>
      <c r="D50" s="1316"/>
      <c r="E50" s="1316"/>
      <c r="F50" s="1317"/>
      <c r="G50" s="1320"/>
      <c r="H50" s="1316"/>
      <c r="I50" s="1319"/>
      <c r="J50" s="1320"/>
      <c r="K50" s="1316"/>
      <c r="L50" s="1319"/>
      <c r="M50" s="1320"/>
      <c r="N50" s="1316"/>
      <c r="O50" s="1319"/>
      <c r="P50" s="1320"/>
      <c r="Q50" s="1316"/>
      <c r="R50" s="1319">
        <f t="shared" si="29"/>
        <v>0</v>
      </c>
      <c r="S50" s="1320"/>
      <c r="T50" s="1316"/>
      <c r="U50" s="1319">
        <f t="shared" si="30"/>
        <v>0</v>
      </c>
      <c r="V50" s="1318"/>
      <c r="W50" s="1316"/>
      <c r="X50" s="1319">
        <f t="shared" si="31"/>
        <v>0</v>
      </c>
      <c r="Y50" s="1321">
        <f t="shared" si="32"/>
        <v>0</v>
      </c>
      <c r="Z50" s="1316"/>
      <c r="AA50" s="1322">
        <f t="shared" si="33"/>
        <v>1</v>
      </c>
      <c r="AB50" s="560"/>
      <c r="AG50" s="1331"/>
    </row>
    <row r="51" ht="14.25" customHeight="1" spans="1:33">
      <c r="A51" s="1287"/>
      <c r="B51" s="143"/>
      <c r="C51" s="1329"/>
      <c r="D51" s="1316"/>
      <c r="E51" s="1316"/>
      <c r="F51" s="1317"/>
      <c r="G51" s="1320"/>
      <c r="H51" s="1316"/>
      <c r="I51" s="1319"/>
      <c r="J51" s="1320"/>
      <c r="K51" s="1316"/>
      <c r="L51" s="1319"/>
      <c r="M51" s="1320"/>
      <c r="N51" s="1316"/>
      <c r="O51" s="1319"/>
      <c r="P51" s="1320"/>
      <c r="Q51" s="1316"/>
      <c r="R51" s="1319">
        <f t="shared" si="29"/>
        <v>0</v>
      </c>
      <c r="S51" s="1320"/>
      <c r="T51" s="1316"/>
      <c r="U51" s="1319"/>
      <c r="V51" s="1318"/>
      <c r="W51" s="1316"/>
      <c r="X51" s="1319">
        <f>IF(W51&lt;V51,-(V51-W51)*500,0)</f>
        <v>0</v>
      </c>
      <c r="Y51" s="1321">
        <f t="shared" si="32"/>
        <v>0</v>
      </c>
      <c r="Z51" s="1316"/>
      <c r="AA51" s="1322">
        <f t="shared" si="33"/>
        <v>1</v>
      </c>
      <c r="AB51" s="560"/>
      <c r="AG51" s="1331"/>
    </row>
    <row r="52" ht="14.1" customHeight="1" spans="1:33">
      <c r="A52" s="1287"/>
      <c r="B52" s="143"/>
      <c r="C52" s="1309"/>
      <c r="D52" s="1316"/>
      <c r="E52" s="1316"/>
      <c r="F52" s="1317"/>
      <c r="G52" s="1320"/>
      <c r="H52" s="1316"/>
      <c r="I52" s="1319"/>
      <c r="J52" s="1320"/>
      <c r="K52" s="1316"/>
      <c r="L52" s="1319"/>
      <c r="M52" s="1320"/>
      <c r="N52" s="1316"/>
      <c r="O52" s="1319"/>
      <c r="P52" s="1320"/>
      <c r="Q52" s="1316"/>
      <c r="R52" s="1319">
        <f t="shared" si="29"/>
        <v>0</v>
      </c>
      <c r="S52" s="1320"/>
      <c r="T52" s="1316"/>
      <c r="U52" s="1319"/>
      <c r="V52" s="1318"/>
      <c r="W52" s="1316"/>
      <c r="X52" s="1319"/>
      <c r="Y52" s="1321">
        <f t="shared" si="32"/>
        <v>0</v>
      </c>
      <c r="Z52" s="1316"/>
      <c r="AA52" s="1322">
        <f t="shared" si="33"/>
        <v>1</v>
      </c>
      <c r="AB52" s="560"/>
      <c r="AG52" s="1331"/>
    </row>
    <row r="53" ht="14.25" customHeight="1" spans="1:33">
      <c r="A53" s="1287"/>
      <c r="B53" s="143"/>
      <c r="C53" s="1309"/>
      <c r="D53" s="1316"/>
      <c r="E53" s="1316"/>
      <c r="F53" s="1317"/>
      <c r="G53" s="1320"/>
      <c r="H53" s="1316"/>
      <c r="I53" s="1319"/>
      <c r="J53" s="1320"/>
      <c r="K53" s="1316"/>
      <c r="L53" s="1319"/>
      <c r="M53" s="1320"/>
      <c r="N53" s="1316"/>
      <c r="O53" s="1319"/>
      <c r="P53" s="1320"/>
      <c r="Q53" s="1316"/>
      <c r="R53" s="1319">
        <f t="shared" si="29"/>
        <v>0</v>
      </c>
      <c r="S53" s="1320"/>
      <c r="T53" s="1316"/>
      <c r="U53" s="1319"/>
      <c r="V53" s="1318"/>
      <c r="W53" s="1316"/>
      <c r="X53" s="1319">
        <f>IF(W53&lt;V53,-(V53-W53)*500,0)</f>
        <v>0</v>
      </c>
      <c r="Y53" s="1321">
        <f t="shared" si="32"/>
        <v>0</v>
      </c>
      <c r="Z53" s="1316"/>
      <c r="AA53" s="1322">
        <f t="shared" si="33"/>
        <v>1</v>
      </c>
      <c r="AB53" s="560"/>
      <c r="AG53" s="1331"/>
    </row>
    <row r="54" spans="1:33">
      <c r="A54" s="1287"/>
      <c r="B54" s="700"/>
      <c r="C54" s="1309" t="s">
        <v>193</v>
      </c>
      <c r="D54" s="1338"/>
      <c r="E54" s="1338"/>
      <c r="F54" s="1339"/>
      <c r="G54" s="1340">
        <f>SUM(G41:G53)</f>
        <v>0</v>
      </c>
      <c r="H54" s="1341"/>
      <c r="I54" s="1342"/>
      <c r="J54" s="1340">
        <f>SUM(J41:J53)</f>
        <v>0</v>
      </c>
      <c r="K54" s="1341"/>
      <c r="L54" s="1342"/>
      <c r="M54" s="1340">
        <f>SUM(M41:M53)</f>
        <v>0</v>
      </c>
      <c r="N54" s="1338"/>
      <c r="O54" s="1342">
        <f>IF(M54=0,1,N54/M54)</f>
        <v>1</v>
      </c>
      <c r="P54" s="1340"/>
      <c r="Q54" s="1338"/>
      <c r="R54" s="1342"/>
      <c r="S54" s="1340">
        <f>SUM(S41:S53)</f>
        <v>0</v>
      </c>
      <c r="T54" s="1338">
        <f>SUM(T41:T53)</f>
        <v>0</v>
      </c>
      <c r="U54" s="1342"/>
      <c r="V54" s="1343">
        <f>SUM(V41:V53)</f>
        <v>0</v>
      </c>
      <c r="W54" s="1338">
        <f>SUM(W41:W53)</f>
        <v>0</v>
      </c>
      <c r="X54" s="1339">
        <f>SUM(X41:X53)</f>
        <v>0</v>
      </c>
      <c r="Y54" s="1344">
        <f>SUM(Y41:Y53)</f>
        <v>0</v>
      </c>
      <c r="Z54" s="1338">
        <f>SUM(Z41:Z53)</f>
        <v>0</v>
      </c>
      <c r="AA54" s="1345"/>
      <c r="AG54" s="1331"/>
    </row>
    <row r="55" spans="1:33">
      <c r="A55" s="1287"/>
      <c r="B55" s="1346" t="s">
        <v>162</v>
      </c>
      <c r="C55" s="467"/>
      <c r="D55" s="1304">
        <f t="shared" ref="D55:V55" si="34">D56+D68</f>
        <v>0</v>
      </c>
      <c r="E55" s="1304">
        <f t="shared" si="34"/>
        <v>0</v>
      </c>
      <c r="F55" s="1304">
        <f t="shared" si="34"/>
        <v>2</v>
      </c>
      <c r="G55" s="1304">
        <f t="shared" si="34"/>
        <v>0</v>
      </c>
      <c r="H55" s="1304">
        <f t="shared" si="34"/>
        <v>0</v>
      </c>
      <c r="I55" s="1304">
        <f t="shared" si="34"/>
        <v>2</v>
      </c>
      <c r="J55" s="1304">
        <f t="shared" si="34"/>
        <v>0</v>
      </c>
      <c r="K55" s="1304">
        <f t="shared" si="34"/>
        <v>0</v>
      </c>
      <c r="L55" s="1304">
        <f t="shared" si="34"/>
        <v>2</v>
      </c>
      <c r="M55" s="1304">
        <f t="shared" si="34"/>
        <v>0</v>
      </c>
      <c r="N55" s="1304">
        <f t="shared" si="34"/>
        <v>0</v>
      </c>
      <c r="O55" s="1304">
        <f t="shared" si="34"/>
        <v>2</v>
      </c>
      <c r="P55" s="1304">
        <f t="shared" si="34"/>
        <v>0</v>
      </c>
      <c r="Q55" s="1304">
        <f t="shared" si="34"/>
        <v>0</v>
      </c>
      <c r="R55" s="1304">
        <f t="shared" si="34"/>
        <v>0</v>
      </c>
      <c r="S55" s="1304">
        <f t="shared" si="34"/>
        <v>0</v>
      </c>
      <c r="T55" s="1304">
        <f t="shared" si="34"/>
        <v>0</v>
      </c>
      <c r="U55" s="1304">
        <f t="shared" si="34"/>
        <v>2</v>
      </c>
      <c r="V55" s="1304">
        <f t="shared" si="34"/>
        <v>0</v>
      </c>
      <c r="W55" s="1304"/>
      <c r="X55" s="1304">
        <f>X56+X68</f>
        <v>1</v>
      </c>
      <c r="Y55" s="1304">
        <f>Y56+Y68</f>
        <v>0</v>
      </c>
      <c r="Z55" s="1304">
        <f>Z56+Z68</f>
        <v>0</v>
      </c>
      <c r="AA55" s="1304">
        <f>AA56+AA68</f>
        <v>2</v>
      </c>
      <c r="AG55" s="1331"/>
    </row>
    <row r="56" spans="1:33">
      <c r="A56" s="1287"/>
      <c r="B56" s="1336" t="s">
        <v>194</v>
      </c>
      <c r="C56" s="1309" t="s">
        <v>163</v>
      </c>
      <c r="D56" s="1310">
        <f>SUM(D57:D67)</f>
        <v>0</v>
      </c>
      <c r="E56" s="1310">
        <f>SUM(E57:E67)</f>
        <v>0</v>
      </c>
      <c r="F56" s="1311">
        <f>IF(D56=0,1,E56/D56)</f>
        <v>1</v>
      </c>
      <c r="G56" s="1325">
        <f>SUM(G57:G67)</f>
        <v>0</v>
      </c>
      <c r="H56" s="1310">
        <f>SUM(H57:H67)</f>
        <v>0</v>
      </c>
      <c r="I56" s="1313">
        <f>IF(G56=0,1,H56/G56)</f>
        <v>1</v>
      </c>
      <c r="J56" s="1347">
        <f>SUM(J57:J67)</f>
        <v>0</v>
      </c>
      <c r="K56" s="1310">
        <f>SUM(K57:K67)</f>
        <v>0</v>
      </c>
      <c r="L56" s="1313">
        <f>IF(J56=0,1,K56/J56)</f>
        <v>1</v>
      </c>
      <c r="M56" s="1325">
        <f>SUM(M57:M67)</f>
        <v>0</v>
      </c>
      <c r="N56" s="1310">
        <f>SUM(N57:N67)</f>
        <v>0</v>
      </c>
      <c r="O56" s="1313">
        <f t="shared" ref="O56:O85" si="35">IF(M56=0,1,N56/M56)</f>
        <v>1</v>
      </c>
      <c r="P56" s="1325">
        <f>SUM(P57:P67)</f>
        <v>0</v>
      </c>
      <c r="Q56" s="1310">
        <f>SUM(Q57:Q67)</f>
        <v>0</v>
      </c>
      <c r="R56" s="1313"/>
      <c r="S56" s="1325">
        <f>SUM(S57:S67)</f>
        <v>0</v>
      </c>
      <c r="T56" s="1310">
        <f>SUM(T57:T67)</f>
        <v>0</v>
      </c>
      <c r="U56" s="1313">
        <f>IF(S56=0,1,T56/S56)</f>
        <v>1</v>
      </c>
      <c r="V56" s="1312">
        <f>SUM(V57:V67)</f>
        <v>0</v>
      </c>
      <c r="W56" s="1310">
        <f>SUM(W57:W67)</f>
        <v>0</v>
      </c>
      <c r="X56" s="1313">
        <f>IF(V56=0,1,W56/V56)</f>
        <v>1</v>
      </c>
      <c r="Y56" s="1314">
        <f>SUM(Y57:Y67)</f>
        <v>0</v>
      </c>
      <c r="Z56" s="1310">
        <f>SUM(Z57:Z67)</f>
        <v>0</v>
      </c>
      <c r="AA56" s="1315">
        <f>IF(Y56=0,1,Z56/Y56)</f>
        <v>1</v>
      </c>
      <c r="AG56" s="1331"/>
    </row>
    <row r="57" spans="1:33">
      <c r="A57" s="1287"/>
      <c r="B57" s="143"/>
      <c r="C57" s="1329" t="s">
        <v>195</v>
      </c>
      <c r="D57" s="1316"/>
      <c r="E57" s="1316"/>
      <c r="F57" s="1317"/>
      <c r="G57" s="1320"/>
      <c r="H57" s="1316"/>
      <c r="I57" s="1319"/>
      <c r="J57" s="1320"/>
      <c r="K57" s="1316"/>
      <c r="L57" s="1319"/>
      <c r="M57" s="1320"/>
      <c r="N57" s="1316"/>
      <c r="O57" s="1319">
        <f t="shared" si="35"/>
        <v>1</v>
      </c>
      <c r="P57" s="1337"/>
      <c r="Q57" s="1316"/>
      <c r="R57" s="1330">
        <f t="shared" ref="R57:R68" si="36">IF(Q57&lt;P57,-(P57-Q57)*200,0)</f>
        <v>0</v>
      </c>
      <c r="S57" s="1320"/>
      <c r="T57" s="1316"/>
      <c r="U57" s="1319">
        <f t="shared" ref="U57:U67" si="37">IF(T57&lt;S57,-(S57-T57)*300,0)</f>
        <v>0</v>
      </c>
      <c r="V57" s="1318"/>
      <c r="W57" s="1316"/>
      <c r="X57" s="1330">
        <f t="shared" ref="X57:X67" si="38">IF(W57&lt;V57,-(V57-W57)*300,0)</f>
        <v>0</v>
      </c>
      <c r="Y57" s="1321">
        <f t="shared" ref="Y57:Y67" si="39">J57+G57+M57</f>
        <v>0</v>
      </c>
      <c r="Z57" s="1316"/>
      <c r="AA57" s="1322">
        <f t="shared" ref="AA57:AA67" si="40">IF(IF(Y57=0,1,Z57/Y57)&gt;1,1,IF(Y57=0,1,Z57/Y57))</f>
        <v>1</v>
      </c>
      <c r="AB57" s="560"/>
      <c r="AG57" s="1331"/>
    </row>
    <row r="58" spans="1:33">
      <c r="A58" s="1287"/>
      <c r="B58" s="143"/>
      <c r="C58" s="1329" t="s">
        <v>196</v>
      </c>
      <c r="D58" s="1316"/>
      <c r="E58" s="1316"/>
      <c r="F58" s="1317">
        <f t="shared" ref="F58:F78" si="41">IF(D58=0,1,E58/D58)</f>
        <v>1</v>
      </c>
      <c r="G58" s="1320"/>
      <c r="H58" s="1316"/>
      <c r="I58" s="1319">
        <f t="shared" ref="I58:I69" si="42">IF(G58=0,1,H58/G58)</f>
        <v>1</v>
      </c>
      <c r="J58" s="1320"/>
      <c r="K58" s="1316"/>
      <c r="L58" s="1319">
        <f t="shared" ref="L58:L78" si="43">IF(J58=0,1,K58/J58)</f>
        <v>1</v>
      </c>
      <c r="M58" s="1320"/>
      <c r="N58" s="1316"/>
      <c r="O58" s="1319">
        <f t="shared" si="35"/>
        <v>1</v>
      </c>
      <c r="P58" s="1337"/>
      <c r="Q58" s="1316"/>
      <c r="R58" s="1330">
        <f t="shared" si="36"/>
        <v>0</v>
      </c>
      <c r="S58" s="1320"/>
      <c r="T58" s="1316"/>
      <c r="U58" s="1319">
        <f t="shared" si="37"/>
        <v>0</v>
      </c>
      <c r="V58" s="1318"/>
      <c r="W58" s="1316"/>
      <c r="X58" s="1330">
        <f t="shared" si="38"/>
        <v>0</v>
      </c>
      <c r="Y58" s="1321">
        <f t="shared" si="39"/>
        <v>0</v>
      </c>
      <c r="Z58" s="1316"/>
      <c r="AA58" s="1322">
        <f t="shared" si="40"/>
        <v>1</v>
      </c>
      <c r="AB58" s="560"/>
      <c r="AG58" s="1331"/>
    </row>
    <row r="59" spans="1:33">
      <c r="A59" s="1287"/>
      <c r="B59" s="143"/>
      <c r="C59" s="1329" t="s">
        <v>197</v>
      </c>
      <c r="D59" s="1316"/>
      <c r="E59" s="1316"/>
      <c r="F59" s="1317">
        <f t="shared" si="41"/>
        <v>1</v>
      </c>
      <c r="G59" s="1320"/>
      <c r="H59" s="1316"/>
      <c r="I59" s="1319">
        <f t="shared" si="42"/>
        <v>1</v>
      </c>
      <c r="J59" s="1320"/>
      <c r="K59" s="1316"/>
      <c r="L59" s="1319">
        <f t="shared" si="43"/>
        <v>1</v>
      </c>
      <c r="M59" s="1320"/>
      <c r="N59" s="1316"/>
      <c r="O59" s="1319">
        <f t="shared" si="35"/>
        <v>1</v>
      </c>
      <c r="P59" s="1337"/>
      <c r="Q59" s="1316"/>
      <c r="R59" s="1330">
        <f t="shared" si="36"/>
        <v>0</v>
      </c>
      <c r="S59" s="1320"/>
      <c r="T59" s="1316"/>
      <c r="U59" s="1319">
        <f t="shared" si="37"/>
        <v>0</v>
      </c>
      <c r="V59" s="1318"/>
      <c r="W59" s="1316"/>
      <c r="X59" s="1330">
        <f t="shared" si="38"/>
        <v>0</v>
      </c>
      <c r="Y59" s="1321">
        <f t="shared" si="39"/>
        <v>0</v>
      </c>
      <c r="Z59" s="1316"/>
      <c r="AA59" s="1322">
        <f t="shared" si="40"/>
        <v>1</v>
      </c>
      <c r="AB59" s="560"/>
      <c r="AG59" s="1331"/>
    </row>
    <row r="60" ht="18.75" customHeight="1" spans="1:33">
      <c r="A60" s="1287"/>
      <c r="B60" s="143"/>
      <c r="C60" s="1329" t="s">
        <v>198</v>
      </c>
      <c r="D60" s="1316"/>
      <c r="E60" s="1316"/>
      <c r="F60" s="1317">
        <f t="shared" si="41"/>
        <v>1</v>
      </c>
      <c r="G60" s="1320"/>
      <c r="H60" s="1316"/>
      <c r="I60" s="1319">
        <f t="shared" si="42"/>
        <v>1</v>
      </c>
      <c r="J60" s="1320"/>
      <c r="K60" s="1316"/>
      <c r="L60" s="1319">
        <f t="shared" si="43"/>
        <v>1</v>
      </c>
      <c r="M60" s="1320"/>
      <c r="N60" s="1316"/>
      <c r="O60" s="1319">
        <f t="shared" si="35"/>
        <v>1</v>
      </c>
      <c r="P60" s="1337"/>
      <c r="Q60" s="1316"/>
      <c r="R60" s="1330">
        <f t="shared" si="36"/>
        <v>0</v>
      </c>
      <c r="S60" s="1320"/>
      <c r="T60" s="1316"/>
      <c r="U60" s="1319">
        <f t="shared" si="37"/>
        <v>0</v>
      </c>
      <c r="V60" s="1318"/>
      <c r="W60" s="1316"/>
      <c r="X60" s="1330">
        <f t="shared" si="38"/>
        <v>0</v>
      </c>
      <c r="Y60" s="1321">
        <f t="shared" si="39"/>
        <v>0</v>
      </c>
      <c r="Z60" s="1316"/>
      <c r="AA60" s="1322">
        <f t="shared" si="40"/>
        <v>1</v>
      </c>
      <c r="AB60" s="560"/>
      <c r="AG60" s="1331"/>
    </row>
    <row r="61" spans="1:33">
      <c r="A61" s="1287"/>
      <c r="B61" s="143"/>
      <c r="C61" s="1329" t="s">
        <v>199</v>
      </c>
      <c r="D61" s="1316"/>
      <c r="E61" s="1316"/>
      <c r="F61" s="1317">
        <f t="shared" si="41"/>
        <v>1</v>
      </c>
      <c r="G61" s="1320"/>
      <c r="H61" s="1316"/>
      <c r="I61" s="1319">
        <f t="shared" si="42"/>
        <v>1</v>
      </c>
      <c r="J61" s="1320"/>
      <c r="K61" s="1316"/>
      <c r="L61" s="1319">
        <f t="shared" si="43"/>
        <v>1</v>
      </c>
      <c r="M61" s="1320"/>
      <c r="N61" s="1316"/>
      <c r="O61" s="1319">
        <f t="shared" si="35"/>
        <v>1</v>
      </c>
      <c r="P61" s="1337"/>
      <c r="Q61" s="1316"/>
      <c r="R61" s="1330">
        <f t="shared" si="36"/>
        <v>0</v>
      </c>
      <c r="S61" s="1320"/>
      <c r="T61" s="1316"/>
      <c r="U61" s="1319">
        <f t="shared" si="37"/>
        <v>0</v>
      </c>
      <c r="V61" s="1318"/>
      <c r="W61" s="1316"/>
      <c r="X61" s="1330">
        <f t="shared" si="38"/>
        <v>0</v>
      </c>
      <c r="Y61" s="1321">
        <f t="shared" si="39"/>
        <v>0</v>
      </c>
      <c r="Z61" s="1316"/>
      <c r="AA61" s="1322">
        <f t="shared" si="40"/>
        <v>1</v>
      </c>
      <c r="AB61" s="560"/>
      <c r="AG61" s="1331"/>
    </row>
    <row r="62" spans="1:33">
      <c r="A62" s="1287"/>
      <c r="B62" s="143"/>
      <c r="C62" s="1329" t="s">
        <v>200</v>
      </c>
      <c r="D62" s="1316"/>
      <c r="E62" s="1316"/>
      <c r="F62" s="1317">
        <f t="shared" si="41"/>
        <v>1</v>
      </c>
      <c r="G62" s="1320"/>
      <c r="H62" s="1316"/>
      <c r="I62" s="1319">
        <f t="shared" si="42"/>
        <v>1</v>
      </c>
      <c r="J62" s="1320"/>
      <c r="K62" s="1316"/>
      <c r="L62" s="1319">
        <f t="shared" si="43"/>
        <v>1</v>
      </c>
      <c r="M62" s="1320"/>
      <c r="N62" s="1316"/>
      <c r="O62" s="1319">
        <f t="shared" si="35"/>
        <v>1</v>
      </c>
      <c r="P62" s="1337"/>
      <c r="Q62" s="1316"/>
      <c r="R62" s="1330">
        <f t="shared" si="36"/>
        <v>0</v>
      </c>
      <c r="S62" s="1320"/>
      <c r="T62" s="1316"/>
      <c r="U62" s="1319">
        <f t="shared" si="37"/>
        <v>0</v>
      </c>
      <c r="V62" s="1318"/>
      <c r="W62" s="1316"/>
      <c r="X62" s="1330">
        <f t="shared" si="38"/>
        <v>0</v>
      </c>
      <c r="Y62" s="1321">
        <f t="shared" si="39"/>
        <v>0</v>
      </c>
      <c r="Z62" s="1316"/>
      <c r="AA62" s="1322">
        <f t="shared" si="40"/>
        <v>1</v>
      </c>
      <c r="AB62" s="560"/>
      <c r="AG62" s="1331"/>
    </row>
    <row r="63" ht="15.75" customHeight="1" spans="1:33">
      <c r="A63" s="1287"/>
      <c r="B63" s="143"/>
      <c r="C63" s="1329" t="s">
        <v>201</v>
      </c>
      <c r="D63" s="1316"/>
      <c r="E63" s="1316"/>
      <c r="F63" s="1317">
        <f t="shared" si="41"/>
        <v>1</v>
      </c>
      <c r="G63" s="1320"/>
      <c r="H63" s="1316"/>
      <c r="I63" s="1319">
        <f t="shared" si="42"/>
        <v>1</v>
      </c>
      <c r="J63" s="1320"/>
      <c r="K63" s="1316"/>
      <c r="L63" s="1319">
        <f t="shared" si="43"/>
        <v>1</v>
      </c>
      <c r="M63" s="1320"/>
      <c r="N63" s="1316"/>
      <c r="O63" s="1319">
        <f t="shared" si="35"/>
        <v>1</v>
      </c>
      <c r="P63" s="1337"/>
      <c r="Q63" s="1316"/>
      <c r="R63" s="1330">
        <f t="shared" si="36"/>
        <v>0</v>
      </c>
      <c r="S63" s="1320"/>
      <c r="T63" s="1316"/>
      <c r="U63" s="1319">
        <f t="shared" si="37"/>
        <v>0</v>
      </c>
      <c r="V63" s="1318"/>
      <c r="W63" s="1316"/>
      <c r="X63" s="1330">
        <f t="shared" si="38"/>
        <v>0</v>
      </c>
      <c r="Y63" s="1321">
        <f t="shared" si="39"/>
        <v>0</v>
      </c>
      <c r="Z63" s="1316"/>
      <c r="AA63" s="1322">
        <f t="shared" si="40"/>
        <v>1</v>
      </c>
      <c r="AB63" s="560"/>
      <c r="AG63" s="1331"/>
    </row>
    <row r="64" spans="1:33">
      <c r="A64" s="1287"/>
      <c r="B64" s="143"/>
      <c r="C64" s="1309" t="s">
        <v>202</v>
      </c>
      <c r="D64" s="1316"/>
      <c r="E64" s="1316"/>
      <c r="F64" s="1317">
        <f t="shared" si="41"/>
        <v>1</v>
      </c>
      <c r="G64" s="1320"/>
      <c r="H64" s="1316"/>
      <c r="I64" s="1319">
        <f t="shared" si="42"/>
        <v>1</v>
      </c>
      <c r="J64" s="1320"/>
      <c r="K64" s="1316"/>
      <c r="L64" s="1319">
        <f t="shared" si="43"/>
        <v>1</v>
      </c>
      <c r="M64" s="1320"/>
      <c r="N64" s="1316"/>
      <c r="O64" s="1319">
        <f t="shared" si="35"/>
        <v>1</v>
      </c>
      <c r="P64" s="1337"/>
      <c r="Q64" s="1316"/>
      <c r="R64" s="1330">
        <f t="shared" si="36"/>
        <v>0</v>
      </c>
      <c r="S64" s="1320"/>
      <c r="T64" s="1316"/>
      <c r="U64" s="1319">
        <f t="shared" si="37"/>
        <v>0</v>
      </c>
      <c r="V64" s="1318"/>
      <c r="W64" s="1316"/>
      <c r="X64" s="1330">
        <f t="shared" si="38"/>
        <v>0</v>
      </c>
      <c r="Y64" s="1321">
        <f t="shared" si="39"/>
        <v>0</v>
      </c>
      <c r="Z64" s="1316"/>
      <c r="AA64" s="1322">
        <f t="shared" si="40"/>
        <v>1</v>
      </c>
      <c r="AB64" s="560"/>
      <c r="AG64" s="1331"/>
    </row>
    <row r="65" ht="12.45" customHeight="1" spans="1:33">
      <c r="A65" s="1287"/>
      <c r="B65" s="143"/>
      <c r="C65" s="1309" t="s">
        <v>203</v>
      </c>
      <c r="D65" s="1316"/>
      <c r="E65" s="1316"/>
      <c r="F65" s="1317">
        <f t="shared" si="41"/>
        <v>1</v>
      </c>
      <c r="G65" s="1320"/>
      <c r="H65" s="1316"/>
      <c r="I65" s="1319">
        <f t="shared" si="42"/>
        <v>1</v>
      </c>
      <c r="J65" s="1320"/>
      <c r="K65" s="1316"/>
      <c r="L65" s="1319">
        <f t="shared" si="43"/>
        <v>1</v>
      </c>
      <c r="M65" s="1320"/>
      <c r="N65" s="1316"/>
      <c r="O65" s="1319">
        <f t="shared" si="35"/>
        <v>1</v>
      </c>
      <c r="P65" s="1337"/>
      <c r="Q65" s="1316"/>
      <c r="R65" s="1330">
        <f t="shared" si="36"/>
        <v>0</v>
      </c>
      <c r="S65" s="1320"/>
      <c r="T65" s="1316"/>
      <c r="U65" s="1319">
        <f t="shared" si="37"/>
        <v>0</v>
      </c>
      <c r="V65" s="1318"/>
      <c r="W65" s="1316"/>
      <c r="X65" s="1330">
        <f t="shared" si="38"/>
        <v>0</v>
      </c>
      <c r="Y65" s="1321">
        <f t="shared" si="39"/>
        <v>0</v>
      </c>
      <c r="Z65" s="1316"/>
      <c r="AA65" s="1322">
        <f t="shared" si="40"/>
        <v>1</v>
      </c>
      <c r="AB65" s="560"/>
      <c r="AG65" s="1331"/>
    </row>
    <row r="66" spans="1:33">
      <c r="A66" s="1287"/>
      <c r="B66" s="143"/>
      <c r="C66" s="1309" t="s">
        <v>204</v>
      </c>
      <c r="D66" s="1316"/>
      <c r="E66" s="1316"/>
      <c r="F66" s="1317">
        <f t="shared" si="41"/>
        <v>1</v>
      </c>
      <c r="G66" s="1320"/>
      <c r="H66" s="1316"/>
      <c r="I66" s="1319">
        <f t="shared" si="42"/>
        <v>1</v>
      </c>
      <c r="J66" s="1348"/>
      <c r="K66" s="1316"/>
      <c r="L66" s="1319">
        <f t="shared" si="43"/>
        <v>1</v>
      </c>
      <c r="M66" s="1320"/>
      <c r="N66" s="1316"/>
      <c r="O66" s="1319">
        <f t="shared" si="35"/>
        <v>1</v>
      </c>
      <c r="P66" s="1337"/>
      <c r="Q66" s="1316"/>
      <c r="R66" s="1319">
        <f t="shared" si="36"/>
        <v>0</v>
      </c>
      <c r="S66" s="1320"/>
      <c r="T66" s="1316"/>
      <c r="U66" s="1319">
        <f t="shared" si="37"/>
        <v>0</v>
      </c>
      <c r="V66" s="1318"/>
      <c r="W66" s="1316"/>
      <c r="X66" s="1330">
        <f t="shared" si="38"/>
        <v>0</v>
      </c>
      <c r="Y66" s="1321">
        <f t="shared" si="39"/>
        <v>0</v>
      </c>
      <c r="Z66" s="1316"/>
      <c r="AA66" s="1322">
        <f t="shared" si="40"/>
        <v>1</v>
      </c>
      <c r="AB66" s="560"/>
      <c r="AG66" s="1331"/>
    </row>
    <row r="67" spans="1:33">
      <c r="A67" s="1287"/>
      <c r="B67" s="700"/>
      <c r="C67" s="1309"/>
      <c r="D67" s="1316"/>
      <c r="E67" s="1316"/>
      <c r="F67" s="1317">
        <f t="shared" si="41"/>
        <v>1</v>
      </c>
      <c r="G67" s="1320"/>
      <c r="H67" s="1316"/>
      <c r="I67" s="1319">
        <f t="shared" si="42"/>
        <v>1</v>
      </c>
      <c r="J67" s="1320"/>
      <c r="K67" s="1316"/>
      <c r="L67" s="1319">
        <f t="shared" si="43"/>
        <v>1</v>
      </c>
      <c r="M67" s="1320"/>
      <c r="N67" s="1316"/>
      <c r="O67" s="1319">
        <f t="shared" si="35"/>
        <v>1</v>
      </c>
      <c r="P67" s="1320"/>
      <c r="Q67" s="1316"/>
      <c r="R67" s="1319">
        <f t="shared" si="36"/>
        <v>0</v>
      </c>
      <c r="S67" s="1320"/>
      <c r="T67" s="1316"/>
      <c r="U67" s="1319">
        <f t="shared" si="37"/>
        <v>0</v>
      </c>
      <c r="V67" s="1318"/>
      <c r="W67" s="1349"/>
      <c r="X67" s="1330">
        <f t="shared" si="38"/>
        <v>0</v>
      </c>
      <c r="Y67" s="1321">
        <f t="shared" si="39"/>
        <v>0</v>
      </c>
      <c r="Z67" s="1316"/>
      <c r="AA67" s="1322">
        <f t="shared" si="40"/>
        <v>1</v>
      </c>
      <c r="AB67" s="560"/>
      <c r="AG67" s="1331"/>
    </row>
    <row r="68" ht="12.9" customHeight="1" spans="1:33">
      <c r="A68" s="1287"/>
      <c r="B68" s="1350"/>
      <c r="C68" s="1309" t="s">
        <v>164</v>
      </c>
      <c r="D68" s="1310">
        <f>SUM(D69:D77)</f>
        <v>0</v>
      </c>
      <c r="E68" s="1310">
        <f>SUM(E69:E77)</f>
        <v>0</v>
      </c>
      <c r="F68" s="1311">
        <f t="shared" si="41"/>
        <v>1</v>
      </c>
      <c r="G68" s="1325">
        <f>SUM(G69:G77)</f>
        <v>0</v>
      </c>
      <c r="H68" s="1310">
        <f>SUM(H69:H77)</f>
        <v>0</v>
      </c>
      <c r="I68" s="1313">
        <f t="shared" si="42"/>
        <v>1</v>
      </c>
      <c r="J68" s="1325">
        <f>SUM(J69:J77)</f>
        <v>0</v>
      </c>
      <c r="K68" s="1310">
        <f>SUM(K69:K77)</f>
        <v>0</v>
      </c>
      <c r="L68" s="1313">
        <f t="shared" si="43"/>
        <v>1</v>
      </c>
      <c r="M68" s="1325">
        <f>SUM(M69:M77)</f>
        <v>0</v>
      </c>
      <c r="N68" s="1310">
        <f>SUM(N69:N77)</f>
        <v>0</v>
      </c>
      <c r="O68" s="1313">
        <f t="shared" si="35"/>
        <v>1</v>
      </c>
      <c r="P68" s="1325">
        <f>SUM(P69:P77)</f>
        <v>0</v>
      </c>
      <c r="Q68" s="1310"/>
      <c r="R68" s="1313">
        <f t="shared" si="36"/>
        <v>0</v>
      </c>
      <c r="S68" s="1325">
        <f>SUM(S69:S77)</f>
        <v>0</v>
      </c>
      <c r="T68" s="1310">
        <f>SUM(T69:T77)</f>
        <v>0</v>
      </c>
      <c r="U68" s="1313">
        <f t="shared" ref="U68:U77" si="44">IF(S68=0,1,T68/S68)</f>
        <v>1</v>
      </c>
      <c r="V68" s="1312">
        <f>SUM(V69:V77)</f>
        <v>0</v>
      </c>
      <c r="W68" s="1310">
        <f>SUM(W69:W77)</f>
        <v>0</v>
      </c>
      <c r="X68" s="1313"/>
      <c r="Y68" s="1314">
        <f>SUM(Y69:Y77)</f>
        <v>0</v>
      </c>
      <c r="Z68" s="1310">
        <f>SUM(Z69:Z77)</f>
        <v>0</v>
      </c>
      <c r="AA68" s="1315">
        <f>IF(Y68=0,1,Z68/Y68)</f>
        <v>1</v>
      </c>
      <c r="AG68" s="1331"/>
    </row>
    <row r="69" ht="12.9" customHeight="1" spans="1:33">
      <c r="A69" s="1287"/>
      <c r="B69" s="1336" t="s">
        <v>205</v>
      </c>
      <c r="C69" s="1309" t="s">
        <v>206</v>
      </c>
      <c r="D69" s="1316"/>
      <c r="E69" s="1316"/>
      <c r="F69" s="1317">
        <f t="shared" si="41"/>
        <v>1</v>
      </c>
      <c r="G69" s="1320"/>
      <c r="H69" s="1316"/>
      <c r="I69" s="1319">
        <f t="shared" si="42"/>
        <v>1</v>
      </c>
      <c r="J69" s="1320"/>
      <c r="K69" s="1316"/>
      <c r="L69" s="1319">
        <f t="shared" si="43"/>
        <v>1</v>
      </c>
      <c r="M69" s="1320"/>
      <c r="N69" s="1316"/>
      <c r="O69" s="1319">
        <f t="shared" si="35"/>
        <v>1</v>
      </c>
      <c r="P69" s="1320"/>
      <c r="Q69" s="1316"/>
      <c r="R69" s="1319">
        <f t="shared" ref="R69:R77" si="45">IF(P69=0,1,Q69/P69)</f>
        <v>1</v>
      </c>
      <c r="S69" s="1320"/>
      <c r="T69" s="1316"/>
      <c r="U69" s="1319">
        <f t="shared" si="44"/>
        <v>1</v>
      </c>
      <c r="V69" s="1318"/>
      <c r="W69" s="1316"/>
      <c r="X69" s="1319">
        <f>IF(W69&lt;V69,-(V69-W69)*300,0)</f>
        <v>0</v>
      </c>
      <c r="Y69" s="1321">
        <f>Z69</f>
        <v>0</v>
      </c>
      <c r="Z69" s="1316"/>
      <c r="AA69" s="1322">
        <f t="shared" ref="AA69:AA77" si="46">IF(IF(Y69=0,1,Z69/Y69)&gt;1,1,IF(Y69=0,1,Z69/Y69))</f>
        <v>1</v>
      </c>
      <c r="AB69" s="560"/>
      <c r="AG69" s="1331"/>
    </row>
    <row r="70" ht="12.9" customHeight="1" spans="1:33">
      <c r="A70" s="1287"/>
      <c r="B70" s="143"/>
      <c r="C70" s="1309"/>
      <c r="D70" s="1316"/>
      <c r="E70" s="1316"/>
      <c r="F70" s="1317">
        <f t="shared" si="41"/>
        <v>1</v>
      </c>
      <c r="G70" s="1320"/>
      <c r="H70" s="1316"/>
      <c r="I70" s="1319">
        <f>IF(G71=0,1,H70/G71)</f>
        <v>1</v>
      </c>
      <c r="J70" s="1320"/>
      <c r="K70" s="1316"/>
      <c r="L70" s="1319">
        <f t="shared" si="43"/>
        <v>1</v>
      </c>
      <c r="M70" s="1320"/>
      <c r="N70" s="1316"/>
      <c r="O70" s="1319">
        <f t="shared" si="35"/>
        <v>1</v>
      </c>
      <c r="P70" s="1320"/>
      <c r="Q70" s="1316"/>
      <c r="R70" s="1319">
        <f t="shared" si="45"/>
        <v>1</v>
      </c>
      <c r="S70" s="1320">
        <f>Z70</f>
        <v>0</v>
      </c>
      <c r="T70" s="1316"/>
      <c r="U70" s="1319">
        <f t="shared" si="44"/>
        <v>1</v>
      </c>
      <c r="V70" s="1318"/>
      <c r="W70" s="1316"/>
      <c r="X70" s="1319">
        <f>IF(W70&lt;V70,-(V70-W70)*300,0)</f>
        <v>0</v>
      </c>
      <c r="Y70" s="1321">
        <f t="shared" ref="Y70:Y77" si="47">J70+G70+M70</f>
        <v>0</v>
      </c>
      <c r="Z70" s="1316"/>
      <c r="AA70" s="1322">
        <f t="shared" si="46"/>
        <v>1</v>
      </c>
      <c r="AB70" s="560"/>
      <c r="AG70" s="1331"/>
    </row>
    <row r="71" ht="12.9" customHeight="1" spans="1:33">
      <c r="A71" s="1287"/>
      <c r="B71" s="143"/>
      <c r="C71" s="1309"/>
      <c r="D71" s="1316"/>
      <c r="E71" s="1316"/>
      <c r="F71" s="1317">
        <f t="shared" si="41"/>
        <v>1</v>
      </c>
      <c r="G71" s="1320"/>
      <c r="H71" s="1316"/>
      <c r="I71" s="1319">
        <f>IF(G72=0,1,H71/G72)</f>
        <v>1</v>
      </c>
      <c r="J71" s="1320"/>
      <c r="K71" s="1316"/>
      <c r="L71" s="1319">
        <f t="shared" si="43"/>
        <v>1</v>
      </c>
      <c r="M71" s="1320"/>
      <c r="N71" s="1316"/>
      <c r="O71" s="1319">
        <f t="shared" si="35"/>
        <v>1</v>
      </c>
      <c r="P71" s="1320"/>
      <c r="Q71" s="1316"/>
      <c r="R71" s="1319">
        <f t="shared" si="45"/>
        <v>1</v>
      </c>
      <c r="S71" s="1320">
        <f>Z71</f>
        <v>0</v>
      </c>
      <c r="T71" s="1316"/>
      <c r="U71" s="1319">
        <f t="shared" si="44"/>
        <v>1</v>
      </c>
      <c r="V71" s="1318"/>
      <c r="W71" s="1316"/>
      <c r="X71" s="1319">
        <f>IF(W71&lt;V71,-(V71-W71)*300,0)</f>
        <v>0</v>
      </c>
      <c r="Y71" s="1321">
        <f t="shared" si="47"/>
        <v>0</v>
      </c>
      <c r="Z71" s="1316"/>
      <c r="AA71" s="1322">
        <f t="shared" si="46"/>
        <v>1</v>
      </c>
      <c r="AB71" s="560"/>
      <c r="AG71" s="1331"/>
    </row>
    <row r="72" ht="12.9" customHeight="1" spans="1:33">
      <c r="A72" s="1287"/>
      <c r="B72" s="143"/>
      <c r="C72" s="1309"/>
      <c r="D72" s="1316"/>
      <c r="E72" s="1316"/>
      <c r="F72" s="1317">
        <f t="shared" si="41"/>
        <v>1</v>
      </c>
      <c r="G72" s="1320"/>
      <c r="H72" s="1316"/>
      <c r="I72" s="1319">
        <f>IF(G73=0,1,H72/G73)</f>
        <v>1</v>
      </c>
      <c r="J72" s="1320"/>
      <c r="K72" s="1316"/>
      <c r="L72" s="1319">
        <f t="shared" si="43"/>
        <v>1</v>
      </c>
      <c r="M72" s="1320"/>
      <c r="N72" s="1316"/>
      <c r="O72" s="1319">
        <f t="shared" si="35"/>
        <v>1</v>
      </c>
      <c r="P72" s="1320"/>
      <c r="Q72" s="1316"/>
      <c r="R72" s="1319">
        <f t="shared" si="45"/>
        <v>1</v>
      </c>
      <c r="S72" s="1320">
        <f>Z72</f>
        <v>0</v>
      </c>
      <c r="T72" s="1316"/>
      <c r="U72" s="1319">
        <f t="shared" si="44"/>
        <v>1</v>
      </c>
      <c r="V72" s="1318"/>
      <c r="W72" s="1316"/>
      <c r="X72" s="1319">
        <f>IF(W72&lt;V72,-(V72-W72)*300,0)</f>
        <v>0</v>
      </c>
      <c r="Y72" s="1321">
        <f t="shared" si="47"/>
        <v>0</v>
      </c>
      <c r="Z72" s="1316"/>
      <c r="AA72" s="1322">
        <f t="shared" si="46"/>
        <v>1</v>
      </c>
      <c r="AB72" s="560"/>
      <c r="AG72" s="1331"/>
    </row>
    <row r="73" ht="12.9" customHeight="1" spans="1:33">
      <c r="A73" s="1287"/>
      <c r="B73" s="143"/>
      <c r="C73" s="1309"/>
      <c r="D73" s="1316"/>
      <c r="E73" s="1316"/>
      <c r="F73" s="1317">
        <f t="shared" si="41"/>
        <v>1</v>
      </c>
      <c r="G73" s="1320"/>
      <c r="H73" s="1316"/>
      <c r="I73" s="1319">
        <f>IF(G74=0,1,H73/G74)</f>
        <v>1</v>
      </c>
      <c r="J73" s="1320"/>
      <c r="K73" s="1316"/>
      <c r="L73" s="1319">
        <f t="shared" si="43"/>
        <v>1</v>
      </c>
      <c r="M73" s="1320"/>
      <c r="N73" s="1316"/>
      <c r="O73" s="1319">
        <f t="shared" si="35"/>
        <v>1</v>
      </c>
      <c r="P73" s="1320"/>
      <c r="Q73" s="1316"/>
      <c r="R73" s="1319">
        <f t="shared" si="45"/>
        <v>1</v>
      </c>
      <c r="S73" s="1320">
        <f>Z73</f>
        <v>0</v>
      </c>
      <c r="T73" s="1316"/>
      <c r="U73" s="1319">
        <f t="shared" si="44"/>
        <v>1</v>
      </c>
      <c r="V73" s="1318"/>
      <c r="W73" s="1316"/>
      <c r="X73" s="1319">
        <f>IF(W73&lt;V73,-(V73-W73)*500,0)</f>
        <v>0</v>
      </c>
      <c r="Y73" s="1321">
        <f t="shared" si="47"/>
        <v>0</v>
      </c>
      <c r="Z73" s="1316"/>
      <c r="AA73" s="1322">
        <f t="shared" si="46"/>
        <v>1</v>
      </c>
      <c r="AB73" s="560"/>
      <c r="AG73" s="1331"/>
    </row>
    <row r="74" ht="12.9" customHeight="1" spans="1:33">
      <c r="A74" s="1287"/>
      <c r="B74" s="143"/>
      <c r="C74" s="1309"/>
      <c r="D74" s="1316"/>
      <c r="E74" s="1316"/>
      <c r="F74" s="1317">
        <f t="shared" si="41"/>
        <v>1</v>
      </c>
      <c r="G74" s="1320"/>
      <c r="H74" s="1316"/>
      <c r="I74" s="1319">
        <f t="shared" ref="I74:I79" si="48">IF(G74=0,1,H74/G74)</f>
        <v>1</v>
      </c>
      <c r="J74" s="1320"/>
      <c r="K74" s="1316"/>
      <c r="L74" s="1319">
        <f t="shared" si="43"/>
        <v>1</v>
      </c>
      <c r="M74" s="1320"/>
      <c r="N74" s="1316"/>
      <c r="O74" s="1319">
        <f t="shared" si="35"/>
        <v>1</v>
      </c>
      <c r="P74" s="1320"/>
      <c r="Q74" s="1316"/>
      <c r="R74" s="1319">
        <f t="shared" si="45"/>
        <v>1</v>
      </c>
      <c r="S74" s="1320"/>
      <c r="T74" s="1316"/>
      <c r="U74" s="1319">
        <f t="shared" si="44"/>
        <v>1</v>
      </c>
      <c r="V74" s="1318"/>
      <c r="W74" s="1316"/>
      <c r="X74" s="1319">
        <f>IF(W74&lt;V74,-(V74-W74)*500,0)</f>
        <v>0</v>
      </c>
      <c r="Y74" s="1321">
        <f t="shared" si="47"/>
        <v>0</v>
      </c>
      <c r="Z74" s="1316"/>
      <c r="AA74" s="1322">
        <f t="shared" si="46"/>
        <v>1</v>
      </c>
      <c r="AB74" s="560"/>
      <c r="AG74" s="1331"/>
    </row>
    <row r="75" ht="12.9" customHeight="1" spans="1:33">
      <c r="A75" s="1287"/>
      <c r="B75" s="143"/>
      <c r="C75" s="1309"/>
      <c r="D75" s="1316"/>
      <c r="E75" s="1316"/>
      <c r="F75" s="1317">
        <f t="shared" si="41"/>
        <v>1</v>
      </c>
      <c r="G75" s="1320"/>
      <c r="H75" s="1316"/>
      <c r="I75" s="1319">
        <f t="shared" si="48"/>
        <v>1</v>
      </c>
      <c r="J75" s="1320"/>
      <c r="K75" s="1316"/>
      <c r="L75" s="1319">
        <f t="shared" si="43"/>
        <v>1</v>
      </c>
      <c r="M75" s="1320"/>
      <c r="N75" s="1316"/>
      <c r="O75" s="1319">
        <f t="shared" si="35"/>
        <v>1</v>
      </c>
      <c r="P75" s="1320"/>
      <c r="Q75" s="1316"/>
      <c r="R75" s="1319">
        <f t="shared" si="45"/>
        <v>1</v>
      </c>
      <c r="S75" s="1320"/>
      <c r="T75" s="1316"/>
      <c r="U75" s="1319">
        <f t="shared" si="44"/>
        <v>1</v>
      </c>
      <c r="V75" s="1318"/>
      <c r="W75" s="1316"/>
      <c r="X75" s="1319">
        <f>IF(W75&lt;V75,-(V75-W75)*500,0)</f>
        <v>0</v>
      </c>
      <c r="Y75" s="1321">
        <f t="shared" si="47"/>
        <v>0</v>
      </c>
      <c r="Z75" s="1316"/>
      <c r="AA75" s="1322">
        <f t="shared" si="46"/>
        <v>1</v>
      </c>
      <c r="AB75" s="560"/>
      <c r="AG75" s="1331"/>
    </row>
    <row r="76" ht="12.9" customHeight="1" spans="1:33">
      <c r="A76" s="1287"/>
      <c r="B76" s="143"/>
      <c r="C76" s="1309"/>
      <c r="D76" s="1316"/>
      <c r="E76" s="1316"/>
      <c r="F76" s="1317">
        <f t="shared" si="41"/>
        <v>1</v>
      </c>
      <c r="G76" s="1320"/>
      <c r="H76" s="1316"/>
      <c r="I76" s="1319">
        <f t="shared" si="48"/>
        <v>1</v>
      </c>
      <c r="J76" s="1320"/>
      <c r="K76" s="1316"/>
      <c r="L76" s="1319">
        <f t="shared" si="43"/>
        <v>1</v>
      </c>
      <c r="M76" s="1320"/>
      <c r="N76" s="1316"/>
      <c r="O76" s="1319">
        <f t="shared" si="35"/>
        <v>1</v>
      </c>
      <c r="P76" s="1320"/>
      <c r="Q76" s="1316"/>
      <c r="R76" s="1319">
        <f t="shared" si="45"/>
        <v>1</v>
      </c>
      <c r="S76" s="1320"/>
      <c r="T76" s="1316"/>
      <c r="U76" s="1319">
        <f t="shared" si="44"/>
        <v>1</v>
      </c>
      <c r="V76" s="1318"/>
      <c r="W76" s="1316"/>
      <c r="X76" s="1319">
        <f>IF(W76&lt;V76,-(V76-W76)*500,0)</f>
        <v>0</v>
      </c>
      <c r="Y76" s="1321">
        <f t="shared" si="47"/>
        <v>0</v>
      </c>
      <c r="Z76" s="1316"/>
      <c r="AA76" s="1322">
        <f t="shared" si="46"/>
        <v>1</v>
      </c>
      <c r="AB76" s="560"/>
      <c r="AG76" s="1331"/>
    </row>
    <row r="77" ht="12.9" customHeight="1" spans="1:33">
      <c r="A77" s="1292"/>
      <c r="B77" s="700"/>
      <c r="C77" s="1309"/>
      <c r="D77" s="1316"/>
      <c r="E77" s="1316"/>
      <c r="F77" s="1317">
        <f t="shared" si="41"/>
        <v>1</v>
      </c>
      <c r="G77" s="1320"/>
      <c r="H77" s="1316"/>
      <c r="I77" s="1319">
        <f t="shared" si="48"/>
        <v>1</v>
      </c>
      <c r="J77" s="1320"/>
      <c r="K77" s="1316"/>
      <c r="L77" s="1319">
        <f t="shared" si="43"/>
        <v>1</v>
      </c>
      <c r="M77" s="1320"/>
      <c r="N77" s="1316"/>
      <c r="O77" s="1319">
        <f t="shared" si="35"/>
        <v>1</v>
      </c>
      <c r="P77" s="1320"/>
      <c r="Q77" s="1316"/>
      <c r="R77" s="1319">
        <f t="shared" si="45"/>
        <v>1</v>
      </c>
      <c r="S77" s="1320"/>
      <c r="T77" s="1316"/>
      <c r="U77" s="1319">
        <f t="shared" si="44"/>
        <v>1</v>
      </c>
      <c r="V77" s="1318"/>
      <c r="W77" s="1316"/>
      <c r="X77" s="1319">
        <f>IF(W77&lt;V77,-(V77-W77)*500,0)</f>
        <v>0</v>
      </c>
      <c r="Y77" s="1321">
        <f t="shared" si="47"/>
        <v>0</v>
      </c>
      <c r="Z77" s="1316"/>
      <c r="AA77" s="1322">
        <f t="shared" si="46"/>
        <v>1</v>
      </c>
      <c r="AB77" s="560"/>
      <c r="AG77" s="1331"/>
    </row>
    <row r="78" spans="1:33">
      <c r="A78" s="1351" t="s">
        <v>207</v>
      </c>
      <c r="B78" s="1303"/>
      <c r="C78" s="1352" t="s">
        <v>162</v>
      </c>
      <c r="D78" s="1304">
        <f>SUM(D79:D80)</f>
        <v>0</v>
      </c>
      <c r="E78" s="1304">
        <f>SUM(E79:E80)</f>
        <v>0</v>
      </c>
      <c r="F78" s="1305">
        <f t="shared" si="41"/>
        <v>1</v>
      </c>
      <c r="G78" s="1306">
        <f>SUM(G79:G80)</f>
        <v>0</v>
      </c>
      <c r="H78" s="1304">
        <f>SUM(H79:H80)</f>
        <v>0</v>
      </c>
      <c r="I78" s="1353">
        <f t="shared" si="48"/>
        <v>1</v>
      </c>
      <c r="J78" s="1306">
        <f>SUM(J79:J80)</f>
        <v>0</v>
      </c>
      <c r="K78" s="1304">
        <f>SUM(K79:K80)</f>
        <v>0</v>
      </c>
      <c r="L78" s="1353">
        <f t="shared" si="43"/>
        <v>1</v>
      </c>
      <c r="M78" s="1306">
        <f>SUM(M79:M80)</f>
        <v>0</v>
      </c>
      <c r="N78" s="1304">
        <f>SUM(N79:N80)</f>
        <v>0</v>
      </c>
      <c r="O78" s="1353">
        <f t="shared" si="35"/>
        <v>1</v>
      </c>
      <c r="P78" s="1304">
        <f>SUM(P79:P80)</f>
        <v>0</v>
      </c>
      <c r="Q78" s="1304">
        <f>SUM(Q79:Q80)</f>
        <v>0</v>
      </c>
      <c r="R78" s="1353"/>
      <c r="S78" s="1306">
        <f>SUM(S79:S80)</f>
        <v>0</v>
      </c>
      <c r="T78" s="1304">
        <f>SUM(T79:T80)</f>
        <v>0</v>
      </c>
      <c r="U78" s="1353"/>
      <c r="V78" s="1306">
        <f>SUM(V79:V80)</f>
        <v>0</v>
      </c>
      <c r="W78" s="1304">
        <f>SUM(W79:W80)</f>
        <v>0</v>
      </c>
      <c r="X78" s="1353">
        <f>IF(V78=0,1,W78/V78)</f>
        <v>1</v>
      </c>
      <c r="Y78" s="1307">
        <f>SUM(Y79:Y80)</f>
        <v>0</v>
      </c>
      <c r="Z78" s="1304">
        <f>SUM(Z79:Z80)</f>
        <v>0</v>
      </c>
      <c r="AA78" s="1354">
        <f>IF(Y78=0,1,Z78/Y78)</f>
        <v>1</v>
      </c>
      <c r="AG78" s="1331"/>
    </row>
    <row r="79" spans="1:33">
      <c r="A79" s="1287"/>
      <c r="B79" s="143"/>
      <c r="C79" s="1355"/>
      <c r="D79" s="1316"/>
      <c r="E79" s="1316"/>
      <c r="F79" s="1317"/>
      <c r="G79" s="1320"/>
      <c r="H79" s="1316"/>
      <c r="I79" s="1319">
        <f t="shared" si="48"/>
        <v>1</v>
      </c>
      <c r="J79" s="1320"/>
      <c r="K79" s="1316"/>
      <c r="L79" s="1319"/>
      <c r="M79" s="1320"/>
      <c r="N79" s="1316"/>
      <c r="O79" s="1319">
        <f t="shared" si="35"/>
        <v>1</v>
      </c>
      <c r="P79" s="1320"/>
      <c r="Q79" s="1316"/>
      <c r="R79" s="1319">
        <f>IF(Q79&lt;P79,-(P79-Q79)*200,0)</f>
        <v>0</v>
      </c>
      <c r="S79" s="1320"/>
      <c r="T79" s="1316"/>
      <c r="U79" s="1319">
        <f>IF(T79&lt;S79,-(S79-T79)*300,0)</f>
        <v>0</v>
      </c>
      <c r="V79" s="1318"/>
      <c r="W79" s="1316"/>
      <c r="X79" s="1319"/>
      <c r="Y79" s="1321">
        <f>G79+J79</f>
        <v>0</v>
      </c>
      <c r="Z79" s="1316"/>
      <c r="AA79" s="1322">
        <f>IF(IF(Y79=0,1,Z79/Y79)&gt;1,1,IF(Y79=0,1,Z79/Y79))</f>
        <v>1</v>
      </c>
      <c r="AB79" s="560"/>
      <c r="AG79" s="1331"/>
    </row>
    <row r="80" spans="1:33">
      <c r="A80" s="1292"/>
      <c r="B80" s="700"/>
      <c r="C80" s="1355" t="s">
        <v>208</v>
      </c>
      <c r="D80" s="1316"/>
      <c r="E80" s="1316"/>
      <c r="F80" s="1317"/>
      <c r="G80" s="1320"/>
      <c r="H80" s="1316"/>
      <c r="I80" s="1319"/>
      <c r="J80" s="1320"/>
      <c r="K80" s="1316"/>
      <c r="L80" s="1319">
        <f>IF(J80=0,1,K80/J80)</f>
        <v>1</v>
      </c>
      <c r="M80" s="1320"/>
      <c r="N80" s="1316"/>
      <c r="O80" s="1319">
        <f t="shared" si="35"/>
        <v>1</v>
      </c>
      <c r="P80" s="1320"/>
      <c r="Q80" s="1316"/>
      <c r="R80" s="1319"/>
      <c r="S80" s="1320"/>
      <c r="T80" s="1316"/>
      <c r="U80" s="1319">
        <f>IF(T80&lt;S80,-(S80-T80)*300,0)</f>
        <v>0</v>
      </c>
      <c r="V80" s="1318"/>
      <c r="W80" s="1316"/>
      <c r="X80" s="1319">
        <f>IF(W80&lt;V80,-(V80-W80)*500,0)</f>
        <v>0</v>
      </c>
      <c r="Y80" s="1321">
        <f>G80+J80</f>
        <v>0</v>
      </c>
      <c r="Z80" s="1316"/>
      <c r="AA80" s="1322">
        <f>IF(IF(Y80=0,1,Z80/Y80)&gt;1,1,IF(Y80=0,1,Z80/Y80))</f>
        <v>1</v>
      </c>
      <c r="AB80" s="560"/>
      <c r="AG80" s="1331"/>
    </row>
    <row r="81" spans="1:33">
      <c r="A81" s="1351" t="s">
        <v>209</v>
      </c>
      <c r="B81" s="1356"/>
      <c r="C81" s="1352" t="s">
        <v>162</v>
      </c>
      <c r="D81" s="1304">
        <f>SUM(D82:D87)</f>
        <v>0</v>
      </c>
      <c r="E81" s="1304">
        <f>SUM(E82:E87)</f>
        <v>0</v>
      </c>
      <c r="F81" s="1305">
        <f>IF(D81=0,1,E81/D81)</f>
        <v>1</v>
      </c>
      <c r="G81" s="1357">
        <f>SUM(G82:G87)</f>
        <v>0</v>
      </c>
      <c r="H81" s="1357">
        <f>SUM(H82:H87)</f>
        <v>0</v>
      </c>
      <c r="I81" s="1353">
        <f>IF(G81=0,1,H81/G81)</f>
        <v>1</v>
      </c>
      <c r="J81" s="1357">
        <f>SUM(J82:J86)</f>
        <v>0</v>
      </c>
      <c r="K81" s="1358">
        <f>SUM(K82:K86)</f>
        <v>0</v>
      </c>
      <c r="L81" s="1353">
        <f>IF(J81=0,1,K81/J81)</f>
        <v>1</v>
      </c>
      <c r="M81" s="1357">
        <f>SUM(M82:M86)</f>
        <v>0</v>
      </c>
      <c r="N81" s="1358">
        <f>SUM(N82:N86)</f>
        <v>0</v>
      </c>
      <c r="O81" s="1353">
        <f t="shared" si="35"/>
        <v>1</v>
      </c>
      <c r="P81" s="1357">
        <f>SUM(P82:P86)</f>
        <v>0</v>
      </c>
      <c r="Q81" s="1358">
        <f>SUM(Q82:Q86)</f>
        <v>0</v>
      </c>
      <c r="R81" s="1353"/>
      <c r="S81" s="1357">
        <f>SUM(S82:S86)</f>
        <v>0</v>
      </c>
      <c r="T81" s="1358">
        <f>SUM(T82:T86)</f>
        <v>0</v>
      </c>
      <c r="U81" s="1353"/>
      <c r="V81" s="1306">
        <f>SUM(V82:V86)</f>
        <v>0</v>
      </c>
      <c r="W81" s="1306">
        <f>SUM(W82:W86)</f>
        <v>0</v>
      </c>
      <c r="X81" s="1306">
        <f>SUM(X82:X86)</f>
        <v>0</v>
      </c>
      <c r="Y81" s="1307">
        <f>SUM(Y82:Y86)</f>
        <v>0</v>
      </c>
      <c r="Z81" s="1304">
        <f>SUM(Z82:Z86)</f>
        <v>0</v>
      </c>
      <c r="AA81" s="1354">
        <f>IF(Y81=0,1,Z81/Y81)</f>
        <v>1</v>
      </c>
      <c r="AG81" s="1331"/>
    </row>
    <row r="82" spans="1:33">
      <c r="A82" s="1287"/>
      <c r="B82" s="1359" t="s">
        <v>210</v>
      </c>
      <c r="C82" s="1355" t="s">
        <v>211</v>
      </c>
      <c r="D82" s="1316"/>
      <c r="E82" s="1316"/>
      <c r="F82" s="1317">
        <f>IF(D82=0,1,E82/D82)</f>
        <v>1</v>
      </c>
      <c r="G82" s="1320">
        <f>G7</f>
        <v>0</v>
      </c>
      <c r="H82" s="1316">
        <f>H7</f>
        <v>0</v>
      </c>
      <c r="I82" s="1319">
        <f>IF(G82=0,1,H82/G82)</f>
        <v>1</v>
      </c>
      <c r="J82" s="1320">
        <f>J7</f>
        <v>0</v>
      </c>
      <c r="K82" s="1316">
        <f>K7</f>
        <v>0</v>
      </c>
      <c r="L82" s="1319">
        <f>IF(J82=0,1,K82/J82)</f>
        <v>1</v>
      </c>
      <c r="M82" s="1320">
        <f>M7</f>
        <v>0</v>
      </c>
      <c r="N82" s="1316">
        <f>N7</f>
        <v>0</v>
      </c>
      <c r="O82" s="1319">
        <f t="shared" si="35"/>
        <v>1</v>
      </c>
      <c r="P82" s="1320">
        <f>P7</f>
        <v>0</v>
      </c>
      <c r="Q82" s="1316"/>
      <c r="R82" s="1319"/>
      <c r="S82" s="1320"/>
      <c r="T82" s="1316"/>
      <c r="U82" s="1319"/>
      <c r="V82" s="1318"/>
      <c r="W82" s="1316">
        <f>W28+W16</f>
        <v>0</v>
      </c>
      <c r="X82" s="1319">
        <f>IF(W82&lt;V82,-(V82-W82)*300,0)</f>
        <v>0</v>
      </c>
      <c r="Y82" s="1321">
        <f>Y7</f>
        <v>0</v>
      </c>
      <c r="Z82" s="1316">
        <f>Z7</f>
        <v>0</v>
      </c>
      <c r="AA82" s="1322">
        <f>IF(Y82=0,1,Z82/Y82)</f>
        <v>1</v>
      </c>
      <c r="AB82" s="560"/>
      <c r="AG82" s="1331"/>
    </row>
    <row r="83" spans="1:33">
      <c r="A83" s="1287"/>
      <c r="B83" s="1359" t="s">
        <v>212</v>
      </c>
      <c r="C83" s="1355" t="s">
        <v>213</v>
      </c>
      <c r="D83" s="1316">
        <f>Y56</f>
        <v>0</v>
      </c>
      <c r="E83" s="1316">
        <f>Z28</f>
        <v>0</v>
      </c>
      <c r="F83" s="1317">
        <f>IF(D83=0,1,E83/D83)</f>
        <v>1</v>
      </c>
      <c r="G83" s="1320"/>
      <c r="H83" s="1316"/>
      <c r="I83" s="1319"/>
      <c r="J83" s="1320"/>
      <c r="K83" s="1316"/>
      <c r="L83" s="1319"/>
      <c r="M83" s="1320"/>
      <c r="N83" s="1360"/>
      <c r="O83" s="1319">
        <f t="shared" si="35"/>
        <v>1</v>
      </c>
      <c r="P83" s="1320"/>
      <c r="Q83" s="1316"/>
      <c r="R83" s="1319"/>
      <c r="S83" s="1320"/>
      <c r="T83" s="1316"/>
      <c r="U83" s="1319"/>
      <c r="V83" s="1318"/>
      <c r="W83" s="1316">
        <f>SUM(W57:W67)</f>
        <v>0</v>
      </c>
      <c r="X83" s="1319">
        <f>IF(W83&lt;V83,-(V83-W83)*300,0)</f>
        <v>0</v>
      </c>
      <c r="Y83" s="1321">
        <f>Y54</f>
        <v>0</v>
      </c>
      <c r="Z83" s="1316">
        <f>Z54</f>
        <v>0</v>
      </c>
      <c r="AA83" s="1322">
        <f>IF(Y83=0,1,Z83/Y83)</f>
        <v>1</v>
      </c>
      <c r="AB83" s="560"/>
      <c r="AG83" s="1331"/>
    </row>
    <row r="84" spans="1:33">
      <c r="A84" s="1287"/>
      <c r="B84" s="1361"/>
      <c r="C84" s="1355" t="s">
        <v>214</v>
      </c>
      <c r="D84" s="1316">
        <f>Y28</f>
        <v>0</v>
      </c>
      <c r="E84" s="1316">
        <f>Z28</f>
        <v>0</v>
      </c>
      <c r="F84" s="1317">
        <f>IF(D84=0,1,E84/D84)</f>
        <v>1</v>
      </c>
      <c r="G84" s="1320"/>
      <c r="H84" s="1316"/>
      <c r="I84" s="1319"/>
      <c r="J84" s="1320"/>
      <c r="K84" s="1316"/>
      <c r="L84" s="1319"/>
      <c r="M84" s="1320"/>
      <c r="N84" s="1360"/>
      <c r="O84" s="1319">
        <f t="shared" si="35"/>
        <v>1</v>
      </c>
      <c r="P84" s="1320"/>
      <c r="Q84" s="1316"/>
      <c r="R84" s="1319"/>
      <c r="S84" s="1320"/>
      <c r="T84" s="1316"/>
      <c r="U84" s="1319"/>
      <c r="V84" s="1318"/>
      <c r="W84" s="1316">
        <f>SUM(W41:W53)</f>
        <v>0</v>
      </c>
      <c r="X84" s="1319">
        <f>IF(W84&lt;V84,-(V84-W84)*300,0)</f>
        <v>0</v>
      </c>
      <c r="Y84" s="1321">
        <f>Y143</f>
        <v>0</v>
      </c>
      <c r="Z84" s="1316">
        <f>Z143</f>
        <v>0</v>
      </c>
      <c r="AA84" s="1322">
        <f>IF(Y84=0,1,Z84/Y84)</f>
        <v>1</v>
      </c>
      <c r="AB84" s="560"/>
      <c r="AG84" s="1331"/>
    </row>
    <row r="85" ht="16.65" customHeight="1" spans="1:33">
      <c r="A85" s="1287"/>
      <c r="B85" s="1361" t="s">
        <v>215</v>
      </c>
      <c r="C85" s="1355" t="s">
        <v>211</v>
      </c>
      <c r="D85" s="1316">
        <f>D40</f>
        <v>0</v>
      </c>
      <c r="E85" s="1316">
        <f>E40</f>
        <v>0</v>
      </c>
      <c r="F85" s="1317">
        <f>IF(D85=0,1,E85/D85)</f>
        <v>1</v>
      </c>
      <c r="G85" s="1320">
        <f>G40</f>
        <v>0</v>
      </c>
      <c r="H85" s="1316">
        <f>H55</f>
        <v>0</v>
      </c>
      <c r="I85" s="1319">
        <f>IF(G85=0,1,H85/G85)</f>
        <v>1</v>
      </c>
      <c r="J85" s="1320">
        <f>J40</f>
        <v>0</v>
      </c>
      <c r="K85" s="1316">
        <f>K55</f>
        <v>0</v>
      </c>
      <c r="L85" s="1319">
        <f>IF(J85=0,1,K85/J85)</f>
        <v>1</v>
      </c>
      <c r="M85" s="1320">
        <f>M55</f>
        <v>0</v>
      </c>
      <c r="N85" s="1360">
        <f>N55</f>
        <v>0</v>
      </c>
      <c r="O85" s="1319">
        <f t="shared" si="35"/>
        <v>1</v>
      </c>
      <c r="P85" s="1320">
        <f>P40</f>
        <v>0</v>
      </c>
      <c r="Q85" s="1316"/>
      <c r="R85" s="1319"/>
      <c r="S85" s="1320"/>
      <c r="T85" s="1316"/>
      <c r="U85" s="1319"/>
      <c r="V85" s="1318"/>
      <c r="W85" s="1316">
        <f>SUM(W17:W26)</f>
        <v>0</v>
      </c>
      <c r="X85" s="1319">
        <f>IF(W85&lt;V85,-(V85-W85)*300,0)</f>
        <v>0</v>
      </c>
      <c r="Y85" s="1321">
        <f>Y56</f>
        <v>0</v>
      </c>
      <c r="Z85" s="1316">
        <f>Z56</f>
        <v>0</v>
      </c>
      <c r="AA85" s="1322">
        <f>IF(Y85=0,1,Z85/Y85)</f>
        <v>1</v>
      </c>
      <c r="AB85" s="560"/>
      <c r="AG85" s="1331"/>
    </row>
    <row r="86" spans="1:33">
      <c r="A86" s="1287"/>
      <c r="B86" s="1359" t="s">
        <v>174</v>
      </c>
      <c r="C86" s="1355" t="s">
        <v>216</v>
      </c>
      <c r="D86" s="1316"/>
      <c r="E86" s="1316"/>
      <c r="F86" s="1317"/>
      <c r="G86" s="1320"/>
      <c r="H86" s="1316"/>
      <c r="I86" s="1319">
        <f>IF(G86=0,1,H86/G86)</f>
        <v>1</v>
      </c>
      <c r="J86" s="1320"/>
      <c r="K86" s="1316"/>
      <c r="L86" s="1319"/>
      <c r="M86" s="1320"/>
      <c r="N86" s="1316"/>
      <c r="O86" s="1319"/>
      <c r="P86" s="1320"/>
      <c r="Q86" s="1316"/>
      <c r="R86" s="1319">
        <f t="shared" ref="R86:R91" si="49">IF(Q86&lt;P86,-(P86-Q86)*200,0)</f>
        <v>0</v>
      </c>
      <c r="S86" s="1320"/>
      <c r="T86" s="1316"/>
      <c r="U86" s="1319"/>
      <c r="V86" s="1318"/>
      <c r="W86" s="1316"/>
      <c r="X86" s="1319">
        <f>IF(W86&lt;V86,-(V86-W86)*300,0)</f>
        <v>0</v>
      </c>
      <c r="Y86" s="1321"/>
      <c r="Z86" s="1316"/>
      <c r="AA86" s="1322"/>
      <c r="AB86" s="560"/>
      <c r="AG86" s="1331"/>
    </row>
    <row r="87" ht="13.95" customHeight="1" spans="1:33">
      <c r="A87" s="1292"/>
      <c r="B87" s="1362"/>
      <c r="C87" s="1363"/>
      <c r="D87" s="1364">
        <f>D7</f>
        <v>0</v>
      </c>
      <c r="E87" s="1364">
        <f>E7</f>
        <v>0</v>
      </c>
      <c r="F87" s="1365"/>
      <c r="G87" s="1366"/>
      <c r="H87" s="1364"/>
      <c r="I87" s="1367"/>
      <c r="J87" s="1366"/>
      <c r="K87" s="1364"/>
      <c r="L87" s="1367"/>
      <c r="M87" s="1366"/>
      <c r="N87" s="1364"/>
      <c r="O87" s="1367"/>
      <c r="P87" s="1366"/>
      <c r="Q87" s="1364"/>
      <c r="R87" s="1367">
        <f t="shared" si="49"/>
        <v>0</v>
      </c>
      <c r="S87" s="1366"/>
      <c r="T87" s="1364"/>
      <c r="U87" s="1367"/>
      <c r="V87" s="1368"/>
      <c r="W87" s="1364"/>
      <c r="X87" s="1367"/>
      <c r="Y87" s="1369"/>
      <c r="Z87" s="1364"/>
      <c r="AA87" s="1370"/>
      <c r="AG87" s="1331"/>
    </row>
    <row r="88" ht="13.95" customHeight="1" spans="1:33">
      <c r="A88" s="1371"/>
      <c r="B88" s="1301"/>
      <c r="C88" s="1372"/>
      <c r="D88" s="562"/>
      <c r="E88" s="562"/>
      <c r="F88" s="562"/>
      <c r="G88" s="560"/>
      <c r="H88" s="562"/>
      <c r="I88" s="560"/>
      <c r="J88" s="560"/>
      <c r="K88" s="562"/>
      <c r="L88" s="560"/>
      <c r="M88" s="560"/>
      <c r="N88" s="562"/>
      <c r="O88" s="560"/>
      <c r="P88" s="560"/>
      <c r="Q88" s="562"/>
      <c r="R88" s="560">
        <f t="shared" si="49"/>
        <v>0</v>
      </c>
      <c r="S88" s="560"/>
      <c r="T88" s="562"/>
      <c r="U88" s="560"/>
      <c r="V88" s="562"/>
      <c r="W88" s="562"/>
      <c r="X88" s="560"/>
      <c r="Y88" s="562"/>
      <c r="Z88" s="562"/>
      <c r="AA88" s="1331"/>
      <c r="AG88" s="1331"/>
    </row>
    <row r="89" spans="1:33">
      <c r="A89" s="1371"/>
      <c r="B89" s="1301"/>
      <c r="C89" s="1372"/>
      <c r="D89" s="562"/>
      <c r="E89" s="562"/>
      <c r="F89" s="562"/>
      <c r="G89" s="560"/>
      <c r="H89" s="562"/>
      <c r="I89" s="560"/>
      <c r="J89" s="560"/>
      <c r="K89" s="562"/>
      <c r="L89" s="560"/>
      <c r="M89" s="560"/>
      <c r="N89" s="562"/>
      <c r="O89" s="560"/>
      <c r="P89" s="560"/>
      <c r="Q89" s="562"/>
      <c r="R89" s="560">
        <f t="shared" si="49"/>
        <v>0</v>
      </c>
      <c r="S89" s="560"/>
      <c r="T89" s="562"/>
      <c r="U89" s="560"/>
      <c r="V89" s="562"/>
      <c r="W89" s="562"/>
      <c r="X89" s="560"/>
      <c r="Y89" s="562"/>
      <c r="Z89" s="562"/>
      <c r="AA89" s="1331"/>
      <c r="AG89" s="1331"/>
    </row>
    <row r="90" ht="13.95" customHeight="1" spans="1:33">
      <c r="A90" s="1371"/>
      <c r="B90" s="1301"/>
      <c r="C90" s="1372"/>
      <c r="D90" s="562"/>
      <c r="E90" s="562"/>
      <c r="F90" s="562"/>
      <c r="G90" s="560"/>
      <c r="H90" s="562"/>
      <c r="I90" s="560"/>
      <c r="J90" s="560"/>
      <c r="K90" s="562"/>
      <c r="L90" s="560"/>
      <c r="M90" s="560"/>
      <c r="N90" s="562"/>
      <c r="O90" s="560"/>
      <c r="P90" s="560"/>
      <c r="Q90" s="562"/>
      <c r="R90" s="560">
        <f t="shared" si="49"/>
        <v>0</v>
      </c>
      <c r="S90" s="560"/>
      <c r="T90" s="562"/>
      <c r="U90" s="560"/>
      <c r="V90" s="562"/>
      <c r="W90" s="562"/>
      <c r="X90" s="560"/>
      <c r="Y90" s="562"/>
      <c r="Z90" s="562"/>
      <c r="AA90" s="1331"/>
      <c r="AG90" s="1331"/>
    </row>
    <row r="91" ht="14.7" customHeight="1" spans="1:33">
      <c r="A91" s="1373"/>
      <c r="B91" s="1374"/>
      <c r="C91" s="1375"/>
      <c r="D91" s="1376"/>
      <c r="E91" s="1376"/>
      <c r="F91" s="1376"/>
      <c r="G91" s="1377"/>
      <c r="H91" s="1376"/>
      <c r="I91" s="1377"/>
      <c r="J91" s="1377"/>
      <c r="K91" s="1376"/>
      <c r="L91" s="1377"/>
      <c r="M91" s="1377"/>
      <c r="N91" s="1376"/>
      <c r="O91" s="1377"/>
      <c r="P91" s="1377"/>
      <c r="Q91" s="1376"/>
      <c r="R91" s="1377">
        <f t="shared" si="49"/>
        <v>0</v>
      </c>
      <c r="S91" s="1377"/>
      <c r="T91" s="1376"/>
      <c r="U91" s="1377"/>
      <c r="V91" s="1376"/>
      <c r="W91" s="1376"/>
      <c r="X91" s="1377"/>
      <c r="Y91" s="1376"/>
      <c r="Z91" s="1376"/>
      <c r="AA91" s="1378"/>
      <c r="AG91" s="1379"/>
    </row>
    <row r="92" ht="15" customHeight="1" spans="1:33">
      <c r="A92" s="1380"/>
      <c r="B92" s="1381"/>
      <c r="C92" s="1382"/>
      <c r="D92" s="1383" t="s">
        <v>149</v>
      </c>
      <c r="E92" s="451"/>
      <c r="F92" s="477"/>
      <c r="G92" s="1383" t="s">
        <v>217</v>
      </c>
      <c r="H92" s="451"/>
      <c r="I92" s="477"/>
      <c r="J92" s="1383" t="s">
        <v>150</v>
      </c>
      <c r="K92" s="451"/>
      <c r="L92" s="477"/>
      <c r="M92" s="1384" t="s">
        <v>218</v>
      </c>
      <c r="N92" s="451"/>
      <c r="O92" s="477"/>
      <c r="P92" s="1383"/>
      <c r="Q92" s="451"/>
      <c r="R92" s="477"/>
      <c r="S92" s="1384" t="s">
        <v>219</v>
      </c>
      <c r="T92" s="451"/>
      <c r="U92" s="477"/>
      <c r="V92" s="1383" t="s">
        <v>220</v>
      </c>
      <c r="W92" s="451"/>
      <c r="X92" s="477"/>
      <c r="Y92" s="1383" t="s">
        <v>148</v>
      </c>
      <c r="Z92" s="451"/>
      <c r="AA92" s="477"/>
      <c r="AG92" s="1331"/>
    </row>
    <row r="93" spans="1:33">
      <c r="A93" s="1385" t="s">
        <v>141</v>
      </c>
      <c r="B93" s="1386" t="s">
        <v>221</v>
      </c>
      <c r="C93" s="1387" t="s">
        <v>143</v>
      </c>
      <c r="D93" s="1293" t="s">
        <v>155</v>
      </c>
      <c r="E93" s="1293" t="s">
        <v>156</v>
      </c>
      <c r="F93" s="1293" t="s">
        <v>157</v>
      </c>
      <c r="G93" s="1293" t="s">
        <v>155</v>
      </c>
      <c r="H93" s="1293" t="s">
        <v>156</v>
      </c>
      <c r="I93" s="1293" t="s">
        <v>157</v>
      </c>
      <c r="J93" s="1293" t="s">
        <v>155</v>
      </c>
      <c r="K93" s="1293" t="s">
        <v>156</v>
      </c>
      <c r="L93" s="1293" t="s">
        <v>157</v>
      </c>
      <c r="M93" s="1293" t="s">
        <v>155</v>
      </c>
      <c r="N93" s="1293" t="s">
        <v>156</v>
      </c>
      <c r="O93" s="1293" t="s">
        <v>157</v>
      </c>
      <c r="P93" s="1293" t="s">
        <v>155</v>
      </c>
      <c r="Q93" s="1293" t="s">
        <v>156</v>
      </c>
      <c r="R93" s="1293" t="s">
        <v>157</v>
      </c>
      <c r="S93" s="1293" t="s">
        <v>155</v>
      </c>
      <c r="T93" s="1293" t="s">
        <v>156</v>
      </c>
      <c r="U93" s="1293" t="s">
        <v>157</v>
      </c>
      <c r="V93" s="1293" t="s">
        <v>155</v>
      </c>
      <c r="W93" s="1293" t="s">
        <v>156</v>
      </c>
      <c r="X93" s="1293" t="s">
        <v>157</v>
      </c>
      <c r="Y93" s="1293" t="s">
        <v>155</v>
      </c>
      <c r="Z93" s="1293" t="s">
        <v>156</v>
      </c>
      <c r="AA93" s="1388" t="s">
        <v>157</v>
      </c>
      <c r="AG93" s="1331"/>
    </row>
    <row r="94" ht="24" customHeight="1" spans="1:33">
      <c r="A94" s="1385" t="s">
        <v>222</v>
      </c>
      <c r="B94" s="1386"/>
      <c r="C94" s="1389"/>
      <c r="D94" s="1390">
        <f>+D104+D113+D122+D131+D142</f>
        <v>0</v>
      </c>
      <c r="E94" s="1390">
        <f>+E104+E113+E122+E131+E142</f>
        <v>0</v>
      </c>
      <c r="F94" s="1390">
        <f t="shared" ref="F94:F142" si="50">IF(D94=0,1,E94/D94)</f>
        <v>1</v>
      </c>
      <c r="G94" s="1390">
        <f>+G104+G113+G122+G131+G142</f>
        <v>0</v>
      </c>
      <c r="H94" s="1390">
        <f>+H104+H113+H122+H131+H142</f>
        <v>0</v>
      </c>
      <c r="I94" s="1390">
        <f>+I104+I113+I122+I131+I142</f>
        <v>10</v>
      </c>
      <c r="J94" s="1390">
        <f>+J104+J113+J122+J131+J142</f>
        <v>0</v>
      </c>
      <c r="K94" s="1390">
        <f>+K104+K113+K122+K131+K142</f>
        <v>0</v>
      </c>
      <c r="L94" s="1390">
        <f t="shared" ref="L94:L109" si="51">IF(J94=0,1,K94/J94)</f>
        <v>1</v>
      </c>
      <c r="M94" s="1390">
        <f>+M104+M113+M122+M131+M142</f>
        <v>0</v>
      </c>
      <c r="N94" s="1390">
        <f>+N104+N113+N122+N131+N142</f>
        <v>0</v>
      </c>
      <c r="O94" s="1390">
        <f t="shared" ref="O94:O103" si="52">IF(M94=0,1,N94/M94)</f>
        <v>1</v>
      </c>
      <c r="P94" s="1390">
        <f>+P104+P113+P122+P131+P142</f>
        <v>0</v>
      </c>
      <c r="Q94" s="1390">
        <f>+Q104+Q113+Q122+Q131+Q142</f>
        <v>0</v>
      </c>
      <c r="R94" s="1390">
        <f>IF(P94=0,1,Q94/P94)</f>
        <v>1</v>
      </c>
      <c r="S94" s="1390">
        <f>+S104+S113+S122+S131+S142</f>
        <v>0</v>
      </c>
      <c r="T94" s="1390">
        <f>+T104+T113+T122+T131+T142</f>
        <v>0</v>
      </c>
      <c r="U94" s="1390">
        <f>IF(S94=0,1,T94/S94)</f>
        <v>1</v>
      </c>
      <c r="V94" s="1390">
        <f>+V104+V113+V122+V131+V142</f>
        <v>0</v>
      </c>
      <c r="W94" s="1390"/>
      <c r="X94" s="1390">
        <f>IF(V94=0,1,W94/V94)</f>
        <v>1</v>
      </c>
      <c r="Y94" s="1390">
        <f>+Y104+Y113+Y122+Y131+Y142</f>
        <v>0</v>
      </c>
      <c r="Z94" s="1390">
        <f>+Z104+Z113+Z122+Z131+Z142</f>
        <v>0</v>
      </c>
      <c r="AA94" s="1391">
        <f>IF(Y94=0,1,Z94/Y94)</f>
        <v>1</v>
      </c>
      <c r="AB94" s="1392" t="s">
        <v>223</v>
      </c>
      <c r="AC94" s="1393" t="s">
        <v>224</v>
      </c>
      <c r="AD94" s="1392" t="s">
        <v>225</v>
      </c>
      <c r="AE94" s="1392" t="s">
        <v>226</v>
      </c>
      <c r="AF94" s="1393" t="s">
        <v>227</v>
      </c>
      <c r="AG94" s="1394" t="s">
        <v>228</v>
      </c>
    </row>
    <row r="95" spans="1:33">
      <c r="A95" s="1395" t="s">
        <v>229</v>
      </c>
      <c r="B95" s="1396" t="s">
        <v>11</v>
      </c>
      <c r="C95" s="1397" t="s">
        <v>230</v>
      </c>
      <c r="D95" s="1316"/>
      <c r="E95" s="1398"/>
      <c r="F95" s="1304">
        <f t="shared" si="50"/>
        <v>1</v>
      </c>
      <c r="G95" s="1316"/>
      <c r="H95" s="1398"/>
      <c r="I95" s="1358">
        <f t="shared" ref="I95:I100" si="53">IF(G95=0,1,H95/G95)</f>
        <v>1</v>
      </c>
      <c r="J95" s="1316"/>
      <c r="K95" s="1398"/>
      <c r="L95" s="1358">
        <f t="shared" si="51"/>
        <v>1</v>
      </c>
      <c r="M95" s="1399"/>
      <c r="N95" s="1398"/>
      <c r="O95" s="1358">
        <f t="shared" si="52"/>
        <v>1</v>
      </c>
      <c r="P95" s="1316"/>
      <c r="Q95" s="1398"/>
      <c r="R95" s="1400"/>
      <c r="S95" s="1321"/>
      <c r="T95" s="1316"/>
      <c r="U95" s="1358">
        <f t="shared" ref="U95:U102" si="54">IF(T95&lt;S95,-(S95-T95)*200,0)</f>
        <v>0</v>
      </c>
      <c r="V95" s="1316"/>
      <c r="W95" s="1316"/>
      <c r="X95" s="1353">
        <f t="shared" ref="X95:X102" si="55">IF(W95&lt;V95,-(V95-W95)*200,0)</f>
        <v>0</v>
      </c>
      <c r="Y95" s="1321">
        <f t="shared" ref="Y95:Y102" si="56">G95+J95</f>
        <v>0</v>
      </c>
      <c r="Z95" s="1316"/>
      <c r="AA95" s="1401">
        <f t="shared" ref="AA95:AA103" si="57">IF(IF(Y95=0,1,Z95/Y95)&gt;1,1,IF(Y95=0,1,Z95/Y95))</f>
        <v>1</v>
      </c>
      <c r="AB95" s="560">
        <f t="shared" ref="AB95:AB143" si="58">M95+S95</f>
        <v>0</v>
      </c>
      <c r="AC95" s="560">
        <f t="shared" ref="AC95:AC145" si="59">Y95+AB95</f>
        <v>0</v>
      </c>
      <c r="AD95" s="560"/>
      <c r="AE95" s="560"/>
      <c r="AF95" s="560">
        <f t="shared" ref="AF95:AF143" si="60">Z95+AD95+AE95</f>
        <v>0</v>
      </c>
      <c r="AG95" s="1331">
        <f t="shared" ref="AG95:AG143" si="61">IF(AC95&lt;&gt;0,IF(AF95/AC95&gt;120%,120%,AF95/AC95),0)</f>
        <v>0</v>
      </c>
    </row>
    <row r="96" spans="1:33">
      <c r="A96" s="1395" t="s">
        <v>229</v>
      </c>
      <c r="B96" s="1396" t="s">
        <v>11</v>
      </c>
      <c r="C96" s="1397" t="s">
        <v>231</v>
      </c>
      <c r="D96" s="1316"/>
      <c r="E96" s="1398"/>
      <c r="F96" s="1304">
        <f t="shared" si="50"/>
        <v>1</v>
      </c>
      <c r="G96" s="1316"/>
      <c r="H96" s="1398"/>
      <c r="I96" s="1353">
        <f t="shared" si="53"/>
        <v>1</v>
      </c>
      <c r="J96" s="1316"/>
      <c r="K96" s="1398"/>
      <c r="L96" s="1353">
        <f t="shared" si="51"/>
        <v>1</v>
      </c>
      <c r="M96" s="1402"/>
      <c r="N96" s="1398"/>
      <c r="O96" s="1353">
        <f t="shared" si="52"/>
        <v>1</v>
      </c>
      <c r="P96" s="1316"/>
      <c r="Q96" s="1398"/>
      <c r="R96" s="1353">
        <f>IF(Q96&lt;P96,-(P96-Q96)*200,0)</f>
        <v>0</v>
      </c>
      <c r="S96" s="1321"/>
      <c r="T96" s="1316"/>
      <c r="U96" s="1353">
        <f t="shared" si="54"/>
        <v>0</v>
      </c>
      <c r="V96" s="1316"/>
      <c r="W96" s="1316"/>
      <c r="X96" s="1353">
        <f t="shared" si="55"/>
        <v>0</v>
      </c>
      <c r="Y96" s="1321">
        <f t="shared" si="56"/>
        <v>0</v>
      </c>
      <c r="Z96" s="1316"/>
      <c r="AA96" s="1401">
        <f t="shared" si="57"/>
        <v>1</v>
      </c>
      <c r="AB96" s="560">
        <f t="shared" si="58"/>
        <v>0</v>
      </c>
      <c r="AC96" s="560">
        <f t="shared" si="59"/>
        <v>0</v>
      </c>
      <c r="AD96" s="560"/>
      <c r="AE96" s="560"/>
      <c r="AF96" s="560">
        <f t="shared" si="60"/>
        <v>0</v>
      </c>
      <c r="AG96" s="1331">
        <f t="shared" si="61"/>
        <v>0</v>
      </c>
    </row>
    <row r="97" spans="1:33">
      <c r="A97" s="1395" t="s">
        <v>229</v>
      </c>
      <c r="B97" s="1396" t="s">
        <v>11</v>
      </c>
      <c r="C97" s="1397" t="s">
        <v>232</v>
      </c>
      <c r="D97" s="1316"/>
      <c r="E97" s="1398"/>
      <c r="F97" s="1304">
        <f t="shared" si="50"/>
        <v>1</v>
      </c>
      <c r="G97" s="1316"/>
      <c r="H97" s="1398"/>
      <c r="I97" s="1353">
        <f t="shared" si="53"/>
        <v>1</v>
      </c>
      <c r="J97" s="1316"/>
      <c r="K97" s="1398"/>
      <c r="L97" s="1353">
        <f t="shared" si="51"/>
        <v>1</v>
      </c>
      <c r="M97" s="1402"/>
      <c r="N97" s="1398"/>
      <c r="O97" s="1353">
        <f t="shared" si="52"/>
        <v>1</v>
      </c>
      <c r="P97" s="1316"/>
      <c r="Q97" s="1398"/>
      <c r="R97" s="1353">
        <f>IF(Q97&lt;P97,-(P97-Q97)*200,0)</f>
        <v>0</v>
      </c>
      <c r="S97" s="1321"/>
      <c r="T97" s="1316"/>
      <c r="U97" s="1353">
        <f t="shared" si="54"/>
        <v>0</v>
      </c>
      <c r="V97" s="1316"/>
      <c r="W97" s="1316"/>
      <c r="X97" s="1353">
        <f t="shared" si="55"/>
        <v>0</v>
      </c>
      <c r="Y97" s="1321">
        <f t="shared" si="56"/>
        <v>0</v>
      </c>
      <c r="Z97" s="1316"/>
      <c r="AA97" s="1401">
        <f t="shared" si="57"/>
        <v>1</v>
      </c>
      <c r="AB97" s="560">
        <f t="shared" si="58"/>
        <v>0</v>
      </c>
      <c r="AC97" s="560">
        <f t="shared" si="59"/>
        <v>0</v>
      </c>
      <c r="AD97" s="560"/>
      <c r="AE97" s="560"/>
      <c r="AF97" s="560">
        <f t="shared" si="60"/>
        <v>0</v>
      </c>
      <c r="AG97" s="1331">
        <f t="shared" si="61"/>
        <v>0</v>
      </c>
    </row>
    <row r="98" spans="1:33">
      <c r="A98" s="1395" t="s">
        <v>229</v>
      </c>
      <c r="B98" s="1396" t="s">
        <v>11</v>
      </c>
      <c r="C98" s="1397" t="s">
        <v>233</v>
      </c>
      <c r="D98" s="1316"/>
      <c r="E98" s="1398"/>
      <c r="F98" s="1304">
        <f t="shared" si="50"/>
        <v>1</v>
      </c>
      <c r="G98" s="1316"/>
      <c r="H98" s="1398"/>
      <c r="I98" s="1353">
        <f t="shared" si="53"/>
        <v>1</v>
      </c>
      <c r="J98" s="1316"/>
      <c r="K98" s="1398"/>
      <c r="L98" s="1353">
        <f t="shared" si="51"/>
        <v>1</v>
      </c>
      <c r="M98" s="1402"/>
      <c r="N98" s="1398"/>
      <c r="O98" s="1353">
        <f t="shared" si="52"/>
        <v>1</v>
      </c>
      <c r="P98" s="1316"/>
      <c r="Q98" s="1398"/>
      <c r="R98" s="1353">
        <f>IF(Q98&lt;P98,-(P98-Q98)*200,0)</f>
        <v>0</v>
      </c>
      <c r="S98" s="1321"/>
      <c r="T98" s="1316"/>
      <c r="U98" s="1353">
        <f t="shared" si="54"/>
        <v>0</v>
      </c>
      <c r="V98" s="1316"/>
      <c r="W98" s="1316"/>
      <c r="X98" s="1353">
        <f t="shared" si="55"/>
        <v>0</v>
      </c>
      <c r="Y98" s="1321">
        <f t="shared" si="56"/>
        <v>0</v>
      </c>
      <c r="Z98" s="1316"/>
      <c r="AA98" s="1401">
        <f t="shared" si="57"/>
        <v>1</v>
      </c>
      <c r="AB98" s="560">
        <f t="shared" si="58"/>
        <v>0</v>
      </c>
      <c r="AC98" s="560">
        <f t="shared" si="59"/>
        <v>0</v>
      </c>
      <c r="AD98" s="560"/>
      <c r="AE98" s="560"/>
      <c r="AF98" s="560">
        <f t="shared" si="60"/>
        <v>0</v>
      </c>
      <c r="AG98" s="1331">
        <f t="shared" si="61"/>
        <v>0</v>
      </c>
    </row>
    <row r="99" spans="1:33">
      <c r="A99" s="1395" t="s">
        <v>229</v>
      </c>
      <c r="B99" s="1396" t="s">
        <v>11</v>
      </c>
      <c r="C99" s="1397" t="s">
        <v>234</v>
      </c>
      <c r="D99" s="1316"/>
      <c r="E99" s="1398"/>
      <c r="F99" s="1304">
        <f t="shared" si="50"/>
        <v>1</v>
      </c>
      <c r="G99" s="1316"/>
      <c r="H99" s="1398"/>
      <c r="I99" s="1353">
        <f t="shared" si="53"/>
        <v>1</v>
      </c>
      <c r="J99" s="1316"/>
      <c r="K99" s="1398"/>
      <c r="L99" s="1353">
        <f t="shared" si="51"/>
        <v>1</v>
      </c>
      <c r="M99" s="1403"/>
      <c r="N99" s="1398"/>
      <c r="O99" s="1353">
        <f t="shared" si="52"/>
        <v>1</v>
      </c>
      <c r="P99" s="1316"/>
      <c r="Q99" s="1398"/>
      <c r="R99" s="1353">
        <f>IF(Q99&lt;P99,-(P99-Q99)*200,0)</f>
        <v>0</v>
      </c>
      <c r="S99" s="1321"/>
      <c r="T99" s="1316"/>
      <c r="U99" s="1353">
        <f t="shared" si="54"/>
        <v>0</v>
      </c>
      <c r="V99" s="1316"/>
      <c r="W99" s="1316"/>
      <c r="X99" s="1353">
        <f t="shared" si="55"/>
        <v>0</v>
      </c>
      <c r="Y99" s="1321">
        <f t="shared" si="56"/>
        <v>0</v>
      </c>
      <c r="Z99" s="1316"/>
      <c r="AA99" s="1401">
        <f t="shared" si="57"/>
        <v>1</v>
      </c>
      <c r="AB99" s="560">
        <f t="shared" si="58"/>
        <v>0</v>
      </c>
      <c r="AC99" s="560">
        <f t="shared" si="59"/>
        <v>0</v>
      </c>
      <c r="AD99" s="560"/>
      <c r="AE99" s="560"/>
      <c r="AF99" s="560">
        <f t="shared" si="60"/>
        <v>0</v>
      </c>
      <c r="AG99" s="1331">
        <f t="shared" si="61"/>
        <v>0</v>
      </c>
    </row>
    <row r="100" spans="1:33">
      <c r="A100" s="1395" t="s">
        <v>229</v>
      </c>
      <c r="B100" s="1396" t="s">
        <v>11</v>
      </c>
      <c r="C100" s="1397" t="s">
        <v>235</v>
      </c>
      <c r="D100" s="1316"/>
      <c r="E100" s="1398"/>
      <c r="F100" s="1304">
        <f t="shared" si="50"/>
        <v>1</v>
      </c>
      <c r="G100" s="1316"/>
      <c r="H100" s="1398"/>
      <c r="I100" s="1353">
        <f t="shared" si="53"/>
        <v>1</v>
      </c>
      <c r="J100" s="1316"/>
      <c r="K100" s="1398"/>
      <c r="L100" s="1353">
        <f t="shared" si="51"/>
        <v>1</v>
      </c>
      <c r="M100" s="1316"/>
      <c r="N100" s="1398"/>
      <c r="O100" s="1353">
        <f t="shared" si="52"/>
        <v>1</v>
      </c>
      <c r="P100" s="1316"/>
      <c r="Q100" s="1398"/>
      <c r="R100" s="1353">
        <f>IF(Q100&lt;P100,-(P100-Q100)*200,0)</f>
        <v>0</v>
      </c>
      <c r="S100" s="1321"/>
      <c r="T100" s="1316"/>
      <c r="U100" s="1353">
        <f t="shared" si="54"/>
        <v>0</v>
      </c>
      <c r="V100" s="1316"/>
      <c r="W100" s="1316"/>
      <c r="X100" s="1353">
        <f t="shared" si="55"/>
        <v>0</v>
      </c>
      <c r="Y100" s="1321">
        <f t="shared" si="56"/>
        <v>0</v>
      </c>
      <c r="Z100" s="1316"/>
      <c r="AA100" s="1401">
        <f t="shared" si="57"/>
        <v>1</v>
      </c>
      <c r="AB100" s="560">
        <f t="shared" si="58"/>
        <v>0</v>
      </c>
      <c r="AC100" s="560">
        <f t="shared" si="59"/>
        <v>0</v>
      </c>
      <c r="AD100" s="560"/>
      <c r="AE100" s="560"/>
      <c r="AF100" s="560">
        <f t="shared" si="60"/>
        <v>0</v>
      </c>
      <c r="AG100" s="1331">
        <f t="shared" si="61"/>
        <v>0</v>
      </c>
    </row>
    <row r="101" ht="15" customHeight="1" spans="1:33">
      <c r="A101" s="1395" t="s">
        <v>229</v>
      </c>
      <c r="B101" s="1396" t="s">
        <v>11</v>
      </c>
      <c r="C101" s="1355" t="s">
        <v>236</v>
      </c>
      <c r="D101" s="1316"/>
      <c r="E101" s="1398"/>
      <c r="F101" s="1304">
        <f t="shared" si="50"/>
        <v>1</v>
      </c>
      <c r="G101" s="1316"/>
      <c r="H101" s="1398"/>
      <c r="I101" s="1353"/>
      <c r="J101" s="1316"/>
      <c r="K101" s="1398"/>
      <c r="L101" s="1353">
        <f t="shared" si="51"/>
        <v>1</v>
      </c>
      <c r="M101" s="1316"/>
      <c r="N101" s="1398"/>
      <c r="O101" s="1353">
        <f t="shared" si="52"/>
        <v>1</v>
      </c>
      <c r="P101" s="1316"/>
      <c r="Q101" s="1398"/>
      <c r="R101" s="1353">
        <f>IF(Q101&lt;P101,-(P101-Q101)*100,0)</f>
        <v>0</v>
      </c>
      <c r="S101" s="1321"/>
      <c r="T101" s="1316"/>
      <c r="U101" s="1353">
        <f t="shared" si="54"/>
        <v>0</v>
      </c>
      <c r="V101" s="1318"/>
      <c r="W101" s="1316"/>
      <c r="X101" s="1353">
        <f t="shared" si="55"/>
        <v>0</v>
      </c>
      <c r="Y101" s="1321">
        <f t="shared" si="56"/>
        <v>0</v>
      </c>
      <c r="Z101" s="1316"/>
      <c r="AA101" s="1401">
        <f t="shared" si="57"/>
        <v>1</v>
      </c>
      <c r="AB101" s="560">
        <f t="shared" si="58"/>
        <v>0</v>
      </c>
      <c r="AC101" s="560">
        <f t="shared" si="59"/>
        <v>0</v>
      </c>
      <c r="AD101" s="560"/>
      <c r="AE101" s="560"/>
      <c r="AF101" s="560">
        <f t="shared" si="60"/>
        <v>0</v>
      </c>
      <c r="AG101" s="1331">
        <f t="shared" si="61"/>
        <v>0</v>
      </c>
    </row>
    <row r="102" ht="15" customHeight="1" spans="1:33">
      <c r="A102" s="1395" t="s">
        <v>229</v>
      </c>
      <c r="B102" s="1396" t="s">
        <v>3</v>
      </c>
      <c r="C102" s="1355" t="s">
        <v>237</v>
      </c>
      <c r="D102" s="1316"/>
      <c r="E102" s="1398"/>
      <c r="F102" s="1304">
        <f t="shared" si="50"/>
        <v>1</v>
      </c>
      <c r="G102" s="1316"/>
      <c r="H102" s="1398"/>
      <c r="I102" s="1353"/>
      <c r="J102" s="1316"/>
      <c r="K102" s="1398"/>
      <c r="L102" s="1353">
        <f t="shared" si="51"/>
        <v>1</v>
      </c>
      <c r="M102" s="1316"/>
      <c r="N102" s="1398"/>
      <c r="O102" s="1353">
        <f t="shared" si="52"/>
        <v>1</v>
      </c>
      <c r="P102" s="1316"/>
      <c r="Q102" s="1398"/>
      <c r="R102" s="1353">
        <f>IF(Q102&lt;P102,-(P102-Q102)*100,0)</f>
        <v>0</v>
      </c>
      <c r="S102" s="1321"/>
      <c r="T102" s="1316"/>
      <c r="U102" s="1353">
        <f t="shared" si="54"/>
        <v>0</v>
      </c>
      <c r="V102" s="1318"/>
      <c r="W102" s="1316"/>
      <c r="X102" s="1353">
        <f t="shared" si="55"/>
        <v>0</v>
      </c>
      <c r="Y102" s="1321">
        <f t="shared" si="56"/>
        <v>0</v>
      </c>
      <c r="Z102" s="1316"/>
      <c r="AA102" s="1401">
        <f t="shared" si="57"/>
        <v>1</v>
      </c>
      <c r="AB102" s="560">
        <f t="shared" si="58"/>
        <v>0</v>
      </c>
      <c r="AC102" s="560">
        <f t="shared" si="59"/>
        <v>0</v>
      </c>
      <c r="AD102" s="560"/>
      <c r="AE102" s="560"/>
      <c r="AF102" s="560">
        <f t="shared" si="60"/>
        <v>0</v>
      </c>
      <c r="AG102" s="1331">
        <f t="shared" si="61"/>
        <v>0</v>
      </c>
    </row>
    <row r="103" spans="1:33">
      <c r="A103" s="1395" t="s">
        <v>229</v>
      </c>
      <c r="B103" s="1396" t="s">
        <v>238</v>
      </c>
      <c r="C103" s="1397" t="s">
        <v>239</v>
      </c>
      <c r="D103" s="1316"/>
      <c r="E103" s="1398"/>
      <c r="F103" s="1304">
        <f t="shared" si="50"/>
        <v>1</v>
      </c>
      <c r="G103" s="1316"/>
      <c r="H103" s="1398"/>
      <c r="I103" s="1353">
        <f t="shared" ref="I103:I121" si="62">IF(G103=0,1,H103/G103)</f>
        <v>1</v>
      </c>
      <c r="J103" s="1316"/>
      <c r="K103" s="1398"/>
      <c r="L103" s="1353">
        <f t="shared" si="51"/>
        <v>1</v>
      </c>
      <c r="M103" s="1316"/>
      <c r="N103" s="1398"/>
      <c r="O103" s="1353">
        <f t="shared" si="52"/>
        <v>1</v>
      </c>
      <c r="P103" s="1316"/>
      <c r="Q103" s="1398"/>
      <c r="R103" s="1353">
        <f>IF(Q103&lt;P103,-(P103-Q103)*200,0)</f>
        <v>0</v>
      </c>
      <c r="S103" s="1321"/>
      <c r="T103" s="1316"/>
      <c r="U103" s="1353">
        <f>IF(T103&lt;S103,-(S103-T103)*300,0)</f>
        <v>0</v>
      </c>
      <c r="V103" s="1404"/>
      <c r="W103" s="1404">
        <f>SUM(W95:W101)</f>
        <v>0</v>
      </c>
      <c r="X103" s="1353">
        <f>IF(W103&lt;V103,-(V103-W103)*300,0)</f>
        <v>0</v>
      </c>
      <c r="Y103" s="1321">
        <f>G103+J103+M103</f>
        <v>0</v>
      </c>
      <c r="Z103" s="1316"/>
      <c r="AA103" s="1401">
        <f t="shared" si="57"/>
        <v>1</v>
      </c>
      <c r="AB103" s="560">
        <f t="shared" si="58"/>
        <v>0</v>
      </c>
      <c r="AC103" s="560">
        <f t="shared" si="59"/>
        <v>0</v>
      </c>
      <c r="AD103" s="560"/>
      <c r="AE103" s="560"/>
      <c r="AF103" s="560">
        <f t="shared" si="60"/>
        <v>0</v>
      </c>
      <c r="AG103" s="1331">
        <f t="shared" si="61"/>
        <v>0</v>
      </c>
    </row>
    <row r="104" spans="1:33">
      <c r="A104" s="1395"/>
      <c r="B104" s="1405" t="s">
        <v>193</v>
      </c>
      <c r="C104" s="1406"/>
      <c r="D104" s="1405">
        <f>SUM(D95:D103)</f>
        <v>0</v>
      </c>
      <c r="E104" s="1405"/>
      <c r="F104" s="1407">
        <f t="shared" si="50"/>
        <v>1</v>
      </c>
      <c r="G104" s="1405">
        <f>SUM(G95:G103)</f>
        <v>0</v>
      </c>
      <c r="H104" s="1405">
        <f>SUM(H95:H103)</f>
        <v>0</v>
      </c>
      <c r="I104" s="1405">
        <f t="shared" si="62"/>
        <v>1</v>
      </c>
      <c r="J104" s="1405">
        <f>SUM(J95:J103)</f>
        <v>0</v>
      </c>
      <c r="K104" s="1405">
        <f>SUM(K95:K103)</f>
        <v>0</v>
      </c>
      <c r="L104" s="1405">
        <f t="shared" si="51"/>
        <v>1</v>
      </c>
      <c r="M104" s="1405">
        <f>SUM(M95:M103)</f>
        <v>0</v>
      </c>
      <c r="N104" s="1405">
        <f>SUM(N95:N103)</f>
        <v>0</v>
      </c>
      <c r="O104" s="1405"/>
      <c r="P104" s="1405">
        <f>SUM(P95:P103)</f>
        <v>0</v>
      </c>
      <c r="Q104" s="1405"/>
      <c r="R104" s="1408">
        <f>IF(P104=0,1,Q104/P104)</f>
        <v>1</v>
      </c>
      <c r="S104" s="1409">
        <f>SUM(S95:S103)</f>
        <v>0</v>
      </c>
      <c r="T104" s="1405">
        <f>SUM(T95:T103)</f>
        <v>0</v>
      </c>
      <c r="U104" s="1405">
        <f>IF(S104=0,1,T104/S104)</f>
        <v>1</v>
      </c>
      <c r="V104" s="1405">
        <f>SUM(V95:V103)</f>
        <v>0</v>
      </c>
      <c r="W104" s="1405">
        <f>SUM(W95:W103)</f>
        <v>0</v>
      </c>
      <c r="X104" s="1408">
        <f>IF(V104=0,1,W104/V104)</f>
        <v>1</v>
      </c>
      <c r="Y104" s="1410">
        <f>SUM(Y95:Y103)</f>
        <v>0</v>
      </c>
      <c r="Z104" s="1407">
        <f>SUM(Z95:Z103)</f>
        <v>0</v>
      </c>
      <c r="AA104" s="1411">
        <f>IF(Y104=0,1,Z104/Y104)</f>
        <v>1</v>
      </c>
      <c r="AB104" s="560">
        <f t="shared" si="58"/>
        <v>0</v>
      </c>
      <c r="AC104" s="560">
        <f t="shared" si="59"/>
        <v>0</v>
      </c>
      <c r="AD104" s="560"/>
      <c r="AE104" s="560"/>
      <c r="AF104" s="560">
        <f t="shared" si="60"/>
        <v>0</v>
      </c>
      <c r="AG104" s="1331">
        <f t="shared" si="61"/>
        <v>0</v>
      </c>
    </row>
    <row r="105" spans="1:33">
      <c r="A105" s="1395" t="s">
        <v>240</v>
      </c>
      <c r="B105" s="1412" t="s">
        <v>11</v>
      </c>
      <c r="C105" s="1397" t="s">
        <v>241</v>
      </c>
      <c r="D105" s="1316"/>
      <c r="E105" s="1398"/>
      <c r="F105" s="1304">
        <f t="shared" si="50"/>
        <v>1</v>
      </c>
      <c r="G105" s="1316"/>
      <c r="H105" s="1398"/>
      <c r="I105" s="1353">
        <f t="shared" si="62"/>
        <v>1</v>
      </c>
      <c r="J105" s="1316"/>
      <c r="K105" s="1398"/>
      <c r="L105" s="1353">
        <f t="shared" si="51"/>
        <v>1</v>
      </c>
      <c r="M105" s="1316"/>
      <c r="N105" s="1398"/>
      <c r="O105" s="1353">
        <f t="shared" ref="O105:O143" si="63">IF(M105=0,1,N105/M105)</f>
        <v>1</v>
      </c>
      <c r="P105" s="1316"/>
      <c r="Q105" s="1398"/>
      <c r="R105" s="1353">
        <f>IF(Q105&lt;P105,-(P105-Q105)*200,0)</f>
        <v>0</v>
      </c>
      <c r="S105" s="1321"/>
      <c r="T105" s="1316"/>
      <c r="U105" s="1353">
        <f>IF(T105&lt;S105,-(S105-T105)*200,0)</f>
        <v>0</v>
      </c>
      <c r="V105" s="1316"/>
      <c r="W105" s="1316"/>
      <c r="X105" s="1353">
        <f t="shared" ref="X105:X110" si="64">IF(W105&lt;V105,-(V105-W105)*200,0)</f>
        <v>0</v>
      </c>
      <c r="Y105" s="1316">
        <f t="shared" ref="Y105:Y112" si="65">G105+J105</f>
        <v>0</v>
      </c>
      <c r="Z105" s="1316"/>
      <c r="AA105" s="1401">
        <f t="shared" ref="AA105:AA112" si="66">IF(IF(Y105=0,1,Z105/Y105)&gt;1,1,IF(Y105=0,1,Z105/Y105))</f>
        <v>1</v>
      </c>
      <c r="AB105" s="560">
        <f t="shared" si="58"/>
        <v>0</v>
      </c>
      <c r="AC105" s="560">
        <f t="shared" si="59"/>
        <v>0</v>
      </c>
      <c r="AD105" s="560"/>
      <c r="AE105" s="560"/>
      <c r="AF105" s="560">
        <f t="shared" si="60"/>
        <v>0</v>
      </c>
      <c r="AG105" s="1331">
        <f t="shared" si="61"/>
        <v>0</v>
      </c>
    </row>
    <row r="106" spans="1:33">
      <c r="A106" s="1395" t="s">
        <v>240</v>
      </c>
      <c r="B106" s="1396" t="s">
        <v>11</v>
      </c>
      <c r="C106" s="1397" t="s">
        <v>242</v>
      </c>
      <c r="D106" s="1316"/>
      <c r="E106" s="1398"/>
      <c r="F106" s="1304">
        <f t="shared" si="50"/>
        <v>1</v>
      </c>
      <c r="G106" s="1316"/>
      <c r="H106" s="1398"/>
      <c r="I106" s="1353">
        <f t="shared" si="62"/>
        <v>1</v>
      </c>
      <c r="J106" s="1316"/>
      <c r="K106" s="1398"/>
      <c r="L106" s="1353">
        <f t="shared" si="51"/>
        <v>1</v>
      </c>
      <c r="M106" s="1316"/>
      <c r="N106" s="1398"/>
      <c r="O106" s="1353">
        <f t="shared" si="63"/>
        <v>1</v>
      </c>
      <c r="P106" s="1316"/>
      <c r="Q106" s="1398"/>
      <c r="R106" s="1353">
        <f>IF(Q106&lt;P106,-(P106-Q106)*200,0)</f>
        <v>0</v>
      </c>
      <c r="S106" s="1321"/>
      <c r="T106" s="1316"/>
      <c r="U106" s="1353">
        <f>IF(T106&lt;S106,-(S106-T106)*200,0)</f>
        <v>0</v>
      </c>
      <c r="V106" s="1316"/>
      <c r="W106" s="1316"/>
      <c r="X106" s="1353">
        <f t="shared" si="64"/>
        <v>0</v>
      </c>
      <c r="Y106" s="1316">
        <f t="shared" si="65"/>
        <v>0</v>
      </c>
      <c r="Z106" s="1316"/>
      <c r="AA106" s="1401">
        <f t="shared" si="66"/>
        <v>1</v>
      </c>
      <c r="AB106" s="560">
        <f t="shared" si="58"/>
        <v>0</v>
      </c>
      <c r="AC106" s="560">
        <f t="shared" si="59"/>
        <v>0</v>
      </c>
      <c r="AD106" s="560"/>
      <c r="AE106" s="560"/>
      <c r="AF106" s="560">
        <f t="shared" si="60"/>
        <v>0</v>
      </c>
      <c r="AG106" s="1331">
        <f t="shared" si="61"/>
        <v>0</v>
      </c>
    </row>
    <row r="107" spans="1:33">
      <c r="A107" s="1395" t="s">
        <v>240</v>
      </c>
      <c r="B107" s="1396" t="s">
        <v>11</v>
      </c>
      <c r="C107" s="1397" t="s">
        <v>243</v>
      </c>
      <c r="D107" s="1316"/>
      <c r="E107" s="1398"/>
      <c r="F107" s="1304">
        <f t="shared" si="50"/>
        <v>1</v>
      </c>
      <c r="G107" s="1316"/>
      <c r="H107" s="1398"/>
      <c r="I107" s="1353">
        <f t="shared" si="62"/>
        <v>1</v>
      </c>
      <c r="J107" s="1316"/>
      <c r="K107" s="1398"/>
      <c r="L107" s="1353">
        <f t="shared" si="51"/>
        <v>1</v>
      </c>
      <c r="M107" s="1316"/>
      <c r="N107" s="1398"/>
      <c r="O107" s="1353">
        <f t="shared" si="63"/>
        <v>1</v>
      </c>
      <c r="P107" s="1316"/>
      <c r="Q107" s="1398"/>
      <c r="R107" s="1353">
        <f>IF(Q107&lt;P107,-(P107-Q107)*200,0)</f>
        <v>0</v>
      </c>
      <c r="S107" s="1321"/>
      <c r="T107" s="1316"/>
      <c r="U107" s="1353">
        <f>IF(T107&lt;S107,-(S107-T107)*200,0)</f>
        <v>0</v>
      </c>
      <c r="V107" s="1316"/>
      <c r="W107" s="1316"/>
      <c r="X107" s="1353">
        <f t="shared" si="64"/>
        <v>0</v>
      </c>
      <c r="Y107" s="1316">
        <f t="shared" si="65"/>
        <v>0</v>
      </c>
      <c r="Z107" s="1316"/>
      <c r="AA107" s="1401">
        <f t="shared" si="66"/>
        <v>1</v>
      </c>
      <c r="AB107" s="560">
        <f t="shared" si="58"/>
        <v>0</v>
      </c>
      <c r="AC107" s="560">
        <f t="shared" si="59"/>
        <v>0</v>
      </c>
      <c r="AD107" s="560"/>
      <c r="AE107" s="560"/>
      <c r="AF107" s="560">
        <f t="shared" si="60"/>
        <v>0</v>
      </c>
      <c r="AG107" s="1331">
        <f t="shared" si="61"/>
        <v>0</v>
      </c>
    </row>
    <row r="108" ht="16.65" customHeight="1" spans="1:33">
      <c r="A108" s="1395" t="s">
        <v>240</v>
      </c>
      <c r="B108" s="1396" t="s">
        <v>244</v>
      </c>
      <c r="C108" s="1397" t="s">
        <v>245</v>
      </c>
      <c r="D108" s="1316"/>
      <c r="E108" s="1398"/>
      <c r="F108" s="1304">
        <f t="shared" si="50"/>
        <v>1</v>
      </c>
      <c r="G108" s="1316"/>
      <c r="H108" s="1398"/>
      <c r="I108" s="1353">
        <f t="shared" si="62"/>
        <v>1</v>
      </c>
      <c r="J108" s="1316"/>
      <c r="K108" s="1398"/>
      <c r="L108" s="1353">
        <f t="shared" si="51"/>
        <v>1</v>
      </c>
      <c r="M108" s="1316"/>
      <c r="N108" s="1398"/>
      <c r="O108" s="1353">
        <f t="shared" si="63"/>
        <v>1</v>
      </c>
      <c r="P108" s="1316"/>
      <c r="Q108" s="1398"/>
      <c r="R108" s="1353">
        <f>IF(Q108&lt;P108,-(P108-Q108)*200,0)</f>
        <v>0</v>
      </c>
      <c r="S108" s="1321"/>
      <c r="T108" s="1316"/>
      <c r="U108" s="1353">
        <f>IF(T108&lt;S108,-(S108-T108)*200,0)</f>
        <v>0</v>
      </c>
      <c r="V108" s="1316"/>
      <c r="W108" s="1316"/>
      <c r="X108" s="1353">
        <f t="shared" si="64"/>
        <v>0</v>
      </c>
      <c r="Y108" s="1316">
        <f t="shared" si="65"/>
        <v>0</v>
      </c>
      <c r="Z108" s="1316"/>
      <c r="AA108" s="1401">
        <f t="shared" si="66"/>
        <v>1</v>
      </c>
      <c r="AB108" s="560">
        <f t="shared" si="58"/>
        <v>0</v>
      </c>
      <c r="AC108" s="560">
        <f t="shared" si="59"/>
        <v>0</v>
      </c>
      <c r="AD108" s="560"/>
      <c r="AE108" s="560"/>
      <c r="AF108" s="560">
        <f t="shared" si="60"/>
        <v>0</v>
      </c>
      <c r="AG108" s="1331">
        <f t="shared" si="61"/>
        <v>0</v>
      </c>
    </row>
    <row r="109" ht="10.5" customHeight="1" spans="1:33">
      <c r="A109" s="1395" t="s">
        <v>240</v>
      </c>
      <c r="B109" s="1396" t="s">
        <v>11</v>
      </c>
      <c r="C109" s="1397" t="s">
        <v>236</v>
      </c>
      <c r="D109" s="1316"/>
      <c r="E109" s="1398"/>
      <c r="F109" s="1304">
        <f t="shared" si="50"/>
        <v>1</v>
      </c>
      <c r="G109" s="1316"/>
      <c r="H109" s="1398"/>
      <c r="I109" s="1353">
        <f t="shared" si="62"/>
        <v>1</v>
      </c>
      <c r="J109" s="1316"/>
      <c r="K109" s="1398"/>
      <c r="L109" s="1353">
        <f t="shared" si="51"/>
        <v>1</v>
      </c>
      <c r="M109" s="1316"/>
      <c r="N109" s="1398"/>
      <c r="O109" s="1353">
        <f t="shared" si="63"/>
        <v>1</v>
      </c>
      <c r="P109" s="1316"/>
      <c r="Q109" s="1398"/>
      <c r="R109" s="1353">
        <f>IF(Q109&lt;P109,-(P109-Q109)*200,0)</f>
        <v>0</v>
      </c>
      <c r="S109" s="1321"/>
      <c r="T109" s="1316"/>
      <c r="U109" s="1353">
        <f>IF(T109&lt;S109,-(S109-T109)*200,0)</f>
        <v>0</v>
      </c>
      <c r="V109" s="1316"/>
      <c r="W109" s="1316"/>
      <c r="X109" s="1353">
        <f t="shared" si="64"/>
        <v>0</v>
      </c>
      <c r="Y109" s="1316">
        <f t="shared" si="65"/>
        <v>0</v>
      </c>
      <c r="Z109" s="1316"/>
      <c r="AA109" s="1401">
        <f t="shared" si="66"/>
        <v>1</v>
      </c>
      <c r="AB109" s="560">
        <f t="shared" si="58"/>
        <v>0</v>
      </c>
      <c r="AC109" s="560">
        <f t="shared" si="59"/>
        <v>0</v>
      </c>
      <c r="AD109" s="560"/>
      <c r="AE109" s="560"/>
      <c r="AF109" s="560">
        <f t="shared" si="60"/>
        <v>0</v>
      </c>
      <c r="AG109" s="1331">
        <f t="shared" si="61"/>
        <v>0</v>
      </c>
    </row>
    <row r="110" spans="1:33">
      <c r="A110" s="1395" t="s">
        <v>240</v>
      </c>
      <c r="B110" s="1396" t="s">
        <v>246</v>
      </c>
      <c r="C110" s="1397" t="s">
        <v>247</v>
      </c>
      <c r="D110" s="1316"/>
      <c r="E110" s="1398"/>
      <c r="F110" s="1304">
        <f t="shared" si="50"/>
        <v>1</v>
      </c>
      <c r="G110" s="1316"/>
      <c r="H110" s="1398"/>
      <c r="I110" s="1353">
        <f t="shared" si="62"/>
        <v>1</v>
      </c>
      <c r="J110" s="560"/>
      <c r="K110" s="1398"/>
      <c r="L110" s="1353">
        <f>IF(K110=0,1,#REF!/K110)</f>
        <v>1</v>
      </c>
      <c r="M110" s="1316"/>
      <c r="N110" s="1398"/>
      <c r="O110" s="1353">
        <f t="shared" si="63"/>
        <v>1</v>
      </c>
      <c r="P110" s="1316"/>
      <c r="Q110" s="1398"/>
      <c r="R110" s="1353">
        <f>IF(Q110&lt;P110,-(P110-Q110)*100,0)</f>
        <v>0</v>
      </c>
      <c r="S110" s="1321"/>
      <c r="T110" s="1316"/>
      <c r="U110" s="1353">
        <f>IF(T110&lt;S110,-(S110-T110)*300,0)</f>
        <v>0</v>
      </c>
      <c r="V110" s="1316"/>
      <c r="W110" s="1316"/>
      <c r="X110" s="1353">
        <f t="shared" si="64"/>
        <v>0</v>
      </c>
      <c r="Y110" s="1316">
        <f t="shared" si="65"/>
        <v>0</v>
      </c>
      <c r="Z110" s="1316"/>
      <c r="AA110" s="1401">
        <f t="shared" si="66"/>
        <v>1</v>
      </c>
      <c r="AB110" s="560">
        <f t="shared" si="58"/>
        <v>0</v>
      </c>
      <c r="AC110" s="560">
        <f t="shared" si="59"/>
        <v>0</v>
      </c>
      <c r="AD110" s="560"/>
      <c r="AE110" s="560"/>
      <c r="AF110" s="560">
        <f t="shared" si="60"/>
        <v>0</v>
      </c>
      <c r="AG110" s="1331">
        <f t="shared" si="61"/>
        <v>0</v>
      </c>
    </row>
    <row r="111" spans="1:33">
      <c r="A111" s="1395" t="s">
        <v>240</v>
      </c>
      <c r="B111" s="1396" t="s">
        <v>238</v>
      </c>
      <c r="C111" s="1397" t="s">
        <v>248</v>
      </c>
      <c r="D111" s="1316"/>
      <c r="E111" s="1398"/>
      <c r="F111" s="1304">
        <f t="shared" si="50"/>
        <v>1</v>
      </c>
      <c r="G111" s="1316"/>
      <c r="H111" s="1398"/>
      <c r="I111" s="1353">
        <f t="shared" si="62"/>
        <v>1</v>
      </c>
      <c r="J111" s="1316"/>
      <c r="K111" s="1398"/>
      <c r="L111" s="1353">
        <f t="shared" ref="L111:L141" si="67">IF(J111=0,1,K111/J111)</f>
        <v>1</v>
      </c>
      <c r="M111" s="1316"/>
      <c r="N111" s="1398"/>
      <c r="O111" s="1353">
        <f t="shared" si="63"/>
        <v>1</v>
      </c>
      <c r="P111" s="1316"/>
      <c r="Q111" s="1398"/>
      <c r="R111" s="1353">
        <f>IF(Q111&lt;P111,-(P111-Q111)*200,0)</f>
        <v>0</v>
      </c>
      <c r="S111" s="1321"/>
      <c r="T111" s="1316"/>
      <c r="U111" s="1353">
        <f>IF(T111&lt;S111,-(S111-T111)*300,0)</f>
        <v>0</v>
      </c>
      <c r="V111" s="1404"/>
      <c r="W111" s="1404"/>
      <c r="X111" s="1353">
        <f>IF(W111&lt;V111,-(V111-W111)*300,0)</f>
        <v>0</v>
      </c>
      <c r="Y111" s="1316">
        <f t="shared" si="65"/>
        <v>0</v>
      </c>
      <c r="Z111" s="1316"/>
      <c r="AA111" s="1401">
        <f t="shared" si="66"/>
        <v>1</v>
      </c>
      <c r="AB111" s="560">
        <f t="shared" si="58"/>
        <v>0</v>
      </c>
      <c r="AC111" s="560">
        <f t="shared" si="59"/>
        <v>0</v>
      </c>
      <c r="AD111" s="560"/>
      <c r="AE111" s="560"/>
      <c r="AF111" s="560">
        <f t="shared" si="60"/>
        <v>0</v>
      </c>
      <c r="AG111" s="1331">
        <f t="shared" si="61"/>
        <v>0</v>
      </c>
    </row>
    <row r="112" ht="15" customHeight="1" spans="1:33">
      <c r="A112" s="1395" t="s">
        <v>240</v>
      </c>
      <c r="B112" s="1396" t="s">
        <v>246</v>
      </c>
      <c r="C112" s="1397" t="s">
        <v>236</v>
      </c>
      <c r="D112" s="1316"/>
      <c r="E112" s="1398"/>
      <c r="F112" s="1304">
        <f t="shared" si="50"/>
        <v>1</v>
      </c>
      <c r="G112" s="1316"/>
      <c r="H112" s="1398"/>
      <c r="I112" s="1353">
        <f t="shared" si="62"/>
        <v>1</v>
      </c>
      <c r="J112" s="1316"/>
      <c r="K112" s="1398"/>
      <c r="L112" s="1353">
        <f t="shared" si="67"/>
        <v>1</v>
      </c>
      <c r="M112" s="1316"/>
      <c r="N112" s="1398"/>
      <c r="O112" s="1353">
        <f t="shared" si="63"/>
        <v>1</v>
      </c>
      <c r="P112" s="1316"/>
      <c r="Q112" s="1398"/>
      <c r="R112" s="1353">
        <f>IF(Q112&lt;P112,-(P112-Q112)*200,0)</f>
        <v>0</v>
      </c>
      <c r="S112" s="1321">
        <f>Z112</f>
        <v>0</v>
      </c>
      <c r="T112" s="1316"/>
      <c r="U112" s="1353">
        <f>IF(T112&lt;S112,-(S112-T112)*200,0)</f>
        <v>0</v>
      </c>
      <c r="V112" s="1316"/>
      <c r="W112" s="1316"/>
      <c r="X112" s="1353">
        <f>IF(W112&lt;V112,-(V112-W112)*200,0)</f>
        <v>0</v>
      </c>
      <c r="Y112" s="1316">
        <f t="shared" si="65"/>
        <v>0</v>
      </c>
      <c r="Z112" s="1316"/>
      <c r="AA112" s="1401">
        <f t="shared" si="66"/>
        <v>1</v>
      </c>
      <c r="AB112" s="560">
        <f t="shared" si="58"/>
        <v>0</v>
      </c>
      <c r="AC112" s="560">
        <f t="shared" si="59"/>
        <v>0</v>
      </c>
      <c r="AD112" s="560"/>
      <c r="AE112" s="560"/>
      <c r="AF112" s="560">
        <f t="shared" si="60"/>
        <v>0</v>
      </c>
      <c r="AG112" s="1331">
        <f t="shared" si="61"/>
        <v>0</v>
      </c>
    </row>
    <row r="113" spans="1:33">
      <c r="A113" s="1395"/>
      <c r="B113" s="1413" t="s">
        <v>193</v>
      </c>
      <c r="C113" s="1414"/>
      <c r="D113" s="1413">
        <f>SUM(D105:D111)</f>
        <v>0</v>
      </c>
      <c r="E113" s="1413">
        <f>SUM(E105:E111)</f>
        <v>0</v>
      </c>
      <c r="F113" s="1415">
        <f t="shared" si="50"/>
        <v>1</v>
      </c>
      <c r="G113" s="1413">
        <f>SUM(G105:G112)</f>
        <v>0</v>
      </c>
      <c r="H113" s="1413">
        <f>SUM(H105:H112)</f>
        <v>0</v>
      </c>
      <c r="I113" s="1416">
        <f t="shared" si="62"/>
        <v>1</v>
      </c>
      <c r="J113" s="1413">
        <f>SUM(J105:J112)</f>
        <v>0</v>
      </c>
      <c r="K113" s="1413">
        <f>SUM(K105:K112)</f>
        <v>0</v>
      </c>
      <c r="L113" s="1416">
        <f t="shared" si="67"/>
        <v>1</v>
      </c>
      <c r="M113" s="1413">
        <f>SUM(M105:M111)</f>
        <v>0</v>
      </c>
      <c r="N113" s="1413">
        <f>SUM(N105:N111)</f>
        <v>0</v>
      </c>
      <c r="O113" s="1416">
        <f t="shared" si="63"/>
        <v>1</v>
      </c>
      <c r="P113" s="1413">
        <f>SUM(P105:P111)</f>
        <v>0</v>
      </c>
      <c r="Q113" s="1413">
        <f>SUM(Q105:Q111)</f>
        <v>0</v>
      </c>
      <c r="R113" s="1416">
        <f>IF(P113=0,1,Q113/P113)</f>
        <v>1</v>
      </c>
      <c r="S113" s="1413">
        <f>SUM(S105:S112)</f>
        <v>0</v>
      </c>
      <c r="T113" s="1413">
        <f>SUM(T105:T112)</f>
        <v>0</v>
      </c>
      <c r="U113" s="1416">
        <f>IF(S113=0,1,T113/S113)</f>
        <v>1</v>
      </c>
      <c r="V113" s="1413">
        <f>SUM(V105:V112)</f>
        <v>0</v>
      </c>
      <c r="W113" s="1413">
        <f>SUM(W105:W111)</f>
        <v>0</v>
      </c>
      <c r="X113" s="1416">
        <f>IF(V113=0,1,W113/V113)</f>
        <v>1</v>
      </c>
      <c r="Y113" s="1415">
        <f>SUM(Y105:Y112)</f>
        <v>0</v>
      </c>
      <c r="Z113" s="1415">
        <f>SUM(Z105:Z112)</f>
        <v>0</v>
      </c>
      <c r="AA113" s="1417">
        <f>IF(Y113=0,1,Z113/Y113)</f>
        <v>1</v>
      </c>
      <c r="AB113" s="560">
        <f t="shared" si="58"/>
        <v>0</v>
      </c>
      <c r="AC113" s="560">
        <f t="shared" si="59"/>
        <v>0</v>
      </c>
      <c r="AD113" s="560"/>
      <c r="AE113" s="560"/>
      <c r="AF113" s="560">
        <f t="shared" si="60"/>
        <v>0</v>
      </c>
      <c r="AG113" s="1331">
        <f t="shared" si="61"/>
        <v>0</v>
      </c>
    </row>
    <row r="114" spans="1:33">
      <c r="A114" s="1395" t="s">
        <v>249</v>
      </c>
      <c r="B114" s="1396" t="s">
        <v>11</v>
      </c>
      <c r="C114" s="1397" t="s">
        <v>250</v>
      </c>
      <c r="D114" s="1316"/>
      <c r="E114" s="1398"/>
      <c r="F114" s="1304">
        <f t="shared" si="50"/>
        <v>1</v>
      </c>
      <c r="G114" s="1316"/>
      <c r="H114" s="1398"/>
      <c r="I114" s="1353">
        <f t="shared" si="62"/>
        <v>1</v>
      </c>
      <c r="J114" s="1316"/>
      <c r="K114" s="1398"/>
      <c r="L114" s="1353">
        <f t="shared" si="67"/>
        <v>1</v>
      </c>
      <c r="M114" s="1316"/>
      <c r="N114" s="1398"/>
      <c r="O114" s="1353">
        <f t="shared" si="63"/>
        <v>1</v>
      </c>
      <c r="P114" s="1316"/>
      <c r="Q114" s="1398"/>
      <c r="R114" s="1353">
        <f t="shared" ref="R114:R120" si="68">IF(Q114&lt;P114,-(P114-Q114)*200,0)</f>
        <v>0</v>
      </c>
      <c r="S114" s="1316"/>
      <c r="T114" s="1316"/>
      <c r="U114" s="1353">
        <f t="shared" ref="U114:U119" si="69">IF(T114&lt;S114,-(S114-T114)*200,0)</f>
        <v>0</v>
      </c>
      <c r="V114" s="1316"/>
      <c r="W114" s="1316"/>
      <c r="X114" s="1353">
        <f>IF(W114&lt;V114,-(V114-W114)*200,0)</f>
        <v>0</v>
      </c>
      <c r="Y114" s="1316">
        <f t="shared" ref="Y114:Y121" si="70">G114+J114</f>
        <v>0</v>
      </c>
      <c r="Z114" s="1316"/>
      <c r="AA114" s="1401">
        <f t="shared" ref="AA114:AA121" si="71">IF(IF(Y114=0,1,Z114/Y114)&gt;1,1,IF(Y114=0,1,Z114/Y114))</f>
        <v>1</v>
      </c>
      <c r="AB114" s="560">
        <f t="shared" si="58"/>
        <v>0</v>
      </c>
      <c r="AC114" s="560">
        <f t="shared" si="59"/>
        <v>0</v>
      </c>
      <c r="AD114" s="560"/>
      <c r="AE114" s="560"/>
      <c r="AF114" s="560">
        <f t="shared" si="60"/>
        <v>0</v>
      </c>
      <c r="AG114" s="1331">
        <f t="shared" si="61"/>
        <v>0</v>
      </c>
    </row>
    <row r="115" spans="1:33">
      <c r="A115" s="1395" t="s">
        <v>249</v>
      </c>
      <c r="B115" s="1396" t="s">
        <v>11</v>
      </c>
      <c r="C115" s="1397" t="s">
        <v>251</v>
      </c>
      <c r="D115" s="1316"/>
      <c r="E115" s="1398"/>
      <c r="F115" s="1304">
        <f t="shared" si="50"/>
        <v>1</v>
      </c>
      <c r="G115" s="1316"/>
      <c r="H115" s="1398"/>
      <c r="I115" s="1353">
        <f t="shared" si="62"/>
        <v>1</v>
      </c>
      <c r="J115" s="1316"/>
      <c r="K115" s="1398"/>
      <c r="L115" s="1353">
        <f t="shared" si="67"/>
        <v>1</v>
      </c>
      <c r="M115" s="1316"/>
      <c r="N115" s="1398"/>
      <c r="O115" s="1353">
        <f t="shared" si="63"/>
        <v>1</v>
      </c>
      <c r="P115" s="1316"/>
      <c r="Q115" s="1398"/>
      <c r="R115" s="1353">
        <f t="shared" si="68"/>
        <v>0</v>
      </c>
      <c r="S115" s="1316"/>
      <c r="T115" s="1316"/>
      <c r="U115" s="1353">
        <f t="shared" si="69"/>
        <v>0</v>
      </c>
      <c r="V115" s="1316"/>
      <c r="W115" s="1316"/>
      <c r="X115" s="1353">
        <f>IF(W115&lt;V115,-(V115-W115)*200,0)</f>
        <v>0</v>
      </c>
      <c r="Y115" s="1316">
        <f t="shared" si="70"/>
        <v>0</v>
      </c>
      <c r="Z115" s="1316"/>
      <c r="AA115" s="1401">
        <f t="shared" si="71"/>
        <v>1</v>
      </c>
      <c r="AB115" s="560">
        <f t="shared" si="58"/>
        <v>0</v>
      </c>
      <c r="AC115" s="560">
        <f t="shared" si="59"/>
        <v>0</v>
      </c>
      <c r="AD115" s="560"/>
      <c r="AE115" s="560"/>
      <c r="AF115" s="560">
        <f t="shared" si="60"/>
        <v>0</v>
      </c>
      <c r="AG115" s="1331">
        <f t="shared" si="61"/>
        <v>0</v>
      </c>
    </row>
    <row r="116" spans="1:33">
      <c r="A116" s="1395" t="s">
        <v>249</v>
      </c>
      <c r="B116" s="1396" t="s">
        <v>11</v>
      </c>
      <c r="C116" s="1397" t="s">
        <v>252</v>
      </c>
      <c r="D116" s="1316"/>
      <c r="E116" s="1398"/>
      <c r="F116" s="1304">
        <f t="shared" si="50"/>
        <v>1</v>
      </c>
      <c r="G116" s="1316"/>
      <c r="H116" s="1398"/>
      <c r="I116" s="1353">
        <f t="shared" si="62"/>
        <v>1</v>
      </c>
      <c r="J116" s="1316"/>
      <c r="K116" s="1398"/>
      <c r="L116" s="1353">
        <f t="shared" si="67"/>
        <v>1</v>
      </c>
      <c r="M116" s="1316"/>
      <c r="N116" s="1398"/>
      <c r="O116" s="1353">
        <f t="shared" si="63"/>
        <v>1</v>
      </c>
      <c r="P116" s="1316"/>
      <c r="Q116" s="1398"/>
      <c r="R116" s="1353">
        <f t="shared" si="68"/>
        <v>0</v>
      </c>
      <c r="S116" s="1316"/>
      <c r="T116" s="1316"/>
      <c r="U116" s="1353">
        <f t="shared" si="69"/>
        <v>0</v>
      </c>
      <c r="V116" s="1316"/>
      <c r="W116" s="1316"/>
      <c r="X116" s="1353">
        <f>IF(W116&lt;V116,-(V116-W116)*200,0)</f>
        <v>0</v>
      </c>
      <c r="Y116" s="1316">
        <f t="shared" si="70"/>
        <v>0</v>
      </c>
      <c r="Z116" s="1316"/>
      <c r="AA116" s="1401">
        <f t="shared" si="71"/>
        <v>1</v>
      </c>
      <c r="AB116" s="560">
        <f t="shared" si="58"/>
        <v>0</v>
      </c>
      <c r="AC116" s="560">
        <f t="shared" si="59"/>
        <v>0</v>
      </c>
      <c r="AD116" s="560"/>
      <c r="AE116" s="560"/>
      <c r="AF116" s="560">
        <f t="shared" si="60"/>
        <v>0</v>
      </c>
      <c r="AG116" s="1331">
        <f t="shared" si="61"/>
        <v>0</v>
      </c>
    </row>
    <row r="117" spans="1:33">
      <c r="A117" s="1395" t="s">
        <v>249</v>
      </c>
      <c r="B117" s="1396" t="s">
        <v>11</v>
      </c>
      <c r="C117" s="1397" t="s">
        <v>236</v>
      </c>
      <c r="D117" s="1316"/>
      <c r="E117" s="1398"/>
      <c r="F117" s="1304">
        <f t="shared" si="50"/>
        <v>1</v>
      </c>
      <c r="G117" s="1316"/>
      <c r="H117" s="1398"/>
      <c r="I117" s="1353">
        <f t="shared" si="62"/>
        <v>1</v>
      </c>
      <c r="J117" s="1316"/>
      <c r="K117" s="1398"/>
      <c r="L117" s="1353">
        <f t="shared" si="67"/>
        <v>1</v>
      </c>
      <c r="M117" s="1316"/>
      <c r="N117" s="1398"/>
      <c r="O117" s="1353">
        <f t="shared" si="63"/>
        <v>1</v>
      </c>
      <c r="P117" s="1316"/>
      <c r="Q117" s="1398"/>
      <c r="R117" s="1353">
        <f t="shared" si="68"/>
        <v>0</v>
      </c>
      <c r="S117" s="1316"/>
      <c r="T117" s="1316"/>
      <c r="U117" s="1353">
        <f t="shared" si="69"/>
        <v>0</v>
      </c>
      <c r="V117" s="1316"/>
      <c r="W117" s="1316"/>
      <c r="X117" s="1353">
        <f>IF(W117&lt;V117,-(V117-W117)*200,0)</f>
        <v>0</v>
      </c>
      <c r="Y117" s="1316">
        <f t="shared" si="70"/>
        <v>0</v>
      </c>
      <c r="Z117" s="1316"/>
      <c r="AA117" s="1401">
        <f t="shared" si="71"/>
        <v>1</v>
      </c>
      <c r="AB117" s="560">
        <f t="shared" si="58"/>
        <v>0</v>
      </c>
      <c r="AC117" s="560">
        <f t="shared" si="59"/>
        <v>0</v>
      </c>
      <c r="AD117" s="560"/>
      <c r="AE117" s="560"/>
      <c r="AF117" s="560">
        <f t="shared" si="60"/>
        <v>0</v>
      </c>
      <c r="AG117" s="1331">
        <f t="shared" si="61"/>
        <v>0</v>
      </c>
    </row>
    <row r="118" spans="1:33">
      <c r="A118" s="1395" t="s">
        <v>249</v>
      </c>
      <c r="B118" s="1396" t="s">
        <v>11</v>
      </c>
      <c r="C118" s="1397" t="s">
        <v>236</v>
      </c>
      <c r="D118" s="1316"/>
      <c r="E118" s="1398"/>
      <c r="F118" s="1304">
        <f t="shared" si="50"/>
        <v>1</v>
      </c>
      <c r="G118" s="1316"/>
      <c r="H118" s="1398"/>
      <c r="I118" s="1353">
        <f t="shared" si="62"/>
        <v>1</v>
      </c>
      <c r="J118" s="1316"/>
      <c r="K118" s="1398"/>
      <c r="L118" s="1353">
        <f t="shared" si="67"/>
        <v>1</v>
      </c>
      <c r="M118" s="1316"/>
      <c r="N118" s="1398"/>
      <c r="O118" s="1353">
        <f t="shared" si="63"/>
        <v>1</v>
      </c>
      <c r="P118" s="1316"/>
      <c r="Q118" s="1398"/>
      <c r="R118" s="1353">
        <f t="shared" si="68"/>
        <v>0</v>
      </c>
      <c r="S118" s="1316"/>
      <c r="T118" s="1316"/>
      <c r="U118" s="1353">
        <f t="shared" si="69"/>
        <v>0</v>
      </c>
      <c r="V118" s="1316"/>
      <c r="W118" s="1316"/>
      <c r="X118" s="1353">
        <f>IF(W118&lt;V118,-(V118-W118)*200,0)</f>
        <v>0</v>
      </c>
      <c r="Y118" s="1316">
        <f t="shared" si="70"/>
        <v>0</v>
      </c>
      <c r="Z118" s="1316"/>
      <c r="AA118" s="1401">
        <f t="shared" si="71"/>
        <v>1</v>
      </c>
      <c r="AB118" s="560">
        <f t="shared" si="58"/>
        <v>0</v>
      </c>
      <c r="AC118" s="560">
        <f t="shared" si="59"/>
        <v>0</v>
      </c>
      <c r="AD118" s="560"/>
      <c r="AE118" s="560"/>
      <c r="AF118" s="560">
        <f t="shared" si="60"/>
        <v>0</v>
      </c>
      <c r="AG118" s="1331">
        <f t="shared" si="61"/>
        <v>0</v>
      </c>
    </row>
    <row r="119" spans="1:33">
      <c r="A119" s="1395" t="s">
        <v>249</v>
      </c>
      <c r="B119" s="1396" t="s">
        <v>238</v>
      </c>
      <c r="C119" s="1397" t="s">
        <v>236</v>
      </c>
      <c r="D119" s="1316"/>
      <c r="E119" s="1398"/>
      <c r="F119" s="1304">
        <f t="shared" si="50"/>
        <v>1</v>
      </c>
      <c r="G119" s="1316"/>
      <c r="H119" s="1398"/>
      <c r="I119" s="1353">
        <f t="shared" si="62"/>
        <v>1</v>
      </c>
      <c r="J119" s="1316"/>
      <c r="K119" s="1398"/>
      <c r="L119" s="1353">
        <f t="shared" si="67"/>
        <v>1</v>
      </c>
      <c r="M119" s="1316"/>
      <c r="N119" s="1398"/>
      <c r="O119" s="1353">
        <f t="shared" si="63"/>
        <v>1</v>
      </c>
      <c r="P119" s="1316"/>
      <c r="Q119" s="1398"/>
      <c r="R119" s="1353">
        <f t="shared" si="68"/>
        <v>0</v>
      </c>
      <c r="S119" s="1316"/>
      <c r="T119" s="1316"/>
      <c r="U119" s="1353">
        <f t="shared" si="69"/>
        <v>0</v>
      </c>
      <c r="V119" s="1316"/>
      <c r="W119" s="1316"/>
      <c r="X119" s="1353">
        <f>IF(W119&lt;V119,-(V119-W119)*500,0)</f>
        <v>0</v>
      </c>
      <c r="Y119" s="1316">
        <f t="shared" si="70"/>
        <v>0</v>
      </c>
      <c r="Z119" s="1316"/>
      <c r="AA119" s="1401">
        <f t="shared" si="71"/>
        <v>1</v>
      </c>
      <c r="AB119" s="560">
        <f t="shared" si="58"/>
        <v>0</v>
      </c>
      <c r="AC119" s="560">
        <f t="shared" si="59"/>
        <v>0</v>
      </c>
      <c r="AD119" s="560"/>
      <c r="AE119" s="560"/>
      <c r="AF119" s="560">
        <f t="shared" si="60"/>
        <v>0</v>
      </c>
      <c r="AG119" s="1331">
        <f t="shared" si="61"/>
        <v>0</v>
      </c>
    </row>
    <row r="120" spans="1:33">
      <c r="A120" s="1395" t="s">
        <v>249</v>
      </c>
      <c r="B120" s="1396" t="s">
        <v>238</v>
      </c>
      <c r="C120" s="1397" t="s">
        <v>253</v>
      </c>
      <c r="D120" s="1316"/>
      <c r="E120" s="1398"/>
      <c r="F120" s="1304">
        <f t="shared" si="50"/>
        <v>1</v>
      </c>
      <c r="G120" s="1316"/>
      <c r="H120" s="1398"/>
      <c r="I120" s="1353">
        <f t="shared" si="62"/>
        <v>1</v>
      </c>
      <c r="J120" s="1316"/>
      <c r="K120" s="1398"/>
      <c r="L120" s="1353">
        <f t="shared" si="67"/>
        <v>1</v>
      </c>
      <c r="M120" s="1316"/>
      <c r="N120" s="1398"/>
      <c r="O120" s="1353">
        <f t="shared" si="63"/>
        <v>1</v>
      </c>
      <c r="P120" s="1316"/>
      <c r="Q120" s="1398"/>
      <c r="R120" s="1353">
        <f t="shared" si="68"/>
        <v>0</v>
      </c>
      <c r="S120" s="1316"/>
      <c r="T120" s="1316"/>
      <c r="U120" s="1353">
        <f>IF(T120&lt;S120,-(S120-T120)*300,0)</f>
        <v>0</v>
      </c>
      <c r="V120" s="1404"/>
      <c r="W120" s="1404"/>
      <c r="X120" s="1353">
        <f>IF(W120&lt;V120,-(V120-W120)*300,0)</f>
        <v>0</v>
      </c>
      <c r="Y120" s="1316">
        <f t="shared" si="70"/>
        <v>0</v>
      </c>
      <c r="Z120" s="1316"/>
      <c r="AA120" s="1401">
        <f t="shared" si="71"/>
        <v>1</v>
      </c>
      <c r="AB120" s="560">
        <f t="shared" si="58"/>
        <v>0</v>
      </c>
      <c r="AC120" s="560">
        <f t="shared" si="59"/>
        <v>0</v>
      </c>
      <c r="AD120" s="560"/>
      <c r="AE120" s="560"/>
      <c r="AF120" s="560">
        <f t="shared" si="60"/>
        <v>0</v>
      </c>
      <c r="AG120" s="1331">
        <f t="shared" si="61"/>
        <v>0</v>
      </c>
    </row>
    <row r="121" spans="1:33">
      <c r="A121" s="1395" t="s">
        <v>249</v>
      </c>
      <c r="B121" s="1396" t="s">
        <v>11</v>
      </c>
      <c r="C121" s="1397" t="s">
        <v>254</v>
      </c>
      <c r="D121" s="1316"/>
      <c r="E121" s="1398"/>
      <c r="F121" s="1304">
        <f t="shared" si="50"/>
        <v>1</v>
      </c>
      <c r="G121" s="1316"/>
      <c r="H121" s="1398"/>
      <c r="I121" s="1353">
        <f t="shared" si="62"/>
        <v>1</v>
      </c>
      <c r="J121" s="1316"/>
      <c r="K121" s="1398"/>
      <c r="L121" s="1353">
        <f t="shared" si="67"/>
        <v>1</v>
      </c>
      <c r="M121" s="1316"/>
      <c r="N121" s="1398"/>
      <c r="O121" s="1353">
        <f t="shared" si="63"/>
        <v>1</v>
      </c>
      <c r="P121" s="1316"/>
      <c r="Q121" s="1398"/>
      <c r="R121" s="1353">
        <f>IF(Q121&lt;P121,-(P121-Q121)*100,0)</f>
        <v>0</v>
      </c>
      <c r="S121" s="1316"/>
      <c r="T121" s="1316"/>
      <c r="U121" s="1353">
        <f>IF(T121&lt;S121,-(S121-T121)*200,0)</f>
        <v>0</v>
      </c>
      <c r="V121" s="1316"/>
      <c r="W121" s="1316"/>
      <c r="X121" s="1353"/>
      <c r="Y121" s="1316">
        <f t="shared" si="70"/>
        <v>0</v>
      </c>
      <c r="Z121" s="1316"/>
      <c r="AA121" s="1401">
        <f t="shared" si="71"/>
        <v>1</v>
      </c>
      <c r="AB121" s="560">
        <f t="shared" si="58"/>
        <v>0</v>
      </c>
      <c r="AC121" s="560">
        <f t="shared" si="59"/>
        <v>0</v>
      </c>
      <c r="AD121" s="560"/>
      <c r="AE121" s="560"/>
      <c r="AF121" s="560">
        <f t="shared" si="60"/>
        <v>0</v>
      </c>
      <c r="AG121" s="1331">
        <f t="shared" si="61"/>
        <v>0</v>
      </c>
    </row>
    <row r="122" spans="1:33">
      <c r="A122" s="1395"/>
      <c r="B122" s="1413" t="s">
        <v>193</v>
      </c>
      <c r="C122" s="1414"/>
      <c r="D122" s="1413">
        <f>SUM(D114:D121)</f>
        <v>0</v>
      </c>
      <c r="E122" s="1413">
        <f>SUM(E114:E121)</f>
        <v>0</v>
      </c>
      <c r="F122" s="1415">
        <f t="shared" si="50"/>
        <v>1</v>
      </c>
      <c r="G122" s="1413">
        <f>SUM(G114:G121)</f>
        <v>0</v>
      </c>
      <c r="H122" s="1413">
        <f>SUM(H114:H121)</f>
        <v>0</v>
      </c>
      <c r="I122" s="1416">
        <f>SUM(I114:I121)</f>
        <v>8</v>
      </c>
      <c r="J122" s="1413">
        <f>SUM(J114:J121)</f>
        <v>0</v>
      </c>
      <c r="K122" s="1413">
        <f>SUM(K114:K121)</f>
        <v>0</v>
      </c>
      <c r="L122" s="1416">
        <f t="shared" si="67"/>
        <v>1</v>
      </c>
      <c r="M122" s="1413">
        <f>SUM(M114:M121)</f>
        <v>0</v>
      </c>
      <c r="N122" s="1413">
        <f>SUM(N114:N121)</f>
        <v>0</v>
      </c>
      <c r="O122" s="1416">
        <f t="shared" si="63"/>
        <v>1</v>
      </c>
      <c r="P122" s="1413">
        <f>SUM(P114:P121)</f>
        <v>0</v>
      </c>
      <c r="Q122" s="1413">
        <f>SUM(Q114:Q121)</f>
        <v>0</v>
      </c>
      <c r="R122" s="1416">
        <f>IF(P122=0,1,Q122/P122)</f>
        <v>1</v>
      </c>
      <c r="S122" s="1413">
        <f>SUM(S114:S121)</f>
        <v>0</v>
      </c>
      <c r="T122" s="1413">
        <f>SUM(T114:T121)</f>
        <v>0</v>
      </c>
      <c r="U122" s="1416">
        <f>IF(S122=0,1,T122/S122)</f>
        <v>1</v>
      </c>
      <c r="V122" s="1413">
        <f>SUM(V114:V121)</f>
        <v>0</v>
      </c>
      <c r="W122" s="1413">
        <f>SUM(W114:W121)</f>
        <v>0</v>
      </c>
      <c r="X122" s="1416"/>
      <c r="Y122" s="1415">
        <f>SUM(Y114:Y121)</f>
        <v>0</v>
      </c>
      <c r="Z122" s="1415">
        <f>SUM(Z114:Z121)</f>
        <v>0</v>
      </c>
      <c r="AA122" s="1417">
        <f>IF(Y122=0,1,Z122/Y122)</f>
        <v>1</v>
      </c>
      <c r="AB122" s="560">
        <f t="shared" si="58"/>
        <v>0</v>
      </c>
      <c r="AC122" s="560">
        <f t="shared" si="59"/>
        <v>0</v>
      </c>
      <c r="AD122" s="560"/>
      <c r="AE122" s="560"/>
      <c r="AF122" s="560">
        <f t="shared" si="60"/>
        <v>0</v>
      </c>
      <c r="AG122" s="1331">
        <f t="shared" si="61"/>
        <v>0</v>
      </c>
    </row>
    <row r="123" spans="1:33">
      <c r="A123" s="1418" t="s">
        <v>255</v>
      </c>
      <c r="B123" s="1396" t="s">
        <v>11</v>
      </c>
      <c r="C123" s="1397" t="s">
        <v>256</v>
      </c>
      <c r="D123" s="1316"/>
      <c r="E123" s="1398"/>
      <c r="F123" s="1304">
        <f t="shared" si="50"/>
        <v>1</v>
      </c>
      <c r="G123" s="1316"/>
      <c r="H123" s="1398"/>
      <c r="I123" s="1353">
        <f>IF(G123=0,1,H123/G123)</f>
        <v>1</v>
      </c>
      <c r="J123" s="1321"/>
      <c r="K123" s="1398"/>
      <c r="L123" s="1353">
        <f t="shared" si="67"/>
        <v>1</v>
      </c>
      <c r="M123" s="1316"/>
      <c r="N123" s="1398"/>
      <c r="O123" s="1353">
        <f t="shared" si="63"/>
        <v>1</v>
      </c>
      <c r="P123" s="1316"/>
      <c r="Q123" s="1398"/>
      <c r="R123" s="1353">
        <f t="shared" ref="R123:R129" si="72">IF(Q123&lt;P123,-(P123-Q123)*200,0)</f>
        <v>0</v>
      </c>
      <c r="S123" s="1316"/>
      <c r="T123" s="1316"/>
      <c r="U123" s="1353">
        <f t="shared" ref="U123:U128" si="73">IF(T123&lt;S123,-(S123-T123)*200,0)</f>
        <v>0</v>
      </c>
      <c r="V123" s="1316"/>
      <c r="W123" s="1316"/>
      <c r="X123" s="1353">
        <f>IF(W123&lt;V123,-(V123-W123)*200,0)</f>
        <v>0</v>
      </c>
      <c r="Y123" s="1316">
        <f t="shared" ref="Y123:Y130" si="74">G123+J123</f>
        <v>0</v>
      </c>
      <c r="Z123" s="1316"/>
      <c r="AA123" s="1401">
        <f>IF(IF(Y123=0,1,Z123/Y123)&gt;1,1,IF(Y123=0,1,Z123/Y123))</f>
        <v>1</v>
      </c>
      <c r="AB123" s="560">
        <f t="shared" si="58"/>
        <v>0</v>
      </c>
      <c r="AC123" s="560">
        <f t="shared" si="59"/>
        <v>0</v>
      </c>
      <c r="AD123" s="560"/>
      <c r="AE123" s="560"/>
      <c r="AF123" s="560">
        <f t="shared" si="60"/>
        <v>0</v>
      </c>
      <c r="AG123" s="1331">
        <f t="shared" si="61"/>
        <v>0</v>
      </c>
    </row>
    <row r="124" spans="1:33">
      <c r="A124" s="1418" t="s">
        <v>255</v>
      </c>
      <c r="B124" s="1396" t="s">
        <v>11</v>
      </c>
      <c r="C124" s="1397" t="s">
        <v>257</v>
      </c>
      <c r="D124" s="1316"/>
      <c r="E124" s="1398"/>
      <c r="F124" s="1304">
        <f t="shared" si="50"/>
        <v>1</v>
      </c>
      <c r="G124" s="1316"/>
      <c r="H124" s="1398"/>
      <c r="I124" s="1353">
        <f>IF(G124=0,1,H124/G124)</f>
        <v>1</v>
      </c>
      <c r="J124" s="1321"/>
      <c r="K124" s="1398"/>
      <c r="L124" s="1353">
        <f t="shared" si="67"/>
        <v>1</v>
      </c>
      <c r="M124" s="1316"/>
      <c r="N124" s="1398"/>
      <c r="O124" s="1353">
        <f t="shared" si="63"/>
        <v>1</v>
      </c>
      <c r="P124" s="1316"/>
      <c r="Q124" s="1398"/>
      <c r="R124" s="1353">
        <f t="shared" si="72"/>
        <v>0</v>
      </c>
      <c r="S124" s="1316"/>
      <c r="T124" s="1316"/>
      <c r="U124" s="1353">
        <f t="shared" si="73"/>
        <v>0</v>
      </c>
      <c r="V124" s="1316"/>
      <c r="W124" s="1316"/>
      <c r="X124" s="1353">
        <f>IF(W124&lt;V124,-(V124-W124)*200,0)</f>
        <v>0</v>
      </c>
      <c r="Y124" s="1316">
        <f t="shared" si="74"/>
        <v>0</v>
      </c>
      <c r="Z124" s="1316"/>
      <c r="AA124" s="1401">
        <f>IF(IF(Y124=0,1,Z124/Y124)&gt;1,1,IF(Y124=0,1,Z124/Y124))</f>
        <v>1</v>
      </c>
      <c r="AB124" s="560">
        <f t="shared" si="58"/>
        <v>0</v>
      </c>
      <c r="AC124" s="560">
        <f t="shared" si="59"/>
        <v>0</v>
      </c>
      <c r="AD124" s="560"/>
      <c r="AE124" s="560"/>
      <c r="AF124" s="560">
        <f t="shared" si="60"/>
        <v>0</v>
      </c>
      <c r="AG124" s="1331">
        <f t="shared" si="61"/>
        <v>0</v>
      </c>
    </row>
    <row r="125" spans="1:33">
      <c r="A125" s="1418" t="s">
        <v>255</v>
      </c>
      <c r="B125" s="1396" t="s">
        <v>11</v>
      </c>
      <c r="C125" s="1397" t="s">
        <v>258</v>
      </c>
      <c r="D125" s="1316"/>
      <c r="E125" s="1398"/>
      <c r="F125" s="1304">
        <f t="shared" si="50"/>
        <v>1</v>
      </c>
      <c r="G125" s="1316"/>
      <c r="H125" s="1398"/>
      <c r="I125" s="1353">
        <f>IF(G125=0,1,H125/G125)</f>
        <v>1</v>
      </c>
      <c r="J125" s="1321"/>
      <c r="K125" s="1398"/>
      <c r="L125" s="1353">
        <f t="shared" si="67"/>
        <v>1</v>
      </c>
      <c r="M125" s="1316"/>
      <c r="N125" s="1398"/>
      <c r="O125" s="1353">
        <f t="shared" si="63"/>
        <v>1</v>
      </c>
      <c r="P125" s="1316"/>
      <c r="Q125" s="1398"/>
      <c r="R125" s="1353">
        <f t="shared" si="72"/>
        <v>0</v>
      </c>
      <c r="S125" s="1316"/>
      <c r="T125" s="1316"/>
      <c r="U125" s="1353">
        <f t="shared" si="73"/>
        <v>0</v>
      </c>
      <c r="V125" s="1316"/>
      <c r="W125" s="1316"/>
      <c r="X125" s="1353">
        <f>IF(W125&lt;V125,-(V125-W125)*200,0)</f>
        <v>0</v>
      </c>
      <c r="Y125" s="1316">
        <f t="shared" si="74"/>
        <v>0</v>
      </c>
      <c r="Z125" s="1316"/>
      <c r="AA125" s="1401">
        <f>IF(IF(Y128=0,1,Z125/Y128)&gt;1,1,IF(Y128=0,1,Z125/Y128))</f>
        <v>1</v>
      </c>
      <c r="AB125" s="560">
        <f t="shared" si="58"/>
        <v>0</v>
      </c>
      <c r="AC125" s="560">
        <f t="shared" si="59"/>
        <v>0</v>
      </c>
      <c r="AD125" s="560"/>
      <c r="AE125" s="560"/>
      <c r="AF125" s="560">
        <f t="shared" si="60"/>
        <v>0</v>
      </c>
      <c r="AG125" s="1331">
        <f t="shared" si="61"/>
        <v>0</v>
      </c>
    </row>
    <row r="126" spans="1:33">
      <c r="A126" s="1418" t="s">
        <v>255</v>
      </c>
      <c r="B126" s="1396" t="s">
        <v>11</v>
      </c>
      <c r="C126" s="1397" t="s">
        <v>259</v>
      </c>
      <c r="D126" s="1316"/>
      <c r="E126" s="1398"/>
      <c r="F126" s="1304">
        <f t="shared" si="50"/>
        <v>1</v>
      </c>
      <c r="G126" s="1316"/>
      <c r="H126" s="1398"/>
      <c r="I126" s="1353">
        <f>IF(G126=0,1,H126/G126)</f>
        <v>1</v>
      </c>
      <c r="J126" s="1321"/>
      <c r="K126" s="1398"/>
      <c r="L126" s="1353">
        <f t="shared" si="67"/>
        <v>1</v>
      </c>
      <c r="M126" s="1316"/>
      <c r="N126" s="1398"/>
      <c r="O126" s="1353">
        <f t="shared" si="63"/>
        <v>1</v>
      </c>
      <c r="P126" s="1316"/>
      <c r="Q126" s="1398"/>
      <c r="R126" s="1353">
        <f t="shared" si="72"/>
        <v>0</v>
      </c>
      <c r="S126" s="1316"/>
      <c r="T126" s="1316"/>
      <c r="U126" s="1353">
        <f t="shared" si="73"/>
        <v>0</v>
      </c>
      <c r="V126" s="1316"/>
      <c r="W126" s="1316"/>
      <c r="X126" s="1353">
        <f>IF(W126&lt;V126,-(V126-W126)*200,0)</f>
        <v>0</v>
      </c>
      <c r="Y126" s="1316">
        <f t="shared" si="74"/>
        <v>0</v>
      </c>
      <c r="Z126" s="1316"/>
      <c r="AA126" s="1401">
        <f>IF(IF(Y126=0,1,Z126/Y126)&gt;1,1,IF(Y126=0,1,Z126/Y126))</f>
        <v>1</v>
      </c>
      <c r="AB126" s="560">
        <f t="shared" si="58"/>
        <v>0</v>
      </c>
      <c r="AC126" s="560">
        <f t="shared" si="59"/>
        <v>0</v>
      </c>
      <c r="AD126" s="560"/>
      <c r="AE126" s="560"/>
      <c r="AF126" s="560">
        <f t="shared" si="60"/>
        <v>0</v>
      </c>
      <c r="AG126" s="1331">
        <f t="shared" si="61"/>
        <v>0</v>
      </c>
    </row>
    <row r="127" spans="1:33">
      <c r="A127" s="1418" t="s">
        <v>255</v>
      </c>
      <c r="B127" s="1396" t="s">
        <v>11</v>
      </c>
      <c r="C127" s="1397" t="s">
        <v>260</v>
      </c>
      <c r="D127" s="1316"/>
      <c r="E127" s="1398"/>
      <c r="F127" s="1304">
        <f t="shared" si="50"/>
        <v>1</v>
      </c>
      <c r="G127" s="1316"/>
      <c r="H127" s="1398"/>
      <c r="I127" s="1353"/>
      <c r="J127" s="1321"/>
      <c r="K127" s="1398"/>
      <c r="L127" s="1353">
        <f t="shared" si="67"/>
        <v>1</v>
      </c>
      <c r="M127" s="1316"/>
      <c r="N127" s="1398"/>
      <c r="O127" s="1353">
        <f t="shared" si="63"/>
        <v>1</v>
      </c>
      <c r="P127" s="1316"/>
      <c r="Q127" s="1398"/>
      <c r="R127" s="1353">
        <f t="shared" si="72"/>
        <v>0</v>
      </c>
      <c r="S127" s="1316"/>
      <c r="T127" s="1316"/>
      <c r="U127" s="1353">
        <f t="shared" si="73"/>
        <v>0</v>
      </c>
      <c r="V127" s="1316"/>
      <c r="W127" s="1316"/>
      <c r="X127" s="1353">
        <f>IF(W127&lt;V127,-(V127-W127)*500,0)</f>
        <v>0</v>
      </c>
      <c r="Y127" s="1316">
        <f t="shared" si="74"/>
        <v>0</v>
      </c>
      <c r="Z127" s="1316"/>
      <c r="AA127" s="1401">
        <f>IF(IF(Y127=0,1,Z127/Y127)&gt;1,1,IF(Y127=0,1,Z127/Y127))</f>
        <v>1</v>
      </c>
      <c r="AB127" s="560">
        <f t="shared" si="58"/>
        <v>0</v>
      </c>
      <c r="AC127" s="560">
        <f t="shared" si="59"/>
        <v>0</v>
      </c>
      <c r="AD127" s="560"/>
      <c r="AE127" s="560"/>
      <c r="AF127" s="560">
        <f t="shared" si="60"/>
        <v>0</v>
      </c>
      <c r="AG127" s="1331">
        <f t="shared" si="61"/>
        <v>0</v>
      </c>
    </row>
    <row r="128" spans="1:33">
      <c r="A128" s="1418" t="s">
        <v>255</v>
      </c>
      <c r="B128" s="1396" t="s">
        <v>11</v>
      </c>
      <c r="C128" s="1397" t="s">
        <v>236</v>
      </c>
      <c r="D128" s="1316"/>
      <c r="E128" s="1398"/>
      <c r="F128" s="1304">
        <f t="shared" si="50"/>
        <v>1</v>
      </c>
      <c r="G128" s="1316"/>
      <c r="H128" s="1398"/>
      <c r="I128" s="1353">
        <f>IF(G128=0,1,H128/G128)</f>
        <v>1</v>
      </c>
      <c r="J128" s="1321"/>
      <c r="K128" s="1398"/>
      <c r="L128" s="1353">
        <f t="shared" si="67"/>
        <v>1</v>
      </c>
      <c r="M128" s="1316"/>
      <c r="N128" s="1398"/>
      <c r="O128" s="1353">
        <f t="shared" si="63"/>
        <v>1</v>
      </c>
      <c r="P128" s="1316"/>
      <c r="Q128" s="1398"/>
      <c r="R128" s="1353">
        <f t="shared" si="72"/>
        <v>0</v>
      </c>
      <c r="S128" s="1316"/>
      <c r="T128" s="1316"/>
      <c r="U128" s="1353">
        <f t="shared" si="73"/>
        <v>0</v>
      </c>
      <c r="V128" s="1316"/>
      <c r="W128" s="1316"/>
      <c r="X128" s="1353">
        <f>IF(W128&lt;V128,-(V128-W128)*500,0)</f>
        <v>0</v>
      </c>
      <c r="Y128" s="1316">
        <f t="shared" si="74"/>
        <v>0</v>
      </c>
      <c r="Z128" s="1316"/>
      <c r="AA128" s="1401">
        <f>IF(IF(Y128=0,1,Z128/Y128)&gt;1,1,IF(Y128=0,1,Z128/Y128))</f>
        <v>1</v>
      </c>
      <c r="AB128" s="560">
        <f t="shared" si="58"/>
        <v>0</v>
      </c>
      <c r="AC128" s="560">
        <f t="shared" si="59"/>
        <v>0</v>
      </c>
      <c r="AD128" s="560"/>
      <c r="AE128" s="560"/>
      <c r="AF128" s="560">
        <f t="shared" si="60"/>
        <v>0</v>
      </c>
      <c r="AG128" s="1331">
        <f t="shared" si="61"/>
        <v>0</v>
      </c>
    </row>
    <row r="129" ht="15" customHeight="1" spans="1:39">
      <c r="A129" s="1418" t="s">
        <v>255</v>
      </c>
      <c r="B129" s="1396" t="s">
        <v>238</v>
      </c>
      <c r="C129" s="1397" t="s">
        <v>261</v>
      </c>
      <c r="D129" s="1316"/>
      <c r="E129" s="1398"/>
      <c r="F129" s="1304">
        <f t="shared" si="50"/>
        <v>1</v>
      </c>
      <c r="G129" s="1316"/>
      <c r="H129" s="1398"/>
      <c r="I129" s="1353">
        <f>IF(G129=0,1,H129/G129)</f>
        <v>1</v>
      </c>
      <c r="J129" s="1321"/>
      <c r="K129" s="1398"/>
      <c r="L129" s="1353">
        <f t="shared" si="67"/>
        <v>1</v>
      </c>
      <c r="M129" s="1316"/>
      <c r="N129" s="1398"/>
      <c r="O129" s="1353">
        <f t="shared" si="63"/>
        <v>1</v>
      </c>
      <c r="P129" s="1316"/>
      <c r="Q129" s="1398"/>
      <c r="R129" s="1353">
        <f t="shared" si="72"/>
        <v>0</v>
      </c>
      <c r="S129" s="1316"/>
      <c r="T129" s="1316"/>
      <c r="U129" s="1353">
        <f>IF(T129&lt;S129,-(S129-T129)*300,0)</f>
        <v>0</v>
      </c>
      <c r="V129" s="1404"/>
      <c r="W129" s="1404"/>
      <c r="X129" s="1353">
        <f>IF(W129&lt;V129,-(V129-W129)*300,0)</f>
        <v>0</v>
      </c>
      <c r="Y129" s="1316">
        <f t="shared" si="74"/>
        <v>0</v>
      </c>
      <c r="Z129" s="1316"/>
      <c r="AA129" s="1401">
        <f>IF(IF(Y129=0,1,Z129/Y129)&gt;1,1,IF(Y129=0,1,Z129/Y129))</f>
        <v>1</v>
      </c>
      <c r="AB129" s="560">
        <f t="shared" si="58"/>
        <v>0</v>
      </c>
      <c r="AC129" s="560">
        <f t="shared" si="59"/>
        <v>0</v>
      </c>
      <c r="AD129" s="560"/>
      <c r="AE129" s="560"/>
      <c r="AF129" s="560">
        <f t="shared" si="60"/>
        <v>0</v>
      </c>
      <c r="AG129" s="1331">
        <f t="shared" si="61"/>
        <v>0</v>
      </c>
      <c r="AH129" s="560"/>
      <c r="AI129" s="560"/>
      <c r="AJ129" s="560"/>
      <c r="AK129" s="560"/>
      <c r="AL129" s="560"/>
      <c r="AM129" s="560"/>
    </row>
    <row r="130" spans="1:39">
      <c r="A130" s="1418" t="s">
        <v>255</v>
      </c>
      <c r="B130" s="1396" t="s">
        <v>246</v>
      </c>
      <c r="C130" s="1397" t="s">
        <v>262</v>
      </c>
      <c r="D130" s="1316"/>
      <c r="E130" s="1398"/>
      <c r="F130" s="1304">
        <f t="shared" si="50"/>
        <v>1</v>
      </c>
      <c r="G130" s="1316"/>
      <c r="H130" s="1398"/>
      <c r="I130" s="1353">
        <f>IF(G130=0,1,H130/G130)</f>
        <v>1</v>
      </c>
      <c r="J130" s="1321"/>
      <c r="K130" s="1398"/>
      <c r="L130" s="1353">
        <f t="shared" si="67"/>
        <v>1</v>
      </c>
      <c r="M130" s="1316"/>
      <c r="N130" s="1398"/>
      <c r="O130" s="1353">
        <f t="shared" si="63"/>
        <v>1</v>
      </c>
      <c r="P130" s="1316"/>
      <c r="Q130" s="1398"/>
      <c r="R130" s="1353">
        <f>IF(Q130&lt;P130,-(P130-Q130)*100,0)</f>
        <v>0</v>
      </c>
      <c r="S130" s="1316"/>
      <c r="T130" s="1316"/>
      <c r="U130" s="1353">
        <f>IF(T130&lt;S130,-(S130-T130)*200,0)</f>
        <v>0</v>
      </c>
      <c r="V130" s="1316"/>
      <c r="W130" s="1398"/>
      <c r="X130" s="1353"/>
      <c r="Y130" s="1316">
        <f t="shared" si="74"/>
        <v>0</v>
      </c>
      <c r="Z130" s="1316"/>
      <c r="AA130" s="1401">
        <f>IF(IF(Y130=0,1,Z130/Y130)&gt;1,1,IF(Y130=0,1,Z130/Y130))</f>
        <v>1</v>
      </c>
      <c r="AB130" s="560">
        <f t="shared" si="58"/>
        <v>0</v>
      </c>
      <c r="AC130" s="560">
        <f t="shared" si="59"/>
        <v>0</v>
      </c>
      <c r="AD130" s="560"/>
      <c r="AE130" s="560"/>
      <c r="AF130" s="560">
        <f t="shared" si="60"/>
        <v>0</v>
      </c>
      <c r="AG130" s="1331">
        <f t="shared" si="61"/>
        <v>0</v>
      </c>
      <c r="AH130" s="560"/>
      <c r="AI130" s="560"/>
      <c r="AJ130" s="560"/>
      <c r="AK130" s="560"/>
      <c r="AL130" s="560"/>
      <c r="AM130" s="560"/>
    </row>
    <row r="131" spans="1:39">
      <c r="A131" s="1418"/>
      <c r="B131" s="1413" t="s">
        <v>193</v>
      </c>
      <c r="C131" s="1414"/>
      <c r="D131" s="1413">
        <f>SUM(D123:D129)</f>
        <v>0</v>
      </c>
      <c r="E131" s="1413">
        <f>SUM(E123:E129)</f>
        <v>0</v>
      </c>
      <c r="F131" s="1415">
        <f t="shared" si="50"/>
        <v>1</v>
      </c>
      <c r="G131" s="1413">
        <f>SUM(G123:G130)</f>
        <v>0</v>
      </c>
      <c r="H131" s="1413">
        <f>SUM(H123:H130)</f>
        <v>0</v>
      </c>
      <c r="I131" s="1416"/>
      <c r="J131" s="1413">
        <f>SUM(J123:J130)</f>
        <v>0</v>
      </c>
      <c r="K131" s="1413">
        <f>SUM(K123:K130)</f>
        <v>0</v>
      </c>
      <c r="L131" s="1416">
        <f t="shared" si="67"/>
        <v>1</v>
      </c>
      <c r="M131" s="1413">
        <f>SUM(M123:M129)</f>
        <v>0</v>
      </c>
      <c r="N131" s="1413">
        <f>SUM(N123:N129)</f>
        <v>0</v>
      </c>
      <c r="O131" s="1416">
        <f t="shared" si="63"/>
        <v>1</v>
      </c>
      <c r="P131" s="1413">
        <f>SUM(P123:P129)</f>
        <v>0</v>
      </c>
      <c r="Q131" s="1413">
        <f>SUM(Q123:Q129)</f>
        <v>0</v>
      </c>
      <c r="R131" s="1416">
        <f>IF(P131=0,1,Q131/P131)</f>
        <v>1</v>
      </c>
      <c r="S131" s="1413">
        <f>SUM(S123:S129)</f>
        <v>0</v>
      </c>
      <c r="T131" s="1413">
        <f>SUM(T123:T129)</f>
        <v>0</v>
      </c>
      <c r="U131" s="1416">
        <f>IF(S131=0,1,T131/S131)</f>
        <v>1</v>
      </c>
      <c r="V131" s="1413">
        <f>SUM(V123:V129)</f>
        <v>0</v>
      </c>
      <c r="W131" s="1413">
        <f>SUM(W123:W130)</f>
        <v>0</v>
      </c>
      <c r="X131" s="1416">
        <f>IF(V131=0,1,W131/V131)</f>
        <v>1</v>
      </c>
      <c r="Y131" s="1415">
        <f>SUM(Y123:Y130)</f>
        <v>0</v>
      </c>
      <c r="Z131" s="1415">
        <f>SUM(Z123:Z130)</f>
        <v>0</v>
      </c>
      <c r="AA131" s="1417">
        <f>IF(Y131=0,1,Z131/Y131)</f>
        <v>1</v>
      </c>
      <c r="AB131" s="560">
        <f t="shared" si="58"/>
        <v>0</v>
      </c>
      <c r="AC131" s="560">
        <f t="shared" si="59"/>
        <v>0</v>
      </c>
      <c r="AD131" s="560"/>
      <c r="AE131" s="560"/>
      <c r="AF131" s="560">
        <f t="shared" si="60"/>
        <v>0</v>
      </c>
      <c r="AG131" s="1331">
        <f t="shared" si="61"/>
        <v>0</v>
      </c>
    </row>
    <row r="132" spans="1:39">
      <c r="A132" s="1418" t="s">
        <v>263</v>
      </c>
      <c r="B132" s="1396" t="s">
        <v>11</v>
      </c>
      <c r="C132" s="1397" t="s">
        <v>264</v>
      </c>
      <c r="D132" s="1316"/>
      <c r="E132" s="1398"/>
      <c r="F132" s="1304">
        <f t="shared" si="50"/>
        <v>1</v>
      </c>
      <c r="G132" s="1316"/>
      <c r="H132" s="1398"/>
      <c r="I132" s="1353">
        <f t="shared" ref="I132:I141" si="75">IF(G132=0,1,H132/G132)</f>
        <v>1</v>
      </c>
      <c r="J132" s="1316"/>
      <c r="K132" s="1398"/>
      <c r="L132" s="1353">
        <f t="shared" si="67"/>
        <v>1</v>
      </c>
      <c r="M132" s="1316"/>
      <c r="N132" s="1398"/>
      <c r="O132" s="1353">
        <f t="shared" si="63"/>
        <v>1</v>
      </c>
      <c r="P132" s="1316"/>
      <c r="Q132" s="1398"/>
      <c r="R132" s="1353">
        <f t="shared" ref="R132:R140" si="76">IF(Q132&lt;P132,-(P132-Q132)*200,0)</f>
        <v>0</v>
      </c>
      <c r="S132" s="1316"/>
      <c r="T132" s="1316"/>
      <c r="U132" s="1353">
        <f t="shared" ref="U132:U138" si="77">IF(T132&lt;S132,-(S132-T132)*200,0)</f>
        <v>0</v>
      </c>
      <c r="V132" s="1316"/>
      <c r="W132" s="1316"/>
      <c r="X132" s="1353">
        <f t="shared" ref="X132:X138" si="78">IF(W132&lt;V132,-(V132-W132)*200,0)</f>
        <v>0</v>
      </c>
      <c r="Y132" s="1316">
        <f t="shared" ref="Y132:Y141" si="79">G132+J132</f>
        <v>0</v>
      </c>
      <c r="Z132" s="1316"/>
      <c r="AA132" s="1401">
        <f t="shared" ref="AA132:AA141" si="80">IF(IF(Y132=0,1,Z132/Y132)&gt;1,1,IF(Y132=0,1,Z132/Y132))</f>
        <v>1</v>
      </c>
      <c r="AB132" s="560">
        <f t="shared" si="58"/>
        <v>0</v>
      </c>
      <c r="AC132" s="560">
        <f t="shared" si="59"/>
        <v>0</v>
      </c>
      <c r="AD132" s="560"/>
      <c r="AE132" s="560"/>
      <c r="AF132" s="560">
        <f t="shared" si="60"/>
        <v>0</v>
      </c>
      <c r="AG132" s="1331">
        <f t="shared" si="61"/>
        <v>0</v>
      </c>
      <c r="AH132" s="560"/>
      <c r="AI132" s="560"/>
      <c r="AJ132" s="560"/>
      <c r="AK132" s="560"/>
      <c r="AL132" s="560"/>
      <c r="AM132" s="560"/>
    </row>
    <row r="133" spans="1:39">
      <c r="A133" s="1418" t="s">
        <v>263</v>
      </c>
      <c r="B133" s="1396" t="s">
        <v>11</v>
      </c>
      <c r="C133" s="1397" t="s">
        <v>265</v>
      </c>
      <c r="D133" s="1316"/>
      <c r="E133" s="1398"/>
      <c r="F133" s="1304">
        <f t="shared" si="50"/>
        <v>1</v>
      </c>
      <c r="G133" s="1316"/>
      <c r="H133" s="1398"/>
      <c r="I133" s="1353">
        <f t="shared" si="75"/>
        <v>1</v>
      </c>
      <c r="J133" s="1316"/>
      <c r="K133" s="1398"/>
      <c r="L133" s="1353">
        <f t="shared" si="67"/>
        <v>1</v>
      </c>
      <c r="M133" s="1316"/>
      <c r="N133" s="1398"/>
      <c r="O133" s="1353">
        <f t="shared" si="63"/>
        <v>1</v>
      </c>
      <c r="P133" s="1316"/>
      <c r="Q133" s="1398"/>
      <c r="R133" s="1353">
        <f t="shared" si="76"/>
        <v>0</v>
      </c>
      <c r="S133" s="1316"/>
      <c r="T133" s="1316"/>
      <c r="U133" s="1353">
        <f t="shared" si="77"/>
        <v>0</v>
      </c>
      <c r="V133" s="1316"/>
      <c r="W133" s="1316"/>
      <c r="X133" s="1353">
        <f t="shared" si="78"/>
        <v>0</v>
      </c>
      <c r="Y133" s="1316">
        <f t="shared" si="79"/>
        <v>0</v>
      </c>
      <c r="Z133" s="1316"/>
      <c r="AA133" s="1401">
        <f t="shared" si="80"/>
        <v>1</v>
      </c>
      <c r="AB133" s="560">
        <f t="shared" si="58"/>
        <v>0</v>
      </c>
      <c r="AC133" s="560">
        <f t="shared" si="59"/>
        <v>0</v>
      </c>
      <c r="AD133" s="560"/>
      <c r="AE133" s="560"/>
      <c r="AF133" s="560">
        <f t="shared" si="60"/>
        <v>0</v>
      </c>
      <c r="AG133" s="1331">
        <f t="shared" si="61"/>
        <v>0</v>
      </c>
      <c r="AH133" s="560"/>
      <c r="AI133" s="560"/>
      <c r="AJ133" s="560"/>
      <c r="AK133" s="560"/>
      <c r="AL133" s="560"/>
      <c r="AM133" s="560"/>
    </row>
    <row r="134" spans="1:39">
      <c r="A134" s="1418" t="s">
        <v>263</v>
      </c>
      <c r="B134" s="1396" t="s">
        <v>11</v>
      </c>
      <c r="C134" s="1397" t="s">
        <v>266</v>
      </c>
      <c r="D134" s="1316"/>
      <c r="E134" s="1398"/>
      <c r="F134" s="1304">
        <f t="shared" si="50"/>
        <v>1</v>
      </c>
      <c r="G134" s="1316"/>
      <c r="H134" s="1398"/>
      <c r="I134" s="1353">
        <f t="shared" si="75"/>
        <v>1</v>
      </c>
      <c r="J134" s="1316"/>
      <c r="K134" s="1398"/>
      <c r="L134" s="1353">
        <f t="shared" si="67"/>
        <v>1</v>
      </c>
      <c r="M134" s="1316"/>
      <c r="N134" s="1398"/>
      <c r="O134" s="1353">
        <f t="shared" si="63"/>
        <v>1</v>
      </c>
      <c r="P134" s="1316"/>
      <c r="Q134" s="1398"/>
      <c r="R134" s="1353">
        <f t="shared" si="76"/>
        <v>0</v>
      </c>
      <c r="S134" s="1316"/>
      <c r="T134" s="1316"/>
      <c r="U134" s="1353">
        <f t="shared" si="77"/>
        <v>0</v>
      </c>
      <c r="V134" s="1316"/>
      <c r="W134" s="1316"/>
      <c r="X134" s="1353">
        <f t="shared" si="78"/>
        <v>0</v>
      </c>
      <c r="Y134" s="1316">
        <f t="shared" si="79"/>
        <v>0</v>
      </c>
      <c r="Z134" s="1316"/>
      <c r="AA134" s="1401">
        <f t="shared" si="80"/>
        <v>1</v>
      </c>
      <c r="AB134" s="560">
        <f t="shared" si="58"/>
        <v>0</v>
      </c>
      <c r="AC134" s="560">
        <f t="shared" si="59"/>
        <v>0</v>
      </c>
      <c r="AD134" s="560"/>
      <c r="AE134" s="560"/>
      <c r="AF134" s="560">
        <f t="shared" si="60"/>
        <v>0</v>
      </c>
      <c r="AG134" s="1331">
        <f t="shared" si="61"/>
        <v>0</v>
      </c>
      <c r="AH134" s="560"/>
      <c r="AI134" s="560"/>
      <c r="AJ134" s="560"/>
      <c r="AK134" s="560"/>
      <c r="AL134" s="560"/>
      <c r="AM134" s="560"/>
    </row>
    <row r="135" spans="1:39">
      <c r="A135" s="1418" t="s">
        <v>263</v>
      </c>
      <c r="B135" s="1396" t="s">
        <v>11</v>
      </c>
      <c r="C135" s="1397" t="s">
        <v>267</v>
      </c>
      <c r="D135" s="1316"/>
      <c r="E135" s="1398"/>
      <c r="F135" s="1304">
        <f t="shared" si="50"/>
        <v>1</v>
      </c>
      <c r="G135" s="1316"/>
      <c r="H135" s="1398"/>
      <c r="I135" s="1353">
        <f t="shared" si="75"/>
        <v>1</v>
      </c>
      <c r="J135" s="1316"/>
      <c r="K135" s="1398"/>
      <c r="L135" s="1353">
        <f t="shared" si="67"/>
        <v>1</v>
      </c>
      <c r="M135" s="1316"/>
      <c r="N135" s="1398"/>
      <c r="O135" s="1353">
        <f t="shared" si="63"/>
        <v>1</v>
      </c>
      <c r="P135" s="1316"/>
      <c r="Q135" s="1398"/>
      <c r="R135" s="1353">
        <f t="shared" si="76"/>
        <v>0</v>
      </c>
      <c r="S135" s="1316"/>
      <c r="T135" s="1316"/>
      <c r="U135" s="1353">
        <f t="shared" si="77"/>
        <v>0</v>
      </c>
      <c r="V135" s="1316"/>
      <c r="W135" s="1316"/>
      <c r="X135" s="1353">
        <f t="shared" si="78"/>
        <v>0</v>
      </c>
      <c r="Y135" s="1316">
        <f t="shared" si="79"/>
        <v>0</v>
      </c>
      <c r="Z135" s="1316"/>
      <c r="AA135" s="1401">
        <f t="shared" si="80"/>
        <v>1</v>
      </c>
      <c r="AB135" s="560">
        <f t="shared" si="58"/>
        <v>0</v>
      </c>
      <c r="AC135" s="560">
        <f t="shared" si="59"/>
        <v>0</v>
      </c>
      <c r="AD135" s="560"/>
      <c r="AE135" s="560"/>
      <c r="AF135" s="560">
        <f t="shared" si="60"/>
        <v>0</v>
      </c>
      <c r="AG135" s="1331">
        <f t="shared" si="61"/>
        <v>0</v>
      </c>
      <c r="AH135" s="560"/>
      <c r="AI135" s="560"/>
      <c r="AJ135" s="560"/>
      <c r="AK135" s="560"/>
      <c r="AL135" s="560"/>
      <c r="AM135" s="560"/>
    </row>
    <row r="136" ht="15" customHeight="1" spans="1:39">
      <c r="A136" s="1418" t="s">
        <v>263</v>
      </c>
      <c r="B136" s="1396" t="s">
        <v>11</v>
      </c>
      <c r="C136" s="1397" t="s">
        <v>268</v>
      </c>
      <c r="D136" s="1316"/>
      <c r="E136" s="1398"/>
      <c r="F136" s="1304">
        <f t="shared" si="50"/>
        <v>1</v>
      </c>
      <c r="G136" s="1316"/>
      <c r="H136" s="1398"/>
      <c r="I136" s="1353">
        <f t="shared" si="75"/>
        <v>1</v>
      </c>
      <c r="J136" s="1316"/>
      <c r="K136" s="1398"/>
      <c r="L136" s="1353">
        <f t="shared" si="67"/>
        <v>1</v>
      </c>
      <c r="M136" s="1316"/>
      <c r="N136" s="1398"/>
      <c r="O136" s="1353">
        <f t="shared" si="63"/>
        <v>1</v>
      </c>
      <c r="P136" s="1316"/>
      <c r="Q136" s="1398"/>
      <c r="R136" s="1353">
        <f t="shared" si="76"/>
        <v>0</v>
      </c>
      <c r="S136" s="1316"/>
      <c r="T136" s="1316"/>
      <c r="U136" s="1353">
        <f t="shared" si="77"/>
        <v>0</v>
      </c>
      <c r="V136" s="1316"/>
      <c r="W136" s="1316"/>
      <c r="X136" s="1353">
        <f t="shared" si="78"/>
        <v>0</v>
      </c>
      <c r="Y136" s="1316">
        <f t="shared" si="79"/>
        <v>0</v>
      </c>
      <c r="Z136" s="1316"/>
      <c r="AA136" s="1401">
        <f t="shared" si="80"/>
        <v>1</v>
      </c>
      <c r="AB136" s="560">
        <f t="shared" si="58"/>
        <v>0</v>
      </c>
      <c r="AC136" s="560">
        <f t="shared" si="59"/>
        <v>0</v>
      </c>
      <c r="AD136" s="560"/>
      <c r="AE136" s="560"/>
      <c r="AF136" s="560">
        <f t="shared" si="60"/>
        <v>0</v>
      </c>
      <c r="AG136" s="1331">
        <f t="shared" si="61"/>
        <v>0</v>
      </c>
      <c r="AH136" s="560"/>
      <c r="AI136" s="560"/>
      <c r="AJ136" s="560"/>
      <c r="AK136" s="560"/>
      <c r="AL136" s="560"/>
      <c r="AM136" s="560"/>
    </row>
    <row r="137" spans="1:39">
      <c r="A137" s="1418" t="s">
        <v>263</v>
      </c>
      <c r="B137" s="1396" t="s">
        <v>11</v>
      </c>
      <c r="C137" s="1397" t="s">
        <v>269</v>
      </c>
      <c r="D137" s="1316"/>
      <c r="E137" s="1398"/>
      <c r="F137" s="1304">
        <f t="shared" si="50"/>
        <v>1</v>
      </c>
      <c r="G137" s="1316"/>
      <c r="H137" s="1398"/>
      <c r="I137" s="1353">
        <f t="shared" si="75"/>
        <v>1</v>
      </c>
      <c r="J137" s="1316"/>
      <c r="K137" s="1398"/>
      <c r="L137" s="1353">
        <f t="shared" si="67"/>
        <v>1</v>
      </c>
      <c r="M137" s="1316"/>
      <c r="N137" s="1398"/>
      <c r="O137" s="1353">
        <f t="shared" si="63"/>
        <v>1</v>
      </c>
      <c r="P137" s="1316"/>
      <c r="Q137" s="1398"/>
      <c r="R137" s="1353">
        <f t="shared" si="76"/>
        <v>0</v>
      </c>
      <c r="S137" s="1316"/>
      <c r="T137" s="1316"/>
      <c r="U137" s="1353">
        <f t="shared" si="77"/>
        <v>0</v>
      </c>
      <c r="V137" s="1316"/>
      <c r="W137" s="1316"/>
      <c r="X137" s="1353">
        <f t="shared" si="78"/>
        <v>0</v>
      </c>
      <c r="Y137" s="1316">
        <f t="shared" si="79"/>
        <v>0</v>
      </c>
      <c r="Z137" s="1316"/>
      <c r="AA137" s="1401">
        <f t="shared" si="80"/>
        <v>1</v>
      </c>
      <c r="AB137" s="560">
        <f t="shared" si="58"/>
        <v>0</v>
      </c>
      <c r="AC137" s="560">
        <f t="shared" si="59"/>
        <v>0</v>
      </c>
      <c r="AD137" s="560"/>
      <c r="AE137" s="560"/>
      <c r="AF137" s="560">
        <f t="shared" si="60"/>
        <v>0</v>
      </c>
      <c r="AG137" s="1331">
        <f t="shared" si="61"/>
        <v>0</v>
      </c>
      <c r="AH137" s="560"/>
      <c r="AI137" s="560"/>
      <c r="AJ137" s="560"/>
      <c r="AK137" s="560"/>
      <c r="AL137" s="560"/>
      <c r="AM137" s="560"/>
    </row>
    <row r="138" spans="1:39">
      <c r="A138" s="1418" t="s">
        <v>263</v>
      </c>
      <c r="B138" s="1396" t="s">
        <v>11</v>
      </c>
      <c r="C138" s="1397" t="s">
        <v>236</v>
      </c>
      <c r="D138" s="1316"/>
      <c r="E138" s="1398"/>
      <c r="F138" s="1304">
        <f t="shared" si="50"/>
        <v>1</v>
      </c>
      <c r="G138" s="1316"/>
      <c r="H138" s="1398"/>
      <c r="I138" s="1353">
        <f t="shared" si="75"/>
        <v>1</v>
      </c>
      <c r="J138" s="1316"/>
      <c r="K138" s="1398"/>
      <c r="L138" s="1353">
        <f t="shared" si="67"/>
        <v>1</v>
      </c>
      <c r="M138" s="1316"/>
      <c r="N138" s="1398"/>
      <c r="O138" s="1353">
        <f t="shared" si="63"/>
        <v>1</v>
      </c>
      <c r="P138" s="1316"/>
      <c r="Q138" s="1398"/>
      <c r="R138" s="1353">
        <f t="shared" si="76"/>
        <v>0</v>
      </c>
      <c r="S138" s="1316">
        <f>Z138</f>
        <v>0</v>
      </c>
      <c r="T138" s="1316"/>
      <c r="U138" s="1353">
        <f t="shared" si="77"/>
        <v>0</v>
      </c>
      <c r="V138" s="1316"/>
      <c r="W138" s="1316"/>
      <c r="X138" s="1353">
        <f t="shared" si="78"/>
        <v>0</v>
      </c>
      <c r="Y138" s="1316">
        <f t="shared" si="79"/>
        <v>0</v>
      </c>
      <c r="Z138" s="1316"/>
      <c r="AA138" s="1401">
        <f t="shared" si="80"/>
        <v>1</v>
      </c>
      <c r="AB138" s="560">
        <f t="shared" si="58"/>
        <v>0</v>
      </c>
      <c r="AC138" s="560">
        <f t="shared" si="59"/>
        <v>0</v>
      </c>
      <c r="AD138" s="560"/>
      <c r="AE138" s="560"/>
      <c r="AF138" s="560">
        <f t="shared" si="60"/>
        <v>0</v>
      </c>
      <c r="AG138" s="1331">
        <f t="shared" si="61"/>
        <v>0</v>
      </c>
      <c r="AH138" s="560"/>
      <c r="AI138" s="560"/>
      <c r="AJ138" s="560"/>
      <c r="AK138" s="560"/>
      <c r="AL138" s="560"/>
      <c r="AM138" s="560"/>
    </row>
    <row r="139" ht="14.1" customHeight="1" spans="1:39">
      <c r="A139" s="1418" t="s">
        <v>263</v>
      </c>
      <c r="B139" s="1396" t="s">
        <v>238</v>
      </c>
      <c r="C139" s="1397" t="s">
        <v>270</v>
      </c>
      <c r="D139" s="1316"/>
      <c r="E139" s="1398"/>
      <c r="F139" s="1304">
        <f t="shared" si="50"/>
        <v>1</v>
      </c>
      <c r="G139" s="1316"/>
      <c r="H139" s="1398"/>
      <c r="I139" s="1353">
        <f t="shared" si="75"/>
        <v>1</v>
      </c>
      <c r="J139" s="1316"/>
      <c r="K139" s="1398"/>
      <c r="L139" s="1353">
        <f t="shared" si="67"/>
        <v>1</v>
      </c>
      <c r="M139" s="1316"/>
      <c r="N139" s="1398"/>
      <c r="O139" s="1353">
        <f t="shared" si="63"/>
        <v>1</v>
      </c>
      <c r="P139" s="1316"/>
      <c r="Q139" s="1398"/>
      <c r="R139" s="1353">
        <f t="shared" si="76"/>
        <v>0</v>
      </c>
      <c r="S139" s="1316"/>
      <c r="T139" s="1316"/>
      <c r="U139" s="1353">
        <f>IF(T139&lt;S139,-(S139-T139)*300,0)</f>
        <v>0</v>
      </c>
      <c r="V139" s="1404"/>
      <c r="W139" s="1404"/>
      <c r="X139" s="1353">
        <f>IF(W139&lt;V139,-(V139-W139)*300,0)</f>
        <v>0</v>
      </c>
      <c r="Y139" s="1316">
        <f t="shared" si="79"/>
        <v>0</v>
      </c>
      <c r="Z139" s="1316"/>
      <c r="AA139" s="1401">
        <f t="shared" si="80"/>
        <v>1</v>
      </c>
      <c r="AB139" s="560">
        <f t="shared" si="58"/>
        <v>0</v>
      </c>
      <c r="AC139" s="560">
        <f t="shared" si="59"/>
        <v>0</v>
      </c>
      <c r="AD139" s="560"/>
      <c r="AE139" s="560"/>
      <c r="AF139" s="560">
        <f t="shared" si="60"/>
        <v>0</v>
      </c>
      <c r="AG139" s="1331">
        <f t="shared" si="61"/>
        <v>0</v>
      </c>
      <c r="AH139" s="560"/>
      <c r="AI139" s="560"/>
      <c r="AJ139" s="560"/>
      <c r="AK139" s="560"/>
      <c r="AL139" s="560"/>
      <c r="AM139" s="560"/>
    </row>
    <row r="140" spans="1:39">
      <c r="A140" s="1418" t="s">
        <v>263</v>
      </c>
      <c r="B140" s="1396" t="s">
        <v>246</v>
      </c>
      <c r="C140" s="1397" t="s">
        <v>236</v>
      </c>
      <c r="D140" s="1316"/>
      <c r="E140" s="1398"/>
      <c r="F140" s="1304">
        <f t="shared" si="50"/>
        <v>1</v>
      </c>
      <c r="G140" s="1316"/>
      <c r="H140" s="1398"/>
      <c r="I140" s="1353">
        <f t="shared" si="75"/>
        <v>1</v>
      </c>
      <c r="J140" s="1316"/>
      <c r="K140" s="1398"/>
      <c r="L140" s="1353">
        <f t="shared" si="67"/>
        <v>1</v>
      </c>
      <c r="M140" s="1316"/>
      <c r="N140" s="1398"/>
      <c r="O140" s="1353">
        <f t="shared" si="63"/>
        <v>1</v>
      </c>
      <c r="P140" s="1316"/>
      <c r="Q140" s="1398"/>
      <c r="R140" s="1353">
        <f t="shared" si="76"/>
        <v>0</v>
      </c>
      <c r="S140" s="1316">
        <f>Z140</f>
        <v>0</v>
      </c>
      <c r="T140" s="1316"/>
      <c r="U140" s="1353">
        <f>IF(T140&lt;S140,-(S140-T140)*200,0)</f>
        <v>0</v>
      </c>
      <c r="V140" s="1316"/>
      <c r="W140" s="1316"/>
      <c r="X140" s="1353"/>
      <c r="Y140" s="1316">
        <f t="shared" si="79"/>
        <v>0</v>
      </c>
      <c r="Z140" s="1316"/>
      <c r="AA140" s="1401">
        <f t="shared" si="80"/>
        <v>1</v>
      </c>
      <c r="AB140" s="560">
        <f t="shared" si="58"/>
        <v>0</v>
      </c>
      <c r="AC140" s="560">
        <f t="shared" si="59"/>
        <v>0</v>
      </c>
      <c r="AD140" s="560"/>
      <c r="AE140" s="560"/>
      <c r="AF140" s="560">
        <f t="shared" si="60"/>
        <v>0</v>
      </c>
      <c r="AG140" s="1331">
        <f t="shared" si="61"/>
        <v>0</v>
      </c>
      <c r="AH140" s="560"/>
      <c r="AI140" s="560"/>
      <c r="AJ140" s="560"/>
      <c r="AK140" s="560"/>
      <c r="AL140" s="560"/>
      <c r="AM140" s="560"/>
    </row>
    <row r="141" spans="1:39">
      <c r="A141" s="1418" t="s">
        <v>263</v>
      </c>
      <c r="B141" s="1396" t="s">
        <v>246</v>
      </c>
      <c r="C141" s="1397" t="s">
        <v>271</v>
      </c>
      <c r="D141" s="1316"/>
      <c r="E141" s="1398"/>
      <c r="F141" s="1304">
        <f t="shared" si="50"/>
        <v>1</v>
      </c>
      <c r="G141" s="1316"/>
      <c r="H141" s="1398"/>
      <c r="I141" s="1353">
        <f t="shared" si="75"/>
        <v>1</v>
      </c>
      <c r="J141" s="1316"/>
      <c r="K141" s="1398"/>
      <c r="L141" s="1353">
        <f t="shared" si="67"/>
        <v>1</v>
      </c>
      <c r="M141" s="1316"/>
      <c r="N141" s="1398"/>
      <c r="O141" s="1353">
        <f t="shared" si="63"/>
        <v>1</v>
      </c>
      <c r="P141" s="1316"/>
      <c r="Q141" s="1398"/>
      <c r="R141" s="1353">
        <f>IF(Q141&lt;P141,-(P141-Q141)*100,0)</f>
        <v>0</v>
      </c>
      <c r="S141" s="1316"/>
      <c r="T141" s="1316"/>
      <c r="U141" s="1353">
        <f>IF(T141&lt;S141,-(S141-T141)*200,0)</f>
        <v>0</v>
      </c>
      <c r="V141" s="1316"/>
      <c r="W141" s="1316"/>
      <c r="X141" s="1353">
        <f>IF(W141&lt;V141,-(V141-W141)*200,0)</f>
        <v>0</v>
      </c>
      <c r="Y141" s="1316">
        <f t="shared" si="79"/>
        <v>0</v>
      </c>
      <c r="Z141" s="1316"/>
      <c r="AA141" s="1401">
        <f t="shared" si="80"/>
        <v>1</v>
      </c>
      <c r="AB141" s="560">
        <f t="shared" si="58"/>
        <v>0</v>
      </c>
      <c r="AC141" s="560">
        <f t="shared" si="59"/>
        <v>0</v>
      </c>
      <c r="AD141" s="560"/>
      <c r="AE141" s="560"/>
      <c r="AF141" s="560">
        <f t="shared" si="60"/>
        <v>0</v>
      </c>
      <c r="AG141" s="1331">
        <f t="shared" si="61"/>
        <v>0</v>
      </c>
      <c r="AH141" s="560"/>
      <c r="AI141" s="560"/>
      <c r="AJ141" s="560"/>
      <c r="AK141" s="560"/>
      <c r="AL141" s="560"/>
      <c r="AM141" s="560"/>
    </row>
    <row r="142" spans="1:39">
      <c r="A142" s="1418"/>
      <c r="B142" s="1413" t="s">
        <v>193</v>
      </c>
      <c r="C142" s="1414"/>
      <c r="D142" s="1413">
        <f>SUM(D132:D140)</f>
        <v>0</v>
      </c>
      <c r="E142" s="1413">
        <f>SUM(E132:E140)</f>
        <v>0</v>
      </c>
      <c r="F142" s="1415">
        <f t="shared" si="50"/>
        <v>1</v>
      </c>
      <c r="G142" s="1413">
        <f>SUM(G132:G141)</f>
        <v>0</v>
      </c>
      <c r="H142" s="1413">
        <f>SUM(H132:H141)</f>
        <v>0</v>
      </c>
      <c r="I142" s="1416"/>
      <c r="J142" s="1413">
        <f>SUM(J132:J141)</f>
        <v>0</v>
      </c>
      <c r="K142" s="1413">
        <f>SUM(K132:K141)</f>
        <v>0</v>
      </c>
      <c r="L142" s="1416">
        <f>SUM(L132:L141)</f>
        <v>10</v>
      </c>
      <c r="M142" s="1413">
        <f>SUM(M132:M141)</f>
        <v>0</v>
      </c>
      <c r="N142" s="1413">
        <f>SUM(N132:N140)</f>
        <v>0</v>
      </c>
      <c r="O142" s="1416">
        <f t="shared" si="63"/>
        <v>1</v>
      </c>
      <c r="P142" s="1413">
        <f>SUM(P132:P140)</f>
        <v>0</v>
      </c>
      <c r="Q142" s="1413">
        <f>SUM(Q132:Q140)</f>
        <v>0</v>
      </c>
      <c r="R142" s="1416">
        <f>IF(P142=0,1,Q142/P142)</f>
        <v>1</v>
      </c>
      <c r="S142" s="1413">
        <f>SUM(S132:S141)</f>
        <v>0</v>
      </c>
      <c r="T142" s="1413">
        <f>SUM(T132:T141)</f>
        <v>0</v>
      </c>
      <c r="U142" s="1416">
        <f>IF(S142=0,1,T142/S142)</f>
        <v>1</v>
      </c>
      <c r="V142" s="1413">
        <f>SUM(V132:V141)</f>
        <v>0</v>
      </c>
      <c r="W142" s="1413">
        <f>SUM(W132:W141)</f>
        <v>0</v>
      </c>
      <c r="X142" s="1416"/>
      <c r="Y142" s="1415">
        <f>SUM(Y132:Y141)</f>
        <v>0</v>
      </c>
      <c r="Z142" s="1415">
        <f>SUM(Z132:Z141)</f>
        <v>0</v>
      </c>
      <c r="AA142" s="1417">
        <f>IF(Y142=0,1,Z142/Y142)</f>
        <v>1</v>
      </c>
      <c r="AB142" s="560">
        <f t="shared" si="58"/>
        <v>0</v>
      </c>
      <c r="AC142" s="560">
        <f t="shared" si="59"/>
        <v>0</v>
      </c>
      <c r="AD142" s="560"/>
      <c r="AE142" s="560"/>
      <c r="AF142" s="560">
        <f t="shared" si="60"/>
        <v>0</v>
      </c>
      <c r="AG142" s="1331">
        <f t="shared" si="61"/>
        <v>0</v>
      </c>
    </row>
    <row r="143" ht="13.95" customHeight="1" spans="1:39">
      <c r="A143" s="1419" t="s">
        <v>162</v>
      </c>
      <c r="B143" s="1420"/>
      <c r="C143" s="1421"/>
      <c r="D143" s="1422"/>
      <c r="E143" s="1422"/>
      <c r="F143" s="1423"/>
      <c r="G143" s="1422">
        <f>SUM(G142,G131,G122,G113,G104)</f>
        <v>0</v>
      </c>
      <c r="H143" s="1422">
        <f>SUM(H142,H131,H122,H113,H104)</f>
        <v>0</v>
      </c>
      <c r="I143" s="1422">
        <f>IF(G143=0,1,H143/G143)</f>
        <v>1</v>
      </c>
      <c r="J143" s="1422">
        <f>SUM(J142,J131,J122,J113,J104)</f>
        <v>0</v>
      </c>
      <c r="K143" s="1422">
        <f>SUM(K142,K131,K122,K113,K104)</f>
        <v>0</v>
      </c>
      <c r="L143" s="1422">
        <f>IF(J143=0,1,K143/J143)</f>
        <v>1</v>
      </c>
      <c r="M143" s="1422">
        <f>SUM(M142,M131,M122,M113,M104)</f>
        <v>0</v>
      </c>
      <c r="N143" s="1422">
        <f>SUM(N142,N131,N122,N113,N104)</f>
        <v>0</v>
      </c>
      <c r="O143" s="1422">
        <f t="shared" si="63"/>
        <v>1</v>
      </c>
      <c r="P143" s="1422">
        <f>SUM(P142,P131,P122,P113,P104)</f>
        <v>0</v>
      </c>
      <c r="Q143" s="1422">
        <f>SUM(Q142,Q131,Q122,Q113,Q104)</f>
        <v>0</v>
      </c>
      <c r="R143" s="1422">
        <f>IF(P143=0,1,Q143/P143)</f>
        <v>1</v>
      </c>
      <c r="S143" s="1422">
        <f>SUM(S142,S131,S122,S113,S104)</f>
        <v>0</v>
      </c>
      <c r="T143" s="1422">
        <f>SUM(T142,T131,T122,T113,T104)</f>
        <v>0</v>
      </c>
      <c r="U143" s="1422">
        <f>IF(S143=0,1,T143/S143)</f>
        <v>1</v>
      </c>
      <c r="V143" s="1422">
        <f t="shared" ref="V143:AA143" si="81">SUM(V142,V131,V122,V113,V104)</f>
        <v>0</v>
      </c>
      <c r="W143" s="1422">
        <f t="shared" si="81"/>
        <v>0</v>
      </c>
      <c r="X143" s="1422">
        <f t="shared" si="81"/>
        <v>3</v>
      </c>
      <c r="Y143" s="1423">
        <f t="shared" si="81"/>
        <v>0</v>
      </c>
      <c r="Z143" s="1423">
        <f t="shared" si="81"/>
        <v>0</v>
      </c>
      <c r="AA143" s="1424">
        <f t="shared" si="81"/>
        <v>5</v>
      </c>
      <c r="AB143" s="560">
        <f t="shared" si="58"/>
        <v>0</v>
      </c>
      <c r="AC143" s="560">
        <f t="shared" si="59"/>
        <v>0</v>
      </c>
      <c r="AD143" s="560">
        <f>SUM(AD95:AD142)</f>
        <v>0</v>
      </c>
      <c r="AE143" s="560">
        <f>SUM(AE95:AE142)</f>
        <v>0</v>
      </c>
      <c r="AF143" s="560">
        <f t="shared" si="60"/>
        <v>0</v>
      </c>
      <c r="AG143" s="1331">
        <f t="shared" si="61"/>
        <v>0</v>
      </c>
      <c r="AH143" s="560"/>
      <c r="AI143" s="560"/>
      <c r="AJ143" s="560"/>
      <c r="AK143" s="560"/>
      <c r="AL143" s="560"/>
      <c r="AM143" s="560"/>
    </row>
    <row r="144" spans="1:39">
      <c r="A144" s="560"/>
      <c r="B144" s="560"/>
      <c r="C144" s="1425"/>
      <c r="D144" s="560"/>
      <c r="E144" s="560"/>
      <c r="F144" s="562"/>
      <c r="G144" s="560"/>
      <c r="H144" s="560"/>
      <c r="I144" s="560"/>
      <c r="J144" s="560"/>
      <c r="K144" s="560"/>
      <c r="L144" s="560"/>
      <c r="M144" s="560"/>
      <c r="N144" s="560"/>
      <c r="O144" s="560"/>
      <c r="P144" s="560"/>
      <c r="Q144" s="560"/>
      <c r="R144" s="560"/>
      <c r="S144" s="560"/>
      <c r="T144" s="560"/>
      <c r="U144" s="560"/>
      <c r="V144" s="560"/>
      <c r="W144" s="560"/>
      <c r="X144" s="560"/>
      <c r="Y144" s="562"/>
      <c r="Z144" s="562"/>
      <c r="AA144" s="1331"/>
      <c r="AB144" s="560"/>
      <c r="AC144" s="560">
        <f t="shared" si="59"/>
        <v>0</v>
      </c>
      <c r="AD144" s="560"/>
      <c r="AE144" s="560"/>
      <c r="AF144" s="560"/>
      <c r="AG144" s="1331"/>
    </row>
    <row r="145" ht="13.95" customHeight="1" spans="1:39">
      <c r="A145" s="560"/>
      <c r="B145" s="560"/>
      <c r="C145" s="1425"/>
      <c r="D145" s="562"/>
      <c r="E145" s="562"/>
      <c r="F145" s="562"/>
      <c r="G145" s="560"/>
      <c r="H145" s="560"/>
      <c r="I145" s="560"/>
      <c r="J145" s="562"/>
      <c r="K145" s="562"/>
      <c r="L145" s="560"/>
      <c r="M145" s="560"/>
      <c r="N145" s="560"/>
      <c r="O145" s="560"/>
      <c r="P145" s="562"/>
      <c r="Q145" s="562"/>
      <c r="R145" s="560"/>
      <c r="S145" s="560"/>
      <c r="T145" s="560"/>
      <c r="U145" s="560"/>
      <c r="V145" s="562"/>
      <c r="W145" s="562"/>
      <c r="X145" s="560"/>
      <c r="Y145" s="562"/>
      <c r="Z145" s="562"/>
      <c r="AA145" s="1331"/>
      <c r="AB145" s="560"/>
      <c r="AC145" s="560">
        <f t="shared" si="59"/>
        <v>0</v>
      </c>
      <c r="AD145" s="560"/>
      <c r="AE145" s="560"/>
      <c r="AF145" s="560"/>
      <c r="AG145" s="1331"/>
    </row>
    <row r="146" ht="15" customHeight="1" spans="1:39">
      <c r="A146" s="1380"/>
      <c r="B146" s="1381"/>
      <c r="C146" s="1382"/>
      <c r="D146" s="1383" t="s">
        <v>149</v>
      </c>
      <c r="E146" s="451"/>
      <c r="F146" s="477"/>
      <c r="G146" s="1383" t="s">
        <v>217</v>
      </c>
      <c r="H146" s="451"/>
      <c r="I146" s="477"/>
      <c r="J146" s="1383" t="s">
        <v>150</v>
      </c>
      <c r="K146" s="451"/>
      <c r="L146" s="477"/>
      <c r="M146" s="1384" t="s">
        <v>147</v>
      </c>
      <c r="N146" s="451"/>
      <c r="O146" s="477"/>
      <c r="P146" s="1383" t="s">
        <v>272</v>
      </c>
      <c r="Q146" s="451"/>
      <c r="R146" s="477"/>
      <c r="S146" s="1383" t="s">
        <v>273</v>
      </c>
      <c r="T146" s="451"/>
      <c r="U146" s="477"/>
      <c r="V146" s="1383" t="s">
        <v>220</v>
      </c>
      <c r="W146" s="451"/>
      <c r="X146" s="477"/>
      <c r="Y146" s="1383" t="s">
        <v>148</v>
      </c>
      <c r="Z146" s="451"/>
      <c r="AA146" s="477"/>
      <c r="AB146" s="560"/>
      <c r="AC146" s="560"/>
      <c r="AD146" s="560"/>
      <c r="AE146" s="560"/>
      <c r="AF146" s="560"/>
      <c r="AG146" s="1331"/>
      <c r="AH146" s="560"/>
      <c r="AI146" s="560"/>
      <c r="AJ146" s="560"/>
      <c r="AK146" s="560"/>
      <c r="AL146" s="560"/>
      <c r="AM146" s="560"/>
    </row>
    <row r="147" spans="1:39">
      <c r="A147" s="1385" t="s">
        <v>141</v>
      </c>
      <c r="B147" s="1386" t="s">
        <v>221</v>
      </c>
      <c r="C147" s="1387" t="s">
        <v>143</v>
      </c>
      <c r="D147" s="1293" t="s">
        <v>155</v>
      </c>
      <c r="E147" s="1293" t="s">
        <v>156</v>
      </c>
      <c r="F147" s="1293" t="s">
        <v>157</v>
      </c>
      <c r="G147" s="1293" t="s">
        <v>155</v>
      </c>
      <c r="H147" s="1293" t="s">
        <v>156</v>
      </c>
      <c r="I147" s="1293" t="s">
        <v>157</v>
      </c>
      <c r="J147" s="1293" t="s">
        <v>155</v>
      </c>
      <c r="K147" s="1293" t="s">
        <v>156</v>
      </c>
      <c r="L147" s="1293" t="s">
        <v>157</v>
      </c>
      <c r="M147" s="1293" t="s">
        <v>155</v>
      </c>
      <c r="N147" s="1293" t="s">
        <v>156</v>
      </c>
      <c r="O147" s="1293" t="s">
        <v>157</v>
      </c>
      <c r="P147" s="1293" t="s">
        <v>155</v>
      </c>
      <c r="Q147" s="1293" t="s">
        <v>156</v>
      </c>
      <c r="R147" s="1293" t="s">
        <v>157</v>
      </c>
      <c r="S147" s="1293" t="s">
        <v>155</v>
      </c>
      <c r="T147" s="1293" t="s">
        <v>156</v>
      </c>
      <c r="U147" s="1293" t="s">
        <v>157</v>
      </c>
      <c r="V147" s="1293" t="s">
        <v>155</v>
      </c>
      <c r="W147" s="1293" t="s">
        <v>156</v>
      </c>
      <c r="X147" s="1293" t="s">
        <v>157</v>
      </c>
      <c r="Y147" s="1293" t="s">
        <v>155</v>
      </c>
      <c r="Z147" s="1293" t="s">
        <v>156</v>
      </c>
      <c r="AA147" s="1388" t="s">
        <v>157</v>
      </c>
      <c r="AB147" s="560"/>
      <c r="AC147" s="560"/>
      <c r="AD147" s="560"/>
      <c r="AE147" s="560"/>
      <c r="AF147" s="560"/>
      <c r="AG147" s="1331"/>
      <c r="AH147" s="560"/>
      <c r="AI147" s="560"/>
      <c r="AJ147" s="560"/>
      <c r="AK147" s="560"/>
      <c r="AL147" s="560"/>
      <c r="AM147" s="560"/>
    </row>
    <row r="148" spans="1:39">
      <c r="A148" s="1385" t="s">
        <v>274</v>
      </c>
      <c r="B148" s="1386"/>
      <c r="C148" s="1389"/>
      <c r="D148" s="1390">
        <f t="shared" ref="D148:X148" si="82">+D157</f>
        <v>0</v>
      </c>
      <c r="E148" s="1390">
        <f t="shared" si="82"/>
        <v>0</v>
      </c>
      <c r="F148" s="1390">
        <f t="shared" si="82"/>
        <v>1</v>
      </c>
      <c r="G148" s="1390">
        <f t="shared" si="82"/>
        <v>0</v>
      </c>
      <c r="H148" s="1390">
        <f t="shared" si="82"/>
        <v>0</v>
      </c>
      <c r="I148" s="1390">
        <f t="shared" si="82"/>
        <v>1</v>
      </c>
      <c r="J148" s="1390">
        <f t="shared" si="82"/>
        <v>0</v>
      </c>
      <c r="K148" s="1390">
        <f t="shared" si="82"/>
        <v>0</v>
      </c>
      <c r="L148" s="1390">
        <f t="shared" si="82"/>
        <v>1</v>
      </c>
      <c r="M148" s="1390">
        <f t="shared" si="82"/>
        <v>0</v>
      </c>
      <c r="N148" s="1390">
        <f t="shared" si="82"/>
        <v>0</v>
      </c>
      <c r="O148" s="1390">
        <f t="shared" si="82"/>
        <v>0</v>
      </c>
      <c r="P148" s="1390">
        <f t="shared" si="82"/>
        <v>0</v>
      </c>
      <c r="Q148" s="1390">
        <f t="shared" si="82"/>
        <v>0</v>
      </c>
      <c r="R148" s="1390">
        <f t="shared" si="82"/>
        <v>1</v>
      </c>
      <c r="S148" s="1390">
        <f t="shared" si="82"/>
        <v>0</v>
      </c>
      <c r="T148" s="1390">
        <f t="shared" si="82"/>
        <v>0</v>
      </c>
      <c r="U148" s="1390">
        <f t="shared" si="82"/>
        <v>1</v>
      </c>
      <c r="V148" s="1390">
        <f t="shared" si="82"/>
        <v>0</v>
      </c>
      <c r="W148" s="1390">
        <f t="shared" si="82"/>
        <v>0</v>
      </c>
      <c r="X148" s="1390">
        <f t="shared" si="82"/>
        <v>1</v>
      </c>
      <c r="Y148" s="1390"/>
      <c r="Z148" s="1390">
        <f>+Z157</f>
        <v>0</v>
      </c>
      <c r="AA148" s="1390">
        <f>+AA157</f>
        <v>1</v>
      </c>
      <c r="AB148" s="560"/>
      <c r="AC148" s="560">
        <f>Y148+AB148</f>
        <v>0</v>
      </c>
      <c r="AD148" s="560"/>
      <c r="AE148" s="560"/>
      <c r="AF148" s="560"/>
      <c r="AG148" s="1331"/>
      <c r="AH148" s="560"/>
      <c r="AI148" s="560"/>
      <c r="AJ148" s="560"/>
      <c r="AK148" s="560"/>
      <c r="AL148" s="560"/>
      <c r="AM148" s="560"/>
    </row>
    <row r="149" spans="1:39">
      <c r="A149" s="1426" t="s">
        <v>275</v>
      </c>
      <c r="B149" s="1396" t="s">
        <v>276</v>
      </c>
      <c r="C149" s="1397" t="s">
        <v>277</v>
      </c>
      <c r="D149" s="1316"/>
      <c r="E149" s="1398"/>
      <c r="F149" s="1304">
        <f t="shared" ref="F149:F154" si="83">IF(D149=0,1,E149/D149)</f>
        <v>1</v>
      </c>
      <c r="G149" s="1316"/>
      <c r="H149" s="1398"/>
      <c r="I149" s="1358">
        <f t="shared" ref="I149:I154" si="84">IF(G149=0,1,H149/G149)</f>
        <v>1</v>
      </c>
      <c r="J149" s="1316"/>
      <c r="K149" s="1398"/>
      <c r="L149" s="1358">
        <f t="shared" ref="L149:L154" si="85">IF(J149=0,1,K149/J149)</f>
        <v>1</v>
      </c>
      <c r="M149" s="1316"/>
      <c r="N149" s="1398"/>
      <c r="O149" s="1358">
        <f t="shared" ref="O149:O154" si="86">IF(M149=0,1,N149/M149)</f>
        <v>1</v>
      </c>
      <c r="P149" s="1316"/>
      <c r="Q149" s="1398"/>
      <c r="R149" s="1400"/>
      <c r="S149" s="1321"/>
      <c r="T149" s="1316"/>
      <c r="U149" s="1358">
        <f t="shared" ref="U149:U155" si="87">IF(T149&lt;S149,-(S149-T149)*200,0)</f>
        <v>0</v>
      </c>
      <c r="V149" s="1316"/>
      <c r="W149" s="1316"/>
      <c r="X149" s="1353">
        <f t="shared" ref="X149:X155" si="88">IF(W149&lt;V149,-(V149-W149)*200,0)</f>
        <v>0</v>
      </c>
      <c r="Y149" s="1321">
        <f t="shared" ref="Y149:Y156" si="89">Z149</f>
        <v>0</v>
      </c>
      <c r="Z149" s="1316"/>
      <c r="AA149" s="1401">
        <f t="shared" ref="AA149:AA156" si="90">IF(IF(Y149=0,1,Z149/Y149)&gt;1,1,IF(Y149=0,1,Z149/Y149))</f>
        <v>1</v>
      </c>
      <c r="AB149" s="560"/>
      <c r="AC149" s="560"/>
      <c r="AD149" s="560"/>
      <c r="AE149" s="560"/>
      <c r="AF149" s="560"/>
      <c r="AG149" s="1331"/>
      <c r="AH149" s="560"/>
      <c r="AI149" s="560"/>
      <c r="AJ149" s="560"/>
      <c r="AK149" s="560"/>
      <c r="AL149" s="560"/>
      <c r="AM149" s="560"/>
    </row>
    <row r="150" spans="1:39">
      <c r="A150" s="1427"/>
      <c r="B150" s="1396" t="s">
        <v>11</v>
      </c>
      <c r="C150" s="1397" t="s">
        <v>278</v>
      </c>
      <c r="D150" s="1316"/>
      <c r="E150" s="1398"/>
      <c r="F150" s="1304">
        <f t="shared" si="83"/>
        <v>1</v>
      </c>
      <c r="G150" s="1316"/>
      <c r="H150" s="1398"/>
      <c r="I150" s="1353">
        <f t="shared" si="84"/>
        <v>1</v>
      </c>
      <c r="J150" s="1316"/>
      <c r="K150" s="1398"/>
      <c r="L150" s="1353">
        <f t="shared" si="85"/>
        <v>1</v>
      </c>
      <c r="M150" s="1316"/>
      <c r="N150" s="1398"/>
      <c r="O150" s="1353">
        <f t="shared" si="86"/>
        <v>1</v>
      </c>
      <c r="P150" s="1316"/>
      <c r="Q150" s="1398"/>
      <c r="R150" s="1353">
        <f>IF(Q150&lt;P150,-(P150-Q150)*200,0)</f>
        <v>0</v>
      </c>
      <c r="S150" s="1321"/>
      <c r="T150" s="1316"/>
      <c r="U150" s="1353">
        <f t="shared" si="87"/>
        <v>0</v>
      </c>
      <c r="V150" s="1316"/>
      <c r="W150" s="1316"/>
      <c r="X150" s="1353">
        <f t="shared" si="88"/>
        <v>0</v>
      </c>
      <c r="Y150" s="1321">
        <f t="shared" si="89"/>
        <v>0</v>
      </c>
      <c r="Z150" s="1316"/>
      <c r="AA150" s="1401">
        <f t="shared" si="90"/>
        <v>1</v>
      </c>
      <c r="AB150" s="560"/>
      <c r="AC150" s="560"/>
      <c r="AD150" s="560"/>
      <c r="AE150" s="560"/>
      <c r="AF150" s="560"/>
      <c r="AG150" s="1331"/>
      <c r="AH150" s="560"/>
      <c r="AI150" s="560"/>
      <c r="AJ150" s="560"/>
      <c r="AK150" s="560"/>
      <c r="AL150" s="560"/>
      <c r="AM150" s="560"/>
    </row>
    <row r="151" spans="1:39">
      <c r="A151" s="1427"/>
      <c r="B151" s="1396" t="s">
        <v>11</v>
      </c>
      <c r="C151" s="1397" t="s">
        <v>279</v>
      </c>
      <c r="D151" s="1316"/>
      <c r="E151" s="1398"/>
      <c r="F151" s="1304">
        <f t="shared" si="83"/>
        <v>1</v>
      </c>
      <c r="G151" s="1316"/>
      <c r="H151" s="1398"/>
      <c r="I151" s="1353">
        <f t="shared" si="84"/>
        <v>1</v>
      </c>
      <c r="J151" s="1316"/>
      <c r="K151" s="1398"/>
      <c r="L151" s="1353">
        <f t="shared" si="85"/>
        <v>1</v>
      </c>
      <c r="M151" s="1316"/>
      <c r="N151" s="1398"/>
      <c r="O151" s="1353">
        <f t="shared" si="86"/>
        <v>1</v>
      </c>
      <c r="P151" s="1316"/>
      <c r="Q151" s="1398"/>
      <c r="R151" s="1353">
        <f>IF(Q151&lt;P151,-(P151-Q151)*200,0)</f>
        <v>0</v>
      </c>
      <c r="S151" s="1321"/>
      <c r="T151" s="1316"/>
      <c r="U151" s="1353">
        <f t="shared" si="87"/>
        <v>0</v>
      </c>
      <c r="V151" s="1316"/>
      <c r="W151" s="1316"/>
      <c r="X151" s="1353">
        <f t="shared" si="88"/>
        <v>0</v>
      </c>
      <c r="Y151" s="1321">
        <f t="shared" si="89"/>
        <v>0</v>
      </c>
      <c r="Z151" s="1316"/>
      <c r="AA151" s="1401">
        <f t="shared" si="90"/>
        <v>1</v>
      </c>
      <c r="AB151" s="560"/>
      <c r="AC151" s="560"/>
      <c r="AD151" s="560"/>
      <c r="AE151" s="560"/>
      <c r="AF151" s="560"/>
      <c r="AG151" s="1331"/>
      <c r="AH151" s="560"/>
      <c r="AI151" s="560"/>
      <c r="AJ151" s="560"/>
      <c r="AK151" s="560"/>
      <c r="AL151" s="560"/>
      <c r="AM151" s="560"/>
    </row>
    <row r="152" spans="1:39">
      <c r="A152" s="1427"/>
      <c r="B152" s="1396" t="s">
        <v>11</v>
      </c>
      <c r="C152" s="1397" t="s">
        <v>280</v>
      </c>
      <c r="D152" s="1316"/>
      <c r="E152" s="1398"/>
      <c r="F152" s="1304">
        <f t="shared" si="83"/>
        <v>1</v>
      </c>
      <c r="G152" s="1316"/>
      <c r="H152" s="1398"/>
      <c r="I152" s="1353">
        <f t="shared" si="84"/>
        <v>1</v>
      </c>
      <c r="J152" s="1316"/>
      <c r="K152" s="1398"/>
      <c r="L152" s="1353">
        <f t="shared" si="85"/>
        <v>1</v>
      </c>
      <c r="M152" s="1316"/>
      <c r="N152" s="1398"/>
      <c r="O152" s="1353">
        <f t="shared" si="86"/>
        <v>1</v>
      </c>
      <c r="P152" s="1316"/>
      <c r="Q152" s="1398"/>
      <c r="R152" s="1353">
        <f>IF(Q152&lt;P152,-(P152-Q152)*200,0)</f>
        <v>0</v>
      </c>
      <c r="S152" s="1321"/>
      <c r="T152" s="1316"/>
      <c r="U152" s="1353">
        <f t="shared" si="87"/>
        <v>0</v>
      </c>
      <c r="V152" s="1316"/>
      <c r="W152" s="1316"/>
      <c r="X152" s="1353">
        <f t="shared" si="88"/>
        <v>0</v>
      </c>
      <c r="Y152" s="1321">
        <f t="shared" si="89"/>
        <v>0</v>
      </c>
      <c r="Z152" s="1316"/>
      <c r="AA152" s="1401">
        <f t="shared" si="90"/>
        <v>1</v>
      </c>
      <c r="AB152" s="560"/>
      <c r="AC152" s="560"/>
      <c r="AD152" s="560"/>
      <c r="AE152" s="560"/>
      <c r="AF152" s="560"/>
      <c r="AG152" s="1331"/>
      <c r="AH152" s="560"/>
      <c r="AI152" s="560"/>
      <c r="AJ152" s="560"/>
      <c r="AK152" s="560"/>
      <c r="AL152" s="560"/>
      <c r="AM152" s="560"/>
    </row>
    <row r="153" spans="1:39">
      <c r="A153" s="1427"/>
      <c r="B153" s="1396" t="s">
        <v>11</v>
      </c>
      <c r="C153" s="1397" t="s">
        <v>281</v>
      </c>
      <c r="D153" s="1316"/>
      <c r="E153" s="1398"/>
      <c r="F153" s="1304">
        <f t="shared" si="83"/>
        <v>1</v>
      </c>
      <c r="G153" s="1316"/>
      <c r="H153" s="1398"/>
      <c r="I153" s="1353">
        <f t="shared" si="84"/>
        <v>1</v>
      </c>
      <c r="J153" s="1316"/>
      <c r="K153" s="1428"/>
      <c r="L153" s="1353">
        <f t="shared" si="85"/>
        <v>1</v>
      </c>
      <c r="M153" s="1316"/>
      <c r="N153" s="1398"/>
      <c r="O153" s="1353">
        <f t="shared" si="86"/>
        <v>1</v>
      </c>
      <c r="P153" s="1316"/>
      <c r="Q153" s="1398"/>
      <c r="R153" s="1353">
        <f>IF(Q153&lt;P153,-(P153-Q153)*200,0)</f>
        <v>0</v>
      </c>
      <c r="S153" s="1321"/>
      <c r="T153" s="1316"/>
      <c r="U153" s="1353">
        <f t="shared" si="87"/>
        <v>0</v>
      </c>
      <c r="V153" s="1316"/>
      <c r="W153" s="1316"/>
      <c r="X153" s="1353">
        <f t="shared" si="88"/>
        <v>0</v>
      </c>
      <c r="Y153" s="1321">
        <f t="shared" si="89"/>
        <v>0</v>
      </c>
      <c r="Z153" s="1316"/>
      <c r="AA153" s="1401">
        <f t="shared" si="90"/>
        <v>1</v>
      </c>
      <c r="AB153" s="560"/>
      <c r="AC153" s="560"/>
      <c r="AD153" s="560"/>
      <c r="AE153" s="560"/>
      <c r="AF153" s="560"/>
      <c r="AG153" s="1331"/>
      <c r="AH153" s="560"/>
      <c r="AI153" s="560"/>
      <c r="AJ153" s="560"/>
      <c r="AK153" s="560"/>
      <c r="AL153" s="560"/>
      <c r="AM153" s="560"/>
    </row>
    <row r="154" spans="1:39">
      <c r="A154" s="1427"/>
      <c r="B154" s="1396"/>
      <c r="C154" s="1397"/>
      <c r="D154" s="1316"/>
      <c r="E154" s="1398"/>
      <c r="F154" s="1304">
        <f t="shared" si="83"/>
        <v>1</v>
      </c>
      <c r="G154" s="1316"/>
      <c r="H154" s="1398"/>
      <c r="I154" s="1353">
        <f t="shared" si="84"/>
        <v>1</v>
      </c>
      <c r="J154" s="1316"/>
      <c r="K154" s="1398"/>
      <c r="L154" s="1353">
        <f t="shared" si="85"/>
        <v>1</v>
      </c>
      <c r="M154" s="1316"/>
      <c r="N154" s="1398"/>
      <c r="O154" s="1353">
        <f t="shared" si="86"/>
        <v>1</v>
      </c>
      <c r="P154" s="1316"/>
      <c r="Q154" s="1398"/>
      <c r="R154" s="1353">
        <f>IF(Q154&lt;P154,-(P154-Q154)*200,0)</f>
        <v>0</v>
      </c>
      <c r="S154" s="1321"/>
      <c r="T154" s="1316"/>
      <c r="U154" s="1353">
        <f t="shared" si="87"/>
        <v>0</v>
      </c>
      <c r="V154" s="1316"/>
      <c r="W154" s="1316"/>
      <c r="X154" s="1353">
        <f t="shared" si="88"/>
        <v>0</v>
      </c>
      <c r="Y154" s="1321">
        <f t="shared" si="89"/>
        <v>0</v>
      </c>
      <c r="Z154" s="1316"/>
      <c r="AA154" s="1401">
        <f t="shared" si="90"/>
        <v>1</v>
      </c>
      <c r="AB154" s="560"/>
      <c r="AC154" s="560"/>
      <c r="AD154" s="560"/>
      <c r="AE154" s="560"/>
      <c r="AF154" s="560"/>
      <c r="AG154" s="1331"/>
      <c r="AH154" s="560"/>
      <c r="AI154" s="560"/>
      <c r="AJ154" s="560"/>
      <c r="AK154" s="560"/>
      <c r="AL154" s="560"/>
      <c r="AM154" s="560"/>
    </row>
    <row r="155" ht="15" customHeight="1" spans="1:39">
      <c r="A155" s="1427"/>
      <c r="B155" s="1396"/>
      <c r="C155" s="1355"/>
      <c r="D155" s="1316"/>
      <c r="E155" s="1398"/>
      <c r="F155" s="1304"/>
      <c r="G155" s="1316"/>
      <c r="H155" s="1398"/>
      <c r="I155" s="1353"/>
      <c r="J155" s="1316"/>
      <c r="K155" s="1398"/>
      <c r="L155" s="1353"/>
      <c r="M155" s="1316"/>
      <c r="N155" s="1398"/>
      <c r="O155" s="1353"/>
      <c r="P155" s="1316"/>
      <c r="Q155" s="1398"/>
      <c r="R155" s="1353">
        <f>IF(Q155&lt;P155,-(P155-Q155)*100,0)</f>
        <v>0</v>
      </c>
      <c r="S155" s="1321"/>
      <c r="T155" s="1316"/>
      <c r="U155" s="1353">
        <f t="shared" si="87"/>
        <v>0</v>
      </c>
      <c r="V155" s="1318"/>
      <c r="W155" s="1316"/>
      <c r="X155" s="1353">
        <f t="shared" si="88"/>
        <v>0</v>
      </c>
      <c r="Y155" s="1321">
        <f t="shared" si="89"/>
        <v>0</v>
      </c>
      <c r="Z155" s="1316"/>
      <c r="AA155" s="1401">
        <f t="shared" si="90"/>
        <v>1</v>
      </c>
      <c r="AB155" s="560"/>
      <c r="AC155" s="560">
        <f>Y155+AB155</f>
        <v>0</v>
      </c>
      <c r="AD155" s="560"/>
      <c r="AE155" s="560"/>
      <c r="AF155" s="560"/>
      <c r="AG155" s="1331"/>
      <c r="AH155" s="560"/>
      <c r="AI155" s="560"/>
      <c r="AJ155" s="560"/>
      <c r="AK155" s="560"/>
      <c r="AL155" s="560"/>
      <c r="AM155" s="560"/>
    </row>
    <row r="156" spans="1:39">
      <c r="A156" s="1427"/>
      <c r="B156" s="1396"/>
      <c r="C156" s="1397"/>
      <c r="D156" s="1316"/>
      <c r="E156" s="1398"/>
      <c r="F156" s="1304"/>
      <c r="G156" s="1316"/>
      <c r="H156" s="1398"/>
      <c r="I156" s="1353"/>
      <c r="J156" s="1316"/>
      <c r="K156" s="1398"/>
      <c r="L156" s="1353"/>
      <c r="M156" s="1316"/>
      <c r="N156" s="1398"/>
      <c r="O156" s="1353"/>
      <c r="P156" s="1316"/>
      <c r="Q156" s="1398"/>
      <c r="R156" s="1353">
        <f>IF(Q156&lt;P156,-(P156-Q156)*200,0)</f>
        <v>0</v>
      </c>
      <c r="S156" s="1321"/>
      <c r="T156" s="1316"/>
      <c r="U156" s="1353">
        <f>IF(T156&lt;S156,-(S156-T156)*300,0)</f>
        <v>0</v>
      </c>
      <c r="V156" s="1404"/>
      <c r="W156" s="1404">
        <f>SUM(W149:W155)</f>
        <v>0</v>
      </c>
      <c r="X156" s="1353">
        <f>IF(W156&lt;V156,-(V156-W156)*300,0)</f>
        <v>0</v>
      </c>
      <c r="Y156" s="1321">
        <f t="shared" si="89"/>
        <v>0</v>
      </c>
      <c r="Z156" s="1316"/>
      <c r="AA156" s="1401">
        <f t="shared" si="90"/>
        <v>1</v>
      </c>
      <c r="AB156" s="560"/>
      <c r="AC156" s="560">
        <f>Y156+AB156</f>
        <v>0</v>
      </c>
      <c r="AD156" s="560"/>
      <c r="AE156" s="560"/>
      <c r="AF156" s="560"/>
      <c r="AG156" s="1331"/>
      <c r="AH156" s="560"/>
      <c r="AI156" s="560"/>
      <c r="AJ156" s="560"/>
      <c r="AK156" s="560"/>
      <c r="AL156" s="560"/>
      <c r="AM156" s="560"/>
    </row>
    <row r="157" spans="1:39">
      <c r="A157" s="1429"/>
      <c r="B157" s="1405" t="s">
        <v>193</v>
      </c>
      <c r="C157" s="1406"/>
      <c r="D157" s="1405">
        <f>SUM(D149:D156)</f>
        <v>0</v>
      </c>
      <c r="E157" s="1405"/>
      <c r="F157" s="1407">
        <f>IF(D157=0,1,E157/D157)</f>
        <v>1</v>
      </c>
      <c r="G157" s="1405">
        <f>SUM(G149:G156)</f>
        <v>0</v>
      </c>
      <c r="H157" s="1405">
        <f>SUM(H149:H156)</f>
        <v>0</v>
      </c>
      <c r="I157" s="1405">
        <f>IF(G157=0,1,H157/G157)</f>
        <v>1</v>
      </c>
      <c r="J157" s="1405">
        <f>SUM(J149:J156)</f>
        <v>0</v>
      </c>
      <c r="K157" s="1405">
        <f>SUM(K149:K156)</f>
        <v>0</v>
      </c>
      <c r="L157" s="1405">
        <f>IF(J157=0,1,K157/J157)</f>
        <v>1</v>
      </c>
      <c r="M157" s="1405">
        <f>SUM(M149:M156)</f>
        <v>0</v>
      </c>
      <c r="N157" s="1405">
        <f>SUM(N149:N156)</f>
        <v>0</v>
      </c>
      <c r="O157" s="1405"/>
      <c r="P157" s="1405">
        <f>SUM(P149:P156)</f>
        <v>0</v>
      </c>
      <c r="Q157" s="1405"/>
      <c r="R157" s="1408">
        <f>IF(P157=0,1,Q157/P157)</f>
        <v>1</v>
      </c>
      <c r="S157" s="1409">
        <f>SUM(S149:S156)</f>
        <v>0</v>
      </c>
      <c r="T157" s="1405">
        <f>SUM(T149:T156)</f>
        <v>0</v>
      </c>
      <c r="U157" s="1405">
        <f>IF(S157=0,1,T157/S157)</f>
        <v>1</v>
      </c>
      <c r="V157" s="1405">
        <f>SUM(V149:V156)</f>
        <v>0</v>
      </c>
      <c r="W157" s="1405">
        <f>SUM(W149:W156)</f>
        <v>0</v>
      </c>
      <c r="X157" s="1408">
        <f>IF(V157=0,1,W157/V157)</f>
        <v>1</v>
      </c>
      <c r="Y157" s="1410">
        <f>SUM(Y149:Y156)</f>
        <v>0</v>
      </c>
      <c r="Z157" s="1407">
        <f>SUM(Z149:Z156)</f>
        <v>0</v>
      </c>
      <c r="AA157" s="1411">
        <f>IF(Y157=0,1,Z157/Y157)</f>
        <v>1</v>
      </c>
      <c r="AC157" s="560"/>
      <c r="AD157" s="560"/>
      <c r="AE157" s="560"/>
      <c r="AF157" s="560"/>
    </row>
    <row r="158" spans="1:39">
      <c r="A158" s="1377"/>
      <c r="B158" s="1377"/>
      <c r="C158" s="1430"/>
      <c r="D158" s="1376"/>
      <c r="E158" s="1376"/>
      <c r="F158" s="1376"/>
      <c r="G158" s="1377"/>
      <c r="H158" s="1377"/>
      <c r="I158" s="1377"/>
      <c r="J158" s="1376"/>
      <c r="K158" s="1376"/>
      <c r="L158" s="1377"/>
      <c r="M158" s="1377"/>
      <c r="N158" s="1377"/>
      <c r="O158" s="1377"/>
      <c r="P158" s="1376"/>
      <c r="Q158" s="1376"/>
      <c r="R158" s="1377"/>
      <c r="S158" s="1377"/>
      <c r="T158" s="1377"/>
      <c r="U158" s="1377"/>
      <c r="V158" s="1376"/>
      <c r="W158" s="1376"/>
      <c r="X158" s="1377"/>
      <c r="Y158" s="1376"/>
      <c r="Z158" s="1376"/>
      <c r="AA158" s="1378"/>
    </row>
    <row r="159" spans="1:39">
      <c r="A159" s="1377"/>
      <c r="B159" s="1377"/>
      <c r="C159" s="1430"/>
      <c r="D159" s="1376"/>
      <c r="E159" s="1376"/>
      <c r="F159" s="1376"/>
      <c r="G159" s="1377"/>
      <c r="H159" s="1377"/>
      <c r="I159" s="1377"/>
      <c r="J159" s="1376"/>
      <c r="K159" s="1376"/>
      <c r="L159" s="1377"/>
      <c r="M159" s="1377"/>
      <c r="N159" s="1377"/>
      <c r="O159" s="1377"/>
      <c r="P159" s="1376"/>
      <c r="Q159" s="1376"/>
      <c r="R159" s="1377"/>
      <c r="S159" s="1377"/>
      <c r="T159" s="1377"/>
      <c r="U159" s="1377"/>
      <c r="V159" s="1376"/>
      <c r="W159" s="1376"/>
      <c r="X159" s="1377"/>
      <c r="Y159" s="1376"/>
      <c r="Z159" s="1376"/>
      <c r="AA159" s="1378"/>
    </row>
    <row r="160" spans="1:39">
      <c r="A160" s="1377"/>
      <c r="B160" s="1377"/>
      <c r="C160" s="1430"/>
      <c r="D160" s="1376"/>
      <c r="E160" s="1376"/>
      <c r="F160" s="1376"/>
      <c r="G160" s="1377"/>
      <c r="H160" s="1377"/>
      <c r="I160" s="1377"/>
      <c r="J160" s="1376"/>
      <c r="K160" s="1376"/>
      <c r="L160" s="1377"/>
      <c r="M160" s="1377"/>
      <c r="N160" s="1377"/>
      <c r="O160" s="1377"/>
      <c r="P160" s="1376"/>
      <c r="Q160" s="1376"/>
      <c r="R160" s="1377"/>
      <c r="S160" s="1377"/>
      <c r="T160" s="1377"/>
      <c r="U160" s="1377"/>
      <c r="V160" s="1376"/>
      <c r="W160" s="1376"/>
      <c r="X160" s="1377"/>
      <c r="Y160" s="1376"/>
      <c r="Z160" s="1376"/>
      <c r="AA160" s="1378"/>
    </row>
    <row r="161" spans="1:27">
      <c r="A161" s="1377"/>
      <c r="B161" s="1377"/>
      <c r="C161" s="1430"/>
      <c r="D161" s="1376"/>
      <c r="E161" s="1376"/>
      <c r="F161" s="1376"/>
      <c r="G161" s="1377"/>
      <c r="H161" s="1377"/>
      <c r="I161" s="1377"/>
      <c r="J161" s="1376"/>
      <c r="K161" s="1376"/>
      <c r="L161" s="1377"/>
      <c r="M161" s="1377"/>
      <c r="N161" s="1377"/>
      <c r="O161" s="1377"/>
      <c r="P161" s="1376"/>
      <c r="Q161" s="1376"/>
      <c r="R161" s="1377"/>
      <c r="S161" s="1377"/>
      <c r="T161" s="1377"/>
      <c r="U161" s="1377"/>
      <c r="V161" s="1376"/>
      <c r="W161" s="1376"/>
      <c r="X161" s="1377"/>
      <c r="Y161" s="1376"/>
      <c r="Z161" s="1376"/>
      <c r="AA161" s="1378"/>
    </row>
    <row r="162" spans="1:27">
      <c r="A162" s="1377"/>
      <c r="B162" s="1377"/>
      <c r="C162" s="1430"/>
      <c r="D162" s="1376"/>
      <c r="E162" s="1376"/>
      <c r="F162" s="1376"/>
      <c r="G162" s="1377"/>
      <c r="H162" s="1377"/>
      <c r="I162" s="1377"/>
      <c r="J162" s="1376"/>
      <c r="K162" s="1376"/>
      <c r="L162" s="1377"/>
      <c r="M162" s="1377"/>
      <c r="N162" s="1377"/>
      <c r="O162" s="1377"/>
      <c r="P162" s="1376"/>
      <c r="Q162" s="1376"/>
      <c r="R162" s="1377"/>
      <c r="S162" s="1377"/>
      <c r="T162" s="1377"/>
      <c r="U162" s="1377"/>
      <c r="V162" s="1376"/>
      <c r="W162" s="1376"/>
      <c r="X162" s="1377"/>
      <c r="Y162" s="1376"/>
      <c r="Z162" s="1376"/>
      <c r="AA162" s="1378"/>
    </row>
    <row r="163" spans="1:27">
      <c r="A163" s="1377"/>
      <c r="B163" s="1377"/>
      <c r="C163" s="1430"/>
      <c r="D163" s="1376"/>
      <c r="E163" s="1376"/>
      <c r="F163" s="1376"/>
      <c r="G163" s="1377"/>
      <c r="H163" s="1377"/>
      <c r="I163" s="1377"/>
      <c r="J163" s="1376"/>
      <c r="K163" s="1376"/>
      <c r="L163" s="1377"/>
      <c r="M163" s="1377"/>
      <c r="N163" s="1377"/>
      <c r="O163" s="1377"/>
      <c r="P163" s="1376"/>
      <c r="Q163" s="1376"/>
      <c r="R163" s="1377"/>
      <c r="S163" s="1377"/>
      <c r="T163" s="1377"/>
      <c r="U163" s="1377"/>
      <c r="V163" s="1376"/>
      <c r="W163" s="1376"/>
      <c r="X163" s="1377"/>
      <c r="Y163" s="1376"/>
      <c r="Z163" s="1376"/>
      <c r="AA163" s="1378"/>
    </row>
    <row r="164" spans="1:27">
      <c r="A164" s="1377"/>
      <c r="B164" s="1377"/>
      <c r="C164" s="1430"/>
      <c r="D164" s="1376"/>
      <c r="E164" s="1376"/>
      <c r="F164" s="1376"/>
      <c r="G164" s="1377"/>
      <c r="H164" s="1377"/>
      <c r="I164" s="1377"/>
      <c r="J164" s="1376"/>
      <c r="K164" s="1376"/>
      <c r="L164" s="1377"/>
      <c r="M164" s="1377"/>
      <c r="N164" s="1377"/>
      <c r="O164" s="1377"/>
      <c r="P164" s="1376"/>
      <c r="Q164" s="1376"/>
      <c r="R164" s="1377"/>
      <c r="S164" s="1377"/>
      <c r="T164" s="1377"/>
      <c r="U164" s="1377"/>
      <c r="V164" s="1376"/>
      <c r="W164" s="1376"/>
      <c r="X164" s="1377"/>
      <c r="Y164" s="1376"/>
      <c r="Z164" s="1376"/>
      <c r="AA164" s="1378"/>
    </row>
    <row r="165" spans="1:27">
      <c r="A165" s="1377"/>
      <c r="B165" s="1377"/>
      <c r="C165" s="1430"/>
      <c r="D165" s="1376"/>
      <c r="E165" s="1376"/>
      <c r="F165" s="1376"/>
      <c r="G165" s="1377"/>
      <c r="H165" s="1377"/>
      <c r="I165" s="1377"/>
      <c r="J165" s="1376"/>
      <c r="K165" s="1376"/>
      <c r="L165" s="1377"/>
      <c r="M165" s="1377"/>
      <c r="N165" s="1377"/>
      <c r="O165" s="1377"/>
      <c r="P165" s="1376"/>
      <c r="Q165" s="1376"/>
      <c r="R165" s="1377"/>
      <c r="S165" s="1377"/>
      <c r="T165" s="1377"/>
      <c r="U165" s="1377"/>
      <c r="V165" s="1376"/>
      <c r="W165" s="1376"/>
      <c r="X165" s="1377"/>
      <c r="Y165" s="1376"/>
      <c r="Z165" s="1376"/>
      <c r="AA165" s="1378"/>
    </row>
    <row r="166" spans="1:27">
      <c r="A166" s="1377"/>
      <c r="B166" s="1377"/>
      <c r="C166" s="1430"/>
      <c r="D166" s="1376"/>
      <c r="E166" s="1376"/>
      <c r="F166" s="1376"/>
      <c r="G166" s="1377"/>
      <c r="H166" s="1377"/>
      <c r="I166" s="1377"/>
      <c r="J166" s="1376"/>
      <c r="K166" s="1376"/>
      <c r="L166" s="1377"/>
      <c r="M166" s="1377"/>
      <c r="N166" s="1377"/>
      <c r="O166" s="1377"/>
      <c r="P166" s="1376"/>
      <c r="Q166" s="1376"/>
      <c r="R166" s="1377"/>
      <c r="S166" s="1377"/>
      <c r="T166" s="1377"/>
      <c r="U166" s="1377"/>
      <c r="V166" s="1376"/>
      <c r="W166" s="1376"/>
      <c r="X166" s="1377"/>
      <c r="Y166" s="1376"/>
      <c r="Z166" s="1376"/>
      <c r="AA166" s="1378"/>
    </row>
    <row r="167" spans="1:27">
      <c r="A167" s="1377"/>
      <c r="B167" s="1377"/>
      <c r="C167" s="1430"/>
      <c r="D167" s="1376"/>
      <c r="E167" s="1376"/>
      <c r="F167" s="1376"/>
      <c r="G167" s="1377"/>
      <c r="H167" s="1377"/>
      <c r="I167" s="1377"/>
      <c r="J167" s="1376"/>
      <c r="K167" s="1376"/>
      <c r="L167" s="1377"/>
      <c r="M167" s="1377"/>
      <c r="N167" s="1377"/>
      <c r="O167" s="1377"/>
      <c r="P167" s="1376"/>
      <c r="Q167" s="1376"/>
      <c r="R167" s="1377"/>
      <c r="S167" s="1377"/>
      <c r="T167" s="1377"/>
      <c r="U167" s="1377"/>
      <c r="V167" s="1376"/>
      <c r="W167" s="1376"/>
      <c r="X167" s="1377"/>
      <c r="Y167" s="1376"/>
      <c r="Z167" s="1376"/>
      <c r="AA167" s="1378"/>
    </row>
    <row r="168" spans="1:27">
      <c r="A168" s="1377"/>
      <c r="B168" s="1377"/>
      <c r="C168" s="1430"/>
      <c r="D168" s="1376"/>
      <c r="E168" s="1376"/>
      <c r="F168" s="1376"/>
      <c r="G168" s="1377"/>
      <c r="H168" s="1377"/>
      <c r="I168" s="1377"/>
      <c r="J168" s="1376"/>
      <c r="K168" s="1376"/>
      <c r="L168" s="1377"/>
      <c r="M168" s="1377"/>
      <c r="N168" s="1377"/>
      <c r="O168" s="1377"/>
      <c r="P168" s="1376"/>
      <c r="Q168" s="1376"/>
      <c r="R168" s="1377"/>
      <c r="S168" s="1377"/>
      <c r="T168" s="1377"/>
      <c r="U168" s="1377"/>
      <c r="V168" s="1376"/>
      <c r="W168" s="1376"/>
      <c r="X168" s="1377"/>
      <c r="Y168" s="1376"/>
      <c r="Z168" s="1376"/>
      <c r="AA168" s="1378"/>
    </row>
    <row r="169" spans="1:27">
      <c r="A169" s="1377"/>
      <c r="B169" s="1377"/>
      <c r="C169" s="1430"/>
      <c r="D169" s="1376"/>
      <c r="E169" s="1376"/>
      <c r="F169" s="1376"/>
      <c r="G169" s="1377"/>
      <c r="H169" s="1377"/>
      <c r="I169" s="1377"/>
      <c r="J169" s="1376"/>
      <c r="K169" s="1376"/>
      <c r="L169" s="1377"/>
      <c r="M169" s="1377"/>
      <c r="N169" s="1377"/>
      <c r="O169" s="1377"/>
      <c r="P169" s="1376"/>
      <c r="Q169" s="1376"/>
      <c r="R169" s="1377"/>
      <c r="S169" s="1377"/>
      <c r="T169" s="1377"/>
      <c r="U169" s="1377"/>
      <c r="V169" s="1376"/>
      <c r="W169" s="1376"/>
      <c r="X169" s="1377"/>
      <c r="Y169" s="1376"/>
      <c r="Z169" s="1376"/>
      <c r="AA169" s="1378"/>
    </row>
    <row r="170" spans="1:27">
      <c r="A170" s="1377"/>
      <c r="B170" s="1377"/>
      <c r="C170" s="1430"/>
      <c r="D170" s="1376"/>
      <c r="E170" s="1376"/>
      <c r="F170" s="1376"/>
      <c r="G170" s="1377"/>
      <c r="H170" s="1377"/>
      <c r="I170" s="1377"/>
      <c r="J170" s="1376"/>
      <c r="K170" s="1376"/>
      <c r="L170" s="1377"/>
      <c r="M170" s="1377"/>
      <c r="N170" s="1377"/>
      <c r="O170" s="1377"/>
      <c r="P170" s="1376"/>
      <c r="Q170" s="1376"/>
      <c r="R170" s="1377"/>
      <c r="S170" s="1377"/>
      <c r="T170" s="1377"/>
      <c r="U170" s="1377"/>
      <c r="V170" s="1376"/>
      <c r="W170" s="1376"/>
      <c r="X170" s="1377"/>
      <c r="Y170" s="1376"/>
      <c r="Z170" s="1376"/>
      <c r="AA170" s="1378"/>
    </row>
    <row r="171" spans="1:27">
      <c r="A171" s="1377"/>
      <c r="B171" s="1377"/>
      <c r="C171" s="1430"/>
      <c r="D171" s="1376"/>
      <c r="E171" s="1376"/>
      <c r="F171" s="1376"/>
      <c r="G171" s="1377"/>
      <c r="H171" s="1377"/>
      <c r="I171" s="1377"/>
      <c r="J171" s="1376"/>
      <c r="K171" s="1376"/>
      <c r="L171" s="1377"/>
      <c r="M171" s="1377"/>
      <c r="N171" s="1377"/>
      <c r="O171" s="1377"/>
      <c r="P171" s="1376"/>
      <c r="Q171" s="1376"/>
      <c r="R171" s="1377"/>
      <c r="S171" s="1377"/>
      <c r="T171" s="1377"/>
      <c r="U171" s="1377"/>
      <c r="V171" s="1376"/>
      <c r="W171" s="1376"/>
      <c r="X171" s="1377"/>
      <c r="Y171" s="1376"/>
      <c r="Z171" s="1376"/>
      <c r="AA171" s="1378"/>
    </row>
    <row r="172" spans="1:27">
      <c r="A172" s="1377"/>
      <c r="B172" s="1377"/>
      <c r="C172" s="1430"/>
      <c r="D172" s="1376"/>
      <c r="E172" s="1376"/>
      <c r="F172" s="1376"/>
      <c r="G172" s="1377"/>
      <c r="H172" s="1377"/>
      <c r="I172" s="1377"/>
      <c r="J172" s="1376"/>
      <c r="K172" s="1376"/>
      <c r="L172" s="1377"/>
      <c r="M172" s="1377"/>
      <c r="N172" s="1377"/>
      <c r="O172" s="1377"/>
      <c r="P172" s="1376"/>
      <c r="Q172" s="1376"/>
      <c r="R172" s="1377"/>
      <c r="S172" s="1377"/>
      <c r="T172" s="1377"/>
      <c r="U172" s="1377"/>
      <c r="V172" s="1376"/>
      <c r="W172" s="1376"/>
      <c r="X172" s="1377"/>
      <c r="Y172" s="1376"/>
      <c r="Z172" s="1376"/>
      <c r="AA172" s="1378"/>
    </row>
    <row r="173" spans="1:27">
      <c r="A173" s="1377"/>
      <c r="B173" s="1377"/>
      <c r="C173" s="1430"/>
      <c r="D173" s="1376"/>
      <c r="E173" s="1376"/>
      <c r="F173" s="1376"/>
      <c r="G173" s="1377"/>
      <c r="H173" s="1377"/>
      <c r="I173" s="1377"/>
      <c r="J173" s="1376"/>
      <c r="K173" s="1376"/>
      <c r="L173" s="1377"/>
      <c r="M173" s="1377"/>
      <c r="N173" s="1377"/>
      <c r="O173" s="1377"/>
      <c r="P173" s="1376"/>
      <c r="Q173" s="1376"/>
      <c r="R173" s="1377"/>
      <c r="S173" s="1377"/>
      <c r="T173" s="1377"/>
      <c r="U173" s="1377"/>
      <c r="V173" s="1376"/>
      <c r="W173" s="1376"/>
      <c r="X173" s="1377"/>
      <c r="Y173" s="1376"/>
      <c r="Z173" s="1376"/>
      <c r="AA173" s="1378"/>
    </row>
    <row r="174" spans="1:27">
      <c r="A174" s="1377"/>
      <c r="B174" s="1377"/>
      <c r="C174" s="1430"/>
      <c r="D174" s="1376"/>
      <c r="E174" s="1376"/>
      <c r="F174" s="1376"/>
      <c r="G174" s="1377"/>
      <c r="H174" s="1377"/>
      <c r="I174" s="1377"/>
      <c r="J174" s="1376"/>
      <c r="K174" s="1376"/>
      <c r="L174" s="1377"/>
      <c r="M174" s="1377"/>
      <c r="N174" s="1377"/>
      <c r="O174" s="1377"/>
      <c r="P174" s="1376"/>
      <c r="Q174" s="1376"/>
      <c r="R174" s="1377"/>
      <c r="S174" s="1377"/>
      <c r="T174" s="1377"/>
      <c r="U174" s="1377"/>
      <c r="V174" s="1376"/>
      <c r="W174" s="1376"/>
      <c r="X174" s="1377"/>
      <c r="Y174" s="1376"/>
      <c r="Z174" s="1376"/>
      <c r="AA174" s="1378"/>
    </row>
    <row r="175" spans="1:27">
      <c r="A175" s="1377"/>
      <c r="B175" s="1377"/>
      <c r="C175" s="1430"/>
      <c r="D175" s="1376"/>
      <c r="E175" s="1376"/>
      <c r="F175" s="1376"/>
      <c r="G175" s="1377"/>
      <c r="H175" s="1377"/>
      <c r="I175" s="1377"/>
      <c r="J175" s="1376"/>
      <c r="K175" s="1376"/>
      <c r="L175" s="1377"/>
      <c r="M175" s="1377"/>
      <c r="N175" s="1377"/>
      <c r="O175" s="1377"/>
      <c r="P175" s="1376"/>
      <c r="Q175" s="1376"/>
      <c r="R175" s="1377"/>
      <c r="S175" s="1377"/>
      <c r="T175" s="1377"/>
      <c r="U175" s="1377"/>
      <c r="V175" s="1376"/>
      <c r="W175" s="1376"/>
      <c r="X175" s="1377"/>
      <c r="Y175" s="1376"/>
      <c r="Z175" s="1376"/>
      <c r="AA175" s="1378"/>
    </row>
    <row r="176" spans="1:27">
      <c r="A176" s="1377"/>
      <c r="B176" s="1377"/>
      <c r="C176" s="1430"/>
      <c r="D176" s="1376"/>
      <c r="E176" s="1376"/>
      <c r="F176" s="1376"/>
      <c r="G176" s="1377"/>
      <c r="H176" s="1377"/>
      <c r="I176" s="1377"/>
      <c r="J176" s="1376"/>
      <c r="K176" s="1376"/>
      <c r="L176" s="1377"/>
      <c r="M176" s="1377"/>
      <c r="N176" s="1377"/>
      <c r="O176" s="1377"/>
      <c r="P176" s="1376"/>
      <c r="Q176" s="1376"/>
      <c r="R176" s="1377"/>
      <c r="S176" s="1377"/>
      <c r="T176" s="1377"/>
      <c r="U176" s="1377"/>
      <c r="V176" s="1376"/>
      <c r="W176" s="1376"/>
      <c r="X176" s="1377"/>
      <c r="Y176" s="1376"/>
      <c r="Z176" s="1376"/>
      <c r="AA176" s="1378"/>
    </row>
    <row r="177" spans="1:27">
      <c r="A177" s="1377"/>
      <c r="B177" s="1377"/>
      <c r="C177" s="1430"/>
      <c r="D177" s="1376"/>
      <c r="E177" s="1376"/>
      <c r="F177" s="1376"/>
      <c r="G177" s="1377"/>
      <c r="H177" s="1377"/>
      <c r="I177" s="1377"/>
      <c r="J177" s="1376"/>
      <c r="K177" s="1376"/>
      <c r="L177" s="1377"/>
      <c r="M177" s="1377"/>
      <c r="N177" s="1377"/>
      <c r="O177" s="1377"/>
      <c r="P177" s="1376"/>
      <c r="Q177" s="1376"/>
      <c r="R177" s="1377"/>
      <c r="S177" s="1377"/>
      <c r="T177" s="1377"/>
      <c r="U177" s="1377"/>
      <c r="V177" s="1376"/>
      <c r="W177" s="1376"/>
      <c r="X177" s="1377"/>
      <c r="Y177" s="1376"/>
      <c r="Z177" s="1376"/>
      <c r="AA177" s="1378"/>
    </row>
    <row r="178" spans="1:27">
      <c r="A178" s="1377"/>
      <c r="B178" s="1377"/>
      <c r="C178" s="1430"/>
      <c r="D178" s="1376"/>
      <c r="E178" s="1376"/>
      <c r="F178" s="1376"/>
      <c r="G178" s="1377"/>
      <c r="H178" s="1377"/>
      <c r="I178" s="1377"/>
      <c r="J178" s="1376"/>
      <c r="K178" s="1376"/>
      <c r="L178" s="1377"/>
      <c r="M178" s="1377"/>
      <c r="N178" s="1377"/>
      <c r="O178" s="1377"/>
      <c r="P178" s="1376"/>
      <c r="Q178" s="1376"/>
      <c r="R178" s="1377"/>
      <c r="S178" s="1377"/>
      <c r="T178" s="1377"/>
      <c r="U178" s="1377"/>
      <c r="V178" s="1376"/>
      <c r="W178" s="1376"/>
      <c r="X178" s="1377"/>
      <c r="Y178" s="1376"/>
      <c r="Z178" s="1376"/>
      <c r="AA178" s="1378"/>
    </row>
    <row r="179" spans="1:27">
      <c r="A179" s="1377"/>
      <c r="B179" s="1377"/>
      <c r="C179" s="1430"/>
      <c r="D179" s="1376"/>
      <c r="E179" s="1376"/>
      <c r="F179" s="1376"/>
      <c r="G179" s="1377"/>
      <c r="H179" s="1377"/>
      <c r="I179" s="1377"/>
      <c r="J179" s="1376"/>
      <c r="K179" s="1376"/>
      <c r="L179" s="1377"/>
      <c r="M179" s="1377"/>
      <c r="N179" s="1377"/>
      <c r="O179" s="1377"/>
      <c r="P179" s="1376"/>
      <c r="Q179" s="1376"/>
      <c r="R179" s="1377"/>
      <c r="S179" s="1377"/>
      <c r="T179" s="1377"/>
      <c r="U179" s="1377"/>
      <c r="V179" s="1376"/>
      <c r="W179" s="1376"/>
      <c r="X179" s="1377"/>
      <c r="Y179" s="1376"/>
      <c r="Z179" s="1376"/>
      <c r="AA179" s="1378"/>
    </row>
    <row r="180" spans="1:27">
      <c r="A180" s="1377"/>
      <c r="B180" s="1377"/>
      <c r="C180" s="1430"/>
      <c r="D180" s="1376"/>
      <c r="E180" s="1376"/>
      <c r="F180" s="1376"/>
      <c r="G180" s="1377"/>
      <c r="H180" s="1377"/>
      <c r="I180" s="1377"/>
      <c r="J180" s="1376"/>
      <c r="K180" s="1376"/>
      <c r="L180" s="1377"/>
      <c r="M180" s="1377"/>
      <c r="N180" s="1377"/>
      <c r="O180" s="1377"/>
      <c r="P180" s="1376"/>
      <c r="Q180" s="1376"/>
      <c r="R180" s="1377"/>
      <c r="S180" s="1377"/>
      <c r="T180" s="1377"/>
      <c r="U180" s="1377"/>
      <c r="V180" s="1376"/>
      <c r="W180" s="1376"/>
      <c r="X180" s="1377"/>
      <c r="Y180" s="1376"/>
      <c r="Z180" s="1376"/>
      <c r="AA180" s="1378"/>
    </row>
    <row r="181" spans="1:27">
      <c r="A181" s="1377"/>
      <c r="B181" s="1377"/>
      <c r="C181" s="1430"/>
      <c r="D181" s="1376"/>
      <c r="E181" s="1376"/>
      <c r="F181" s="1376"/>
      <c r="G181" s="1377"/>
      <c r="H181" s="1377"/>
      <c r="I181" s="1377"/>
      <c r="J181" s="1376"/>
      <c r="K181" s="1376"/>
      <c r="L181" s="1377"/>
      <c r="M181" s="1377"/>
      <c r="N181" s="1377"/>
      <c r="O181" s="1377"/>
      <c r="P181" s="1376"/>
      <c r="Q181" s="1376"/>
      <c r="R181" s="1377"/>
      <c r="S181" s="1377"/>
      <c r="T181" s="1377"/>
      <c r="U181" s="1377"/>
      <c r="V181" s="1376"/>
      <c r="W181" s="1376"/>
      <c r="X181" s="1377"/>
      <c r="Y181" s="1376"/>
      <c r="Z181" s="1376"/>
      <c r="AA181" s="1378"/>
    </row>
    <row r="182" spans="1:27">
      <c r="A182" s="1377"/>
      <c r="B182" s="1377"/>
      <c r="C182" s="1430"/>
      <c r="D182" s="1376"/>
      <c r="E182" s="1376"/>
      <c r="F182" s="1376"/>
      <c r="G182" s="1377"/>
      <c r="H182" s="1377"/>
      <c r="I182" s="1377"/>
      <c r="J182" s="1376"/>
      <c r="K182" s="1376"/>
      <c r="L182" s="1377"/>
      <c r="M182" s="1377"/>
      <c r="N182" s="1377"/>
      <c r="O182" s="1377"/>
      <c r="P182" s="1376"/>
      <c r="Q182" s="1376"/>
      <c r="R182" s="1377"/>
      <c r="S182" s="1377"/>
      <c r="T182" s="1377"/>
      <c r="U182" s="1377"/>
      <c r="V182" s="1376"/>
      <c r="W182" s="1376"/>
      <c r="X182" s="1377"/>
      <c r="Y182" s="1376"/>
      <c r="Z182" s="1376"/>
      <c r="AA182" s="1378"/>
    </row>
    <row r="183" spans="1:27">
      <c r="A183" s="1377"/>
      <c r="B183" s="1377"/>
      <c r="C183" s="1430"/>
      <c r="D183" s="1376"/>
      <c r="E183" s="1376"/>
      <c r="F183" s="1376"/>
      <c r="G183" s="1377"/>
      <c r="H183" s="1377"/>
      <c r="I183" s="1377"/>
      <c r="J183" s="1376"/>
      <c r="K183" s="1376"/>
      <c r="L183" s="1377"/>
      <c r="M183" s="1377"/>
      <c r="N183" s="1377"/>
      <c r="O183" s="1377"/>
      <c r="P183" s="1376"/>
      <c r="Q183" s="1376"/>
      <c r="R183" s="1377"/>
      <c r="S183" s="1377"/>
      <c r="T183" s="1377"/>
      <c r="U183" s="1377"/>
      <c r="V183" s="1376"/>
      <c r="W183" s="1376"/>
      <c r="X183" s="1377"/>
      <c r="Y183" s="1376"/>
      <c r="Z183" s="1376"/>
      <c r="AA183" s="1378"/>
    </row>
    <row r="184" spans="1:27">
      <c r="A184" s="1377"/>
      <c r="B184" s="1377"/>
      <c r="C184" s="1430"/>
      <c r="D184" s="1376"/>
      <c r="E184" s="1376"/>
      <c r="F184" s="1376"/>
      <c r="G184" s="1377"/>
      <c r="H184" s="1377"/>
      <c r="I184" s="1377"/>
      <c r="J184" s="1376"/>
      <c r="K184" s="1376"/>
      <c r="L184" s="1377"/>
      <c r="M184" s="1377"/>
      <c r="N184" s="1377"/>
      <c r="O184" s="1377"/>
      <c r="P184" s="1376"/>
      <c r="Q184" s="1376"/>
      <c r="R184" s="1377"/>
      <c r="S184" s="1377"/>
      <c r="T184" s="1377"/>
      <c r="U184" s="1377"/>
      <c r="V184" s="1376"/>
      <c r="W184" s="1376"/>
      <c r="X184" s="1377"/>
      <c r="Y184" s="1376"/>
      <c r="Z184" s="1376"/>
      <c r="AA184" s="1378"/>
    </row>
    <row r="185" spans="1:27">
      <c r="A185" s="1377"/>
      <c r="B185" s="1377"/>
      <c r="C185" s="1430"/>
      <c r="D185" s="1376"/>
      <c r="E185" s="1376"/>
      <c r="F185" s="1376"/>
      <c r="G185" s="1377"/>
      <c r="H185" s="1377"/>
      <c r="I185" s="1377"/>
      <c r="J185" s="1376"/>
      <c r="K185" s="1376"/>
      <c r="L185" s="1377"/>
      <c r="M185" s="1377"/>
      <c r="N185" s="1377"/>
      <c r="O185" s="1377"/>
      <c r="P185" s="1376"/>
      <c r="Q185" s="1376"/>
      <c r="R185" s="1377"/>
      <c r="S185" s="1377"/>
      <c r="T185" s="1377"/>
      <c r="U185" s="1377"/>
      <c r="V185" s="1376"/>
      <c r="W185" s="1376"/>
      <c r="X185" s="1377"/>
      <c r="Y185" s="1376"/>
      <c r="Z185" s="1376"/>
      <c r="AA185" s="1378"/>
    </row>
    <row r="186" spans="1:27">
      <c r="A186" s="1377"/>
      <c r="B186" s="1377"/>
      <c r="C186" s="1430"/>
      <c r="D186" s="1376"/>
      <c r="E186" s="1376"/>
      <c r="F186" s="1376"/>
      <c r="G186" s="1377"/>
      <c r="H186" s="1377"/>
      <c r="I186" s="1377"/>
      <c r="J186" s="1376"/>
      <c r="K186" s="1376"/>
      <c r="L186" s="1377"/>
      <c r="M186" s="1377"/>
      <c r="N186" s="1377"/>
      <c r="O186" s="1377"/>
      <c r="P186" s="1376"/>
      <c r="Q186" s="1376"/>
      <c r="R186" s="1377"/>
      <c r="S186" s="1377"/>
      <c r="T186" s="1377"/>
      <c r="U186" s="1377"/>
      <c r="V186" s="1376"/>
      <c r="W186" s="1376"/>
      <c r="X186" s="1377"/>
      <c r="Y186" s="1376"/>
      <c r="Z186" s="1376"/>
      <c r="AA186" s="1378"/>
    </row>
    <row r="187" spans="1:27">
      <c r="A187" s="1377"/>
      <c r="B187" s="1377"/>
      <c r="C187" s="1430"/>
      <c r="D187" s="1376"/>
      <c r="E187" s="1376"/>
      <c r="F187" s="1376"/>
      <c r="G187" s="1377"/>
      <c r="H187" s="1377"/>
      <c r="I187" s="1377"/>
      <c r="J187" s="1376"/>
      <c r="K187" s="1376"/>
      <c r="L187" s="1377"/>
      <c r="M187" s="1377"/>
      <c r="N187" s="1377"/>
      <c r="O187" s="1377"/>
      <c r="P187" s="1376"/>
      <c r="Q187" s="1376"/>
      <c r="R187" s="1377"/>
      <c r="S187" s="1377"/>
      <c r="T187" s="1377"/>
      <c r="U187" s="1377"/>
      <c r="V187" s="1376"/>
      <c r="W187" s="1376"/>
      <c r="X187" s="1377"/>
      <c r="Y187" s="1376"/>
      <c r="Z187" s="1376"/>
      <c r="AA187" s="1378"/>
    </row>
    <row r="188" spans="1:27">
      <c r="A188" s="1377"/>
      <c r="B188" s="1377"/>
      <c r="C188" s="1430"/>
      <c r="D188" s="1376"/>
      <c r="E188" s="1376"/>
      <c r="F188" s="1376"/>
      <c r="G188" s="1377"/>
      <c r="H188" s="1377"/>
      <c r="I188" s="1377"/>
      <c r="J188" s="1376"/>
      <c r="K188" s="1376"/>
      <c r="L188" s="1377"/>
      <c r="M188" s="1377"/>
      <c r="N188" s="1377"/>
      <c r="O188" s="1377"/>
      <c r="P188" s="1376"/>
      <c r="Q188" s="1376"/>
      <c r="R188" s="1377"/>
      <c r="S188" s="1377"/>
      <c r="T188" s="1377"/>
      <c r="U188" s="1377"/>
      <c r="V188" s="1376"/>
      <c r="W188" s="1376"/>
      <c r="X188" s="1377"/>
      <c r="Y188" s="1376"/>
      <c r="Z188" s="1376"/>
      <c r="AA188" s="1378"/>
    </row>
    <row r="189" spans="1:27">
      <c r="A189" s="1377"/>
      <c r="B189" s="1377"/>
      <c r="C189" s="1430"/>
      <c r="D189" s="1376"/>
      <c r="E189" s="1376"/>
      <c r="F189" s="1376"/>
      <c r="G189" s="1377"/>
      <c r="H189" s="1377"/>
      <c r="I189" s="1377"/>
      <c r="J189" s="1376"/>
      <c r="K189" s="1376"/>
      <c r="L189" s="1377"/>
      <c r="M189" s="1377"/>
      <c r="N189" s="1377"/>
      <c r="O189" s="1377"/>
      <c r="P189" s="1376"/>
      <c r="Q189" s="1376"/>
      <c r="R189" s="1377"/>
      <c r="S189" s="1377"/>
      <c r="T189" s="1377"/>
      <c r="U189" s="1377"/>
      <c r="V189" s="1376"/>
      <c r="W189" s="1376"/>
      <c r="X189" s="1377"/>
      <c r="Y189" s="1376"/>
      <c r="Z189" s="1376"/>
      <c r="AA189" s="1378"/>
    </row>
    <row r="190" spans="1:27">
      <c r="A190" s="1377"/>
      <c r="B190" s="1377"/>
      <c r="C190" s="1430"/>
      <c r="D190" s="1376"/>
      <c r="E190" s="1376"/>
      <c r="F190" s="1376"/>
      <c r="G190" s="1377"/>
      <c r="H190" s="1377"/>
      <c r="I190" s="1377"/>
      <c r="J190" s="1376"/>
      <c r="K190" s="1376"/>
      <c r="L190" s="1377"/>
      <c r="M190" s="1377"/>
      <c r="N190" s="1377"/>
      <c r="O190" s="1377"/>
      <c r="P190" s="1376"/>
      <c r="Q190" s="1376"/>
      <c r="R190" s="1377"/>
      <c r="S190" s="1377"/>
      <c r="T190" s="1377"/>
      <c r="U190" s="1377"/>
      <c r="V190" s="1376"/>
      <c r="W190" s="1376"/>
      <c r="X190" s="1377"/>
      <c r="Y190" s="1376"/>
      <c r="Z190" s="1376"/>
      <c r="AA190" s="1378"/>
    </row>
    <row r="191" spans="1:27">
      <c r="A191" s="1377"/>
      <c r="B191" s="1377"/>
      <c r="C191" s="1430"/>
      <c r="D191" s="1376"/>
      <c r="E191" s="1376"/>
      <c r="F191" s="1376"/>
      <c r="G191" s="1377"/>
      <c r="H191" s="1377"/>
      <c r="I191" s="1377"/>
      <c r="J191" s="1376"/>
      <c r="K191" s="1376"/>
      <c r="L191" s="1377"/>
      <c r="M191" s="1377"/>
      <c r="N191" s="1377"/>
      <c r="O191" s="1377"/>
      <c r="P191" s="1376"/>
      <c r="Q191" s="1376"/>
      <c r="R191" s="1377"/>
      <c r="S191" s="1377"/>
      <c r="T191" s="1377"/>
      <c r="U191" s="1377"/>
      <c r="V191" s="1376"/>
      <c r="W191" s="1376"/>
      <c r="X191" s="1377"/>
      <c r="Y191" s="1376"/>
      <c r="Z191" s="1376"/>
      <c r="AA191" s="1378"/>
    </row>
    <row r="192" spans="1:27">
      <c r="A192" s="1377"/>
      <c r="B192" s="1377"/>
      <c r="C192" s="1430"/>
      <c r="D192" s="1376"/>
      <c r="E192" s="1376"/>
      <c r="F192" s="1376"/>
      <c r="G192" s="1377"/>
      <c r="H192" s="1377"/>
      <c r="I192" s="1377"/>
      <c r="J192" s="1376"/>
      <c r="K192" s="1376"/>
      <c r="L192" s="1377"/>
      <c r="M192" s="1377"/>
      <c r="N192" s="1377"/>
      <c r="O192" s="1377"/>
      <c r="P192" s="1376"/>
      <c r="Q192" s="1376"/>
      <c r="R192" s="1377"/>
      <c r="S192" s="1377"/>
      <c r="T192" s="1377"/>
      <c r="U192" s="1377"/>
      <c r="V192" s="1376"/>
      <c r="W192" s="1376"/>
      <c r="X192" s="1377"/>
      <c r="Y192" s="1376"/>
      <c r="Z192" s="1376"/>
      <c r="AA192" s="1378"/>
    </row>
    <row r="193" spans="1:27">
      <c r="A193" s="1377"/>
      <c r="B193" s="1377"/>
      <c r="C193" s="1430"/>
      <c r="D193" s="1376"/>
      <c r="E193" s="1376"/>
      <c r="F193" s="1376"/>
      <c r="G193" s="1377"/>
      <c r="H193" s="1377"/>
      <c r="I193" s="1377"/>
      <c r="J193" s="1376"/>
      <c r="K193" s="1376"/>
      <c r="L193" s="1377"/>
      <c r="M193" s="1377"/>
      <c r="N193" s="1377"/>
      <c r="O193" s="1377"/>
      <c r="P193" s="1376"/>
      <c r="Q193" s="1376"/>
      <c r="R193" s="1377"/>
      <c r="S193" s="1377"/>
      <c r="T193" s="1377"/>
      <c r="U193" s="1377"/>
      <c r="V193" s="1376"/>
      <c r="W193" s="1376"/>
      <c r="X193" s="1377"/>
      <c r="Y193" s="1376"/>
      <c r="Z193" s="1376"/>
      <c r="AA193" s="1378"/>
    </row>
    <row r="194" spans="1:27">
      <c r="A194" s="1377"/>
      <c r="B194" s="1377"/>
      <c r="C194" s="1430"/>
      <c r="D194" s="1376"/>
      <c r="E194" s="1376"/>
      <c r="F194" s="1376"/>
      <c r="G194" s="1377"/>
      <c r="H194" s="1377"/>
      <c r="I194" s="1377"/>
      <c r="J194" s="1376"/>
      <c r="K194" s="1376"/>
      <c r="L194" s="1377"/>
      <c r="M194" s="1377"/>
      <c r="N194" s="1377"/>
      <c r="O194" s="1377"/>
      <c r="P194" s="1376"/>
      <c r="Q194" s="1376"/>
      <c r="R194" s="1377"/>
      <c r="S194" s="1377"/>
      <c r="T194" s="1377"/>
      <c r="U194" s="1377"/>
      <c r="V194" s="1376"/>
      <c r="W194" s="1376"/>
      <c r="X194" s="1377"/>
      <c r="Y194" s="1376"/>
      <c r="Z194" s="1376"/>
      <c r="AA194" s="1378"/>
    </row>
    <row r="195" spans="1:27">
      <c r="A195" s="1377"/>
      <c r="B195" s="1377"/>
      <c r="C195" s="1430"/>
      <c r="D195" s="1376"/>
      <c r="E195" s="1376"/>
      <c r="F195" s="1376"/>
      <c r="G195" s="1377"/>
      <c r="H195" s="1377"/>
      <c r="I195" s="1377"/>
      <c r="J195" s="1376"/>
      <c r="K195" s="1376"/>
      <c r="L195" s="1377"/>
      <c r="M195" s="1377"/>
      <c r="N195" s="1377"/>
      <c r="O195" s="1377"/>
      <c r="P195" s="1376"/>
      <c r="Q195" s="1376"/>
      <c r="R195" s="1377"/>
      <c r="S195" s="1377"/>
      <c r="T195" s="1377"/>
      <c r="U195" s="1377"/>
      <c r="V195" s="1376"/>
      <c r="W195" s="1376"/>
      <c r="X195" s="1377"/>
      <c r="Y195" s="1376"/>
      <c r="Z195" s="1376"/>
      <c r="AA195" s="1378"/>
    </row>
    <row r="196" spans="1:27">
      <c r="A196" s="1377"/>
      <c r="B196" s="1377"/>
      <c r="C196" s="1430"/>
      <c r="D196" s="1376"/>
      <c r="E196" s="1376"/>
      <c r="F196" s="1376"/>
      <c r="G196" s="1377"/>
      <c r="H196" s="1377"/>
      <c r="I196" s="1377"/>
      <c r="J196" s="1376"/>
      <c r="K196" s="1376"/>
      <c r="L196" s="1377"/>
      <c r="M196" s="1377"/>
      <c r="N196" s="1377"/>
      <c r="O196" s="1377"/>
      <c r="P196" s="1376"/>
      <c r="Q196" s="1376"/>
      <c r="R196" s="1377"/>
      <c r="S196" s="1377"/>
      <c r="T196" s="1377"/>
      <c r="U196" s="1377"/>
      <c r="V196" s="1376"/>
      <c r="W196" s="1376"/>
      <c r="X196" s="1377"/>
      <c r="Y196" s="1376"/>
      <c r="Z196" s="1376"/>
      <c r="AA196" s="1378"/>
    </row>
    <row r="197" spans="1:27">
      <c r="A197" s="1377"/>
      <c r="B197" s="1377"/>
      <c r="C197" s="1430"/>
      <c r="D197" s="1376"/>
      <c r="E197" s="1376"/>
      <c r="F197" s="1376"/>
      <c r="G197" s="1377"/>
      <c r="H197" s="1377"/>
      <c r="I197" s="1377"/>
      <c r="J197" s="1376"/>
      <c r="K197" s="1376"/>
      <c r="L197" s="1377"/>
      <c r="M197" s="1377"/>
      <c r="N197" s="1377"/>
      <c r="O197" s="1377"/>
      <c r="P197" s="1376"/>
      <c r="Q197" s="1376"/>
      <c r="R197" s="1377"/>
      <c r="S197" s="1377"/>
      <c r="T197" s="1377"/>
      <c r="U197" s="1377"/>
      <c r="V197" s="1376"/>
      <c r="W197" s="1376"/>
      <c r="X197" s="1377"/>
      <c r="Y197" s="1376"/>
      <c r="Z197" s="1376"/>
      <c r="AA197" s="1378"/>
    </row>
    <row r="198" spans="1:27">
      <c r="A198" s="1377"/>
      <c r="B198" s="1377"/>
      <c r="C198" s="1430"/>
      <c r="D198" s="1376"/>
      <c r="E198" s="1376"/>
      <c r="F198" s="1376"/>
      <c r="G198" s="1377"/>
      <c r="H198" s="1377"/>
      <c r="I198" s="1377"/>
      <c r="J198" s="1376"/>
      <c r="K198" s="1376"/>
      <c r="L198" s="1377"/>
      <c r="M198" s="1377"/>
      <c r="N198" s="1377"/>
      <c r="O198" s="1377"/>
      <c r="P198" s="1376"/>
      <c r="Q198" s="1376"/>
      <c r="R198" s="1377"/>
      <c r="S198" s="1377"/>
      <c r="T198" s="1377"/>
      <c r="U198" s="1377"/>
      <c r="V198" s="1376"/>
      <c r="W198" s="1376"/>
      <c r="X198" s="1377"/>
      <c r="Y198" s="1376"/>
      <c r="Z198" s="1376"/>
      <c r="AA198" s="1378"/>
    </row>
    <row r="199" spans="1:27">
      <c r="A199" s="1377"/>
      <c r="B199" s="1377"/>
      <c r="C199" s="1430"/>
      <c r="D199" s="1376"/>
      <c r="E199" s="1376"/>
      <c r="F199" s="1376"/>
      <c r="G199" s="1377"/>
      <c r="H199" s="1377"/>
      <c r="I199" s="1377"/>
      <c r="J199" s="1376"/>
      <c r="K199" s="1376"/>
      <c r="L199" s="1377"/>
      <c r="M199" s="1377"/>
      <c r="N199" s="1377"/>
      <c r="O199" s="1377"/>
      <c r="P199" s="1376"/>
      <c r="Q199" s="1376"/>
      <c r="R199" s="1377"/>
      <c r="S199" s="1377"/>
      <c r="T199" s="1377"/>
      <c r="U199" s="1377"/>
      <c r="V199" s="1376"/>
      <c r="W199" s="1376"/>
      <c r="X199" s="1377"/>
      <c r="Y199" s="1376"/>
      <c r="Z199" s="1376"/>
      <c r="AA199" s="1378"/>
    </row>
    <row r="200" spans="1:27">
      <c r="A200" s="1377"/>
      <c r="B200" s="1377"/>
      <c r="C200" s="1430"/>
      <c r="D200" s="1376"/>
      <c r="E200" s="1376"/>
      <c r="F200" s="1376"/>
      <c r="G200" s="1377"/>
      <c r="H200" s="1377"/>
      <c r="I200" s="1377"/>
      <c r="J200" s="1376"/>
      <c r="K200" s="1376"/>
      <c r="L200" s="1377"/>
      <c r="M200" s="1377"/>
      <c r="N200" s="1377"/>
      <c r="O200" s="1377"/>
      <c r="P200" s="1376"/>
      <c r="Q200" s="1376"/>
      <c r="R200" s="1377"/>
      <c r="S200" s="1377"/>
      <c r="T200" s="1377"/>
      <c r="U200" s="1377"/>
      <c r="V200" s="1376"/>
      <c r="W200" s="1376"/>
      <c r="X200" s="1377"/>
      <c r="Y200" s="1376"/>
      <c r="Z200" s="1376"/>
      <c r="AA200" s="1378"/>
    </row>
    <row r="201" spans="1:27">
      <c r="A201" s="1377"/>
      <c r="B201" s="1377"/>
      <c r="C201" s="1430"/>
      <c r="D201" s="1376"/>
      <c r="E201" s="1376"/>
      <c r="F201" s="1376"/>
      <c r="G201" s="1377"/>
      <c r="H201" s="1377"/>
      <c r="I201" s="1377"/>
      <c r="J201" s="1376"/>
      <c r="K201" s="1376"/>
      <c r="L201" s="1377"/>
      <c r="M201" s="1377"/>
      <c r="N201" s="1377"/>
      <c r="O201" s="1377"/>
      <c r="P201" s="1376"/>
      <c r="Q201" s="1376"/>
      <c r="R201" s="1377"/>
      <c r="S201" s="1377"/>
      <c r="T201" s="1377"/>
      <c r="U201" s="1377"/>
      <c r="V201" s="1376"/>
      <c r="W201" s="1376"/>
      <c r="X201" s="1377"/>
      <c r="Y201" s="1376"/>
      <c r="Z201" s="1376"/>
      <c r="AA201" s="1378"/>
    </row>
    <row r="202" spans="1:27">
      <c r="A202" s="1377"/>
      <c r="B202" s="1377"/>
      <c r="C202" s="1430"/>
      <c r="D202" s="1376"/>
      <c r="E202" s="1376"/>
      <c r="F202" s="1376"/>
      <c r="G202" s="1377"/>
      <c r="H202" s="1377"/>
      <c r="I202" s="1377"/>
      <c r="J202" s="1376"/>
      <c r="K202" s="1376"/>
      <c r="L202" s="1377"/>
      <c r="M202" s="1377"/>
      <c r="N202" s="1377"/>
      <c r="O202" s="1377"/>
      <c r="P202" s="1376"/>
      <c r="Q202" s="1376"/>
      <c r="R202" s="1377"/>
      <c r="S202" s="1377"/>
      <c r="T202" s="1377"/>
      <c r="U202" s="1377"/>
      <c r="V202" s="1376"/>
      <c r="W202" s="1376"/>
      <c r="X202" s="1377"/>
      <c r="Y202" s="1376"/>
      <c r="Z202" s="1376"/>
      <c r="AA202" s="1378"/>
    </row>
  </sheetData>
  <mergeCells count="50">
    <mergeCell ref="D3:F3"/>
    <mergeCell ref="G3:I3"/>
    <mergeCell ref="J3:L3"/>
    <mergeCell ref="M3:O3"/>
    <mergeCell ref="P3:R3"/>
    <mergeCell ref="S3:U3"/>
    <mergeCell ref="V3:X3"/>
    <mergeCell ref="Y3:AA3"/>
    <mergeCell ref="D4:F4"/>
    <mergeCell ref="G4:I4"/>
    <mergeCell ref="J4:L4"/>
    <mergeCell ref="M4:O4"/>
    <mergeCell ref="P4:R4"/>
    <mergeCell ref="S4:U4"/>
    <mergeCell ref="V4:X4"/>
    <mergeCell ref="Y4:AA4"/>
    <mergeCell ref="A6:C6"/>
    <mergeCell ref="B7:C7"/>
    <mergeCell ref="B55:C55"/>
    <mergeCell ref="D92:F92"/>
    <mergeCell ref="G92:I92"/>
    <mergeCell ref="J92:L92"/>
    <mergeCell ref="M92:O92"/>
    <mergeCell ref="P92:R92"/>
    <mergeCell ref="S92:U92"/>
    <mergeCell ref="V92:X92"/>
    <mergeCell ref="Y92:AA92"/>
    <mergeCell ref="D146:F146"/>
    <mergeCell ref="G146:I146"/>
    <mergeCell ref="J146:L146"/>
    <mergeCell ref="M146:O146"/>
    <mergeCell ref="P146:R146"/>
    <mergeCell ref="S146:U146"/>
    <mergeCell ref="V146:X146"/>
    <mergeCell ref="Y146:AA146"/>
    <mergeCell ref="A3:A5"/>
    <mergeCell ref="A7:A39"/>
    <mergeCell ref="A40:A77"/>
    <mergeCell ref="A78:A80"/>
    <mergeCell ref="A81:A87"/>
    <mergeCell ref="A149:A157"/>
    <mergeCell ref="B3:B5"/>
    <mergeCell ref="B8:B16"/>
    <mergeCell ref="B17:B26"/>
    <mergeCell ref="B27:B39"/>
    <mergeCell ref="B40:B54"/>
    <mergeCell ref="B56:B67"/>
    <mergeCell ref="B69:B77"/>
    <mergeCell ref="B78:B80"/>
    <mergeCell ref="C3:C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2"/>
  <sheetViews>
    <sheetView workbookViewId="0">
      <selection activeCell="A1" sqref="A1"/>
    </sheetView>
  </sheetViews>
  <sheetFormatPr defaultColWidth="9" defaultRowHeight="16.8"/>
  <cols>
    <col min="1" max="1" width="2" customWidth="1"/>
    <col min="2" max="2" width="20" customWidth="1"/>
    <col min="3" max="3" width="24.1153846153846" customWidth="1"/>
    <col min="4" max="4" width="19.8846153846154" customWidth="1"/>
    <col min="5" max="5" width="21.8846153846154" customWidth="1"/>
    <col min="6" max="6" width="15.3365384615385" customWidth="1"/>
    <col min="7" max="7" width="23.3365384615385" customWidth="1"/>
    <col min="8" max="8" width="18.4423076923077" customWidth="1"/>
    <col min="9" max="9" width="16.6634615384615" customWidth="1"/>
    <col min="10" max="10" width="20.8846153846154" customWidth="1"/>
    <col min="11" max="11" width="16.1153846153846" customWidth="1"/>
    <col min="12" max="12" width="27.4423076923077" customWidth="1"/>
    <col min="13" max="13" width="23.6634615384615" customWidth="1"/>
    <col min="14" max="14" width="19.8846153846154" customWidth="1"/>
    <col min="15" max="15" width="22.3365384615385" customWidth="1"/>
    <col min="16" max="16" width="24.4423076923077" customWidth="1"/>
    <col min="17" max="17" width="14" customWidth="1"/>
    <col min="18" max="18" width="19.3365384615385" customWidth="1"/>
    <col min="19" max="19" width="18.1153846153846" customWidth="1"/>
    <col min="20" max="20" width="11.3365384615385" customWidth="1"/>
    <col min="21" max="21" width="15.6634615384615" customWidth="1"/>
    <col min="22" max="22" width="18.4423076923077" customWidth="1"/>
    <col min="23" max="23" width="17.8846153846154" customWidth="1"/>
    <col min="24" max="24" width="16.6634615384615" customWidth="1"/>
    <col min="25" max="25" width="15.8846153846154" customWidth="1"/>
    <col min="26" max="26" width="17.4423076923077" customWidth="1"/>
    <col min="27" max="27" width="9.33653846153846" customWidth="1"/>
    <col min="28" max="28" width="16.4423076923077" customWidth="1"/>
    <col min="29" max="29" width="11.8846153846154" customWidth="1"/>
    <col min="30" max="30" width="16" customWidth="1"/>
  </cols>
  <sheetData>
    <row r="1" ht="34.05" customHeight="1" spans="1:29">
      <c r="A1" s="1139"/>
      <c r="B1" s="1140" t="s">
        <v>282</v>
      </c>
      <c r="K1" s="1139"/>
      <c r="L1" s="1139"/>
      <c r="M1" s="1139"/>
      <c r="N1" s="1139"/>
      <c r="O1" s="1139"/>
      <c r="P1" s="1139"/>
      <c r="Q1" s="1141"/>
      <c r="R1" s="1141"/>
      <c r="S1" s="1139"/>
      <c r="T1" s="1141"/>
      <c r="U1" s="1141"/>
      <c r="V1" s="1141"/>
      <c r="W1" s="1141"/>
      <c r="X1" s="1141"/>
      <c r="Y1" s="1141"/>
      <c r="Z1" s="1141"/>
      <c r="AA1" s="1139"/>
      <c r="AB1" s="1139"/>
      <c r="AC1" s="1139"/>
    </row>
    <row r="2" ht="13.2" customHeight="1" spans="1:29">
      <c r="A2" s="1139"/>
      <c r="B2" s="1142" t="s">
        <v>221</v>
      </c>
      <c r="C2" s="1143" t="s">
        <v>283</v>
      </c>
      <c r="D2" s="1144" t="s">
        <v>284</v>
      </c>
      <c r="E2" s="1145" t="s">
        <v>285</v>
      </c>
      <c r="F2" s="1145" t="s">
        <v>286</v>
      </c>
      <c r="G2" s="1144" t="s">
        <v>287</v>
      </c>
      <c r="H2" s="1146" t="s">
        <v>288</v>
      </c>
      <c r="I2" s="1147" t="s">
        <v>289</v>
      </c>
      <c r="J2" s="1148" t="s">
        <v>290</v>
      </c>
      <c r="K2" s="1149"/>
      <c r="L2" s="1148" t="s">
        <v>291</v>
      </c>
      <c r="M2" s="1149"/>
      <c r="N2" s="1148" t="s">
        <v>292</v>
      </c>
      <c r="O2" s="1149"/>
      <c r="P2" s="1143" t="s">
        <v>293</v>
      </c>
      <c r="Q2" s="1150" t="s">
        <v>294</v>
      </c>
      <c r="R2" s="1151" t="s">
        <v>295</v>
      </c>
      <c r="S2" s="1139"/>
      <c r="AA2" s="1139"/>
      <c r="AB2" s="1139"/>
      <c r="AC2" s="1139"/>
    </row>
    <row r="3" ht="19.5" customHeight="1" spans="1:29">
      <c r="A3" s="1139"/>
      <c r="B3" s="1152"/>
      <c r="C3" s="1153"/>
      <c r="D3" s="1153"/>
      <c r="E3" s="1153"/>
      <c r="F3" s="1153"/>
      <c r="G3" s="1153"/>
      <c r="H3" s="1153"/>
      <c r="I3" s="1153"/>
      <c r="J3" s="1154" t="s">
        <v>296</v>
      </c>
      <c r="K3" s="1154" t="s">
        <v>297</v>
      </c>
      <c r="L3" s="1155" t="s">
        <v>298</v>
      </c>
      <c r="M3" s="1155" t="s">
        <v>299</v>
      </c>
      <c r="N3" s="1155" t="s">
        <v>300</v>
      </c>
      <c r="O3" s="1154" t="s">
        <v>301</v>
      </c>
      <c r="P3" s="1153"/>
      <c r="Q3" s="1156"/>
      <c r="R3" s="1157"/>
      <c r="S3" s="1139"/>
      <c r="T3" s="1158" t="s">
        <v>302</v>
      </c>
      <c r="AB3" s="1159"/>
      <c r="AC3" s="1159"/>
    </row>
    <row r="4" ht="16.2" customHeight="1" spans="1:29">
      <c r="A4" s="1139"/>
      <c r="B4" s="1160"/>
      <c r="C4" s="1161"/>
      <c r="D4" s="1153"/>
      <c r="E4" s="1153"/>
      <c r="F4" s="1153"/>
      <c r="G4" s="1153"/>
      <c r="H4" s="1161"/>
      <c r="I4" s="1161"/>
      <c r="J4" s="1162"/>
      <c r="K4" s="1153"/>
      <c r="L4" s="1153"/>
      <c r="M4" s="1153"/>
      <c r="N4" s="1153"/>
      <c r="O4" s="1153"/>
      <c r="P4" s="1153"/>
      <c r="Q4" s="1156"/>
      <c r="R4" s="1157"/>
      <c r="S4" s="1139"/>
      <c r="T4" s="1163" t="s">
        <v>303</v>
      </c>
      <c r="U4" s="1164" t="s">
        <v>304</v>
      </c>
      <c r="V4" s="1164" t="s">
        <v>305</v>
      </c>
      <c r="W4" s="1164" t="s">
        <v>306</v>
      </c>
      <c r="X4" s="1164" t="s">
        <v>307</v>
      </c>
      <c r="Y4" s="1164" t="s">
        <v>143</v>
      </c>
      <c r="Z4" s="1164" t="s">
        <v>308</v>
      </c>
      <c r="AA4" s="1164" t="s">
        <v>309</v>
      </c>
      <c r="AB4" s="1164" t="s">
        <v>294</v>
      </c>
      <c r="AC4" s="1165" t="s">
        <v>310</v>
      </c>
    </row>
    <row r="5" ht="26.4" customHeight="1" spans="1:29">
      <c r="A5" s="1139"/>
      <c r="B5" s="1166" t="s">
        <v>311</v>
      </c>
      <c r="C5" s="1167" t="s">
        <v>312</v>
      </c>
      <c r="D5" s="1168"/>
      <c r="E5" s="1168"/>
      <c r="F5" s="1168"/>
      <c r="G5" s="1168"/>
      <c r="H5" s="1167"/>
      <c r="I5" s="1169" t="e">
        <f>H9*H5%</f>
        <v>#DIV/0!</v>
      </c>
      <c r="J5" s="1154" t="s">
        <v>313</v>
      </c>
      <c r="K5" s="1161"/>
      <c r="L5" s="1161"/>
      <c r="M5" s="1161"/>
      <c r="N5" s="1161"/>
      <c r="O5" s="1161"/>
      <c r="P5" s="1161"/>
      <c r="Q5" s="1170"/>
      <c r="R5" s="1171"/>
      <c r="S5" s="1139"/>
      <c r="T5" s="1172"/>
      <c r="U5" s="1173" t="s">
        <v>314</v>
      </c>
      <c r="V5" s="1173" t="s">
        <v>315</v>
      </c>
      <c r="W5" s="1173" t="s">
        <v>316</v>
      </c>
      <c r="X5" s="1173" t="s">
        <v>317</v>
      </c>
      <c r="Y5" s="1173" t="s">
        <v>318</v>
      </c>
      <c r="Z5" s="1173" t="s">
        <v>319</v>
      </c>
      <c r="AA5" s="1173"/>
      <c r="AB5" s="1174" t="e">
        <f>Q54</f>
        <v>#DIV/0!</v>
      </c>
      <c r="AC5" s="1175"/>
    </row>
    <row r="6" ht="22.65" customHeight="1" spans="1:29">
      <c r="A6" s="1139"/>
      <c r="B6" s="1160"/>
      <c r="C6" s="1167" t="s">
        <v>320</v>
      </c>
      <c r="D6" s="1176"/>
      <c r="E6" s="1176"/>
      <c r="F6" s="1176"/>
      <c r="G6" s="1176"/>
      <c r="H6" s="1153"/>
      <c r="I6" s="1153"/>
      <c r="J6" s="1177"/>
      <c r="K6" s="1178"/>
      <c r="L6" s="1167"/>
      <c r="M6" s="1167">
        <f>E6-E5</f>
        <v>0</v>
      </c>
      <c r="N6" s="1167"/>
      <c r="O6" s="1167"/>
      <c r="P6" s="1167"/>
      <c r="Q6" s="1179" t="e">
        <f>SUM(I5,J8,L8,N8)</f>
        <v>#DIV/0!</v>
      </c>
      <c r="R6" s="1180" t="e">
        <f>SUM(I5,J8,L8,N8,P6)</f>
        <v>#DIV/0!</v>
      </c>
      <c r="S6" s="1139"/>
      <c r="T6" s="1172"/>
      <c r="U6" s="1173" t="s">
        <v>314</v>
      </c>
      <c r="V6" s="1173" t="s">
        <v>315</v>
      </c>
      <c r="W6" s="1173" t="s">
        <v>321</v>
      </c>
      <c r="X6" s="1173" t="s">
        <v>317</v>
      </c>
      <c r="Y6" s="1173" t="s">
        <v>322</v>
      </c>
      <c r="Z6" s="1173" t="s">
        <v>319</v>
      </c>
      <c r="AA6" s="1173"/>
      <c r="AB6" s="1174" t="e">
        <f>Q46</f>
        <v>#DIV/0!</v>
      </c>
      <c r="AC6" s="1175"/>
    </row>
    <row r="7" ht="20.25" customHeight="1" spans="1:29">
      <c r="A7" s="1139"/>
      <c r="B7" s="1166" t="s">
        <v>323</v>
      </c>
      <c r="C7" s="1167" t="s">
        <v>324</v>
      </c>
      <c r="D7" s="1181" t="e">
        <f>D6/D5</f>
        <v>#DIV/0!</v>
      </c>
      <c r="E7" s="1181" t="e">
        <f>E6/E5</f>
        <v>#DIV/0!</v>
      </c>
      <c r="F7" s="1181" t="e">
        <f>F6/F5</f>
        <v>#DIV/0!</v>
      </c>
      <c r="G7" s="1181" t="e">
        <f>G6/G5</f>
        <v>#DIV/0!</v>
      </c>
      <c r="H7" s="1161"/>
      <c r="I7" s="1153"/>
      <c r="J7" s="1161"/>
      <c r="K7" s="1161"/>
      <c r="L7" s="1161"/>
      <c r="M7" s="1161"/>
      <c r="N7" s="1161"/>
      <c r="O7" s="1161"/>
      <c r="P7" s="1153"/>
      <c r="Q7" s="1156"/>
      <c r="R7" s="1157"/>
      <c r="S7" s="1139"/>
      <c r="T7" s="1172"/>
      <c r="U7" s="1173" t="s">
        <v>314</v>
      </c>
      <c r="V7" s="1173" t="s">
        <v>315</v>
      </c>
      <c r="W7" s="1173" t="s">
        <v>325</v>
      </c>
      <c r="X7" s="1173" t="s">
        <v>317</v>
      </c>
      <c r="Y7" s="1173" t="s">
        <v>326</v>
      </c>
      <c r="Z7" s="1173" t="s">
        <v>327</v>
      </c>
      <c r="AA7" s="1173"/>
      <c r="AB7" s="1174" t="e">
        <f>Q6</f>
        <v>#DIV/0!</v>
      </c>
      <c r="AC7" s="1175"/>
    </row>
    <row r="8" ht="20.25" customHeight="1" spans="1:29">
      <c r="A8" s="1139"/>
      <c r="B8" s="1160"/>
      <c r="C8" s="1167" t="s">
        <v>328</v>
      </c>
      <c r="D8" s="1167"/>
      <c r="E8" s="1167"/>
      <c r="F8" s="1167"/>
      <c r="G8" s="1167"/>
      <c r="H8" s="1167">
        <f>SUM(D8:G8)</f>
        <v>0</v>
      </c>
      <c r="I8" s="1153"/>
      <c r="J8" s="1167">
        <f>J6*K6</f>
        <v>0</v>
      </c>
      <c r="K8" s="1182"/>
      <c r="L8" s="1167">
        <f>_xlfn.IFS(M6&gt;=100,1000,M6&lt;=100,M6*L6)</f>
        <v>0</v>
      </c>
      <c r="M8" s="1182"/>
      <c r="N8" s="1167">
        <f>_xlfn.IFS(O6&gt;=5,500,O6&lt;=5,O6*N6)</f>
        <v>0</v>
      </c>
      <c r="O8" s="1182"/>
      <c r="P8" s="1153"/>
      <c r="Q8" s="1156"/>
      <c r="R8" s="1157"/>
      <c r="S8" s="1139"/>
      <c r="T8" s="1172"/>
      <c r="U8" s="1173" t="s">
        <v>329</v>
      </c>
      <c r="V8" s="1173" t="s">
        <v>330</v>
      </c>
      <c r="W8" s="1173" t="s">
        <v>325</v>
      </c>
      <c r="X8" s="1173" t="s">
        <v>317</v>
      </c>
      <c r="Y8" s="1173" t="s">
        <v>331</v>
      </c>
      <c r="Z8" s="1173" t="s">
        <v>332</v>
      </c>
      <c r="AA8" s="1173"/>
      <c r="AB8" s="1174" t="e">
        <f>Q25</f>
        <v>#DIV/0!</v>
      </c>
      <c r="AC8" s="1175"/>
    </row>
    <row r="9" ht="20.25" customHeight="1" spans="1:29">
      <c r="A9" s="1139"/>
      <c r="B9" s="1183" t="s">
        <v>326</v>
      </c>
      <c r="C9" s="1184" t="s">
        <v>333</v>
      </c>
      <c r="D9" s="1185" t="e">
        <f>IF(D7&gt;=100%,D8*1,D8*D7)</f>
        <v>#DIV/0!</v>
      </c>
      <c r="E9" s="1185" t="e">
        <f>IF(E7&gt;=100%,E8*1,E8*E7)</f>
        <v>#DIV/0!</v>
      </c>
      <c r="F9" s="1185" t="e">
        <f>IF(F7&gt;=100%,F8*1,F8*F7)</f>
        <v>#DIV/0!</v>
      </c>
      <c r="G9" s="1185" t="e">
        <f>IF(G7&gt;=100%,G8*1,G8*G7)</f>
        <v>#DIV/0!</v>
      </c>
      <c r="H9" s="1185" t="e">
        <f>SUM(D9:G9)</f>
        <v>#DIV/0!</v>
      </c>
      <c r="I9" s="1161"/>
      <c r="J9" s="1170"/>
      <c r="K9" s="1186"/>
      <c r="L9" s="1170"/>
      <c r="M9" s="1186"/>
      <c r="N9" s="1170"/>
      <c r="O9" s="1186"/>
      <c r="P9" s="1161"/>
      <c r="Q9" s="1187"/>
      <c r="R9" s="1171"/>
      <c r="S9" s="1139"/>
      <c r="T9" s="1172"/>
      <c r="U9" s="1173" t="s">
        <v>329</v>
      </c>
      <c r="V9" s="1173" t="s">
        <v>330</v>
      </c>
      <c r="W9" s="1173" t="s">
        <v>325</v>
      </c>
      <c r="X9" s="1173" t="s">
        <v>317</v>
      </c>
      <c r="Y9" s="1173" t="s">
        <v>334</v>
      </c>
      <c r="Z9" s="1173" t="s">
        <v>332</v>
      </c>
      <c r="AA9" s="1173"/>
      <c r="AB9" s="1174" t="e">
        <f>Q34</f>
        <v>#DIV/0!</v>
      </c>
      <c r="AC9" s="1175"/>
    </row>
    <row r="10" ht="16.35" customHeight="1" spans="1:29">
      <c r="A10" s="1139"/>
      <c r="B10" s="1188"/>
      <c r="C10" s="1188"/>
      <c r="D10" s="1188"/>
      <c r="E10" s="1189"/>
      <c r="F10" s="1189"/>
      <c r="G10" s="1188"/>
      <c r="H10" s="1189"/>
      <c r="I10" s="1188"/>
      <c r="J10" s="1188"/>
      <c r="K10" s="1188"/>
      <c r="L10" s="1188"/>
      <c r="M10" s="1188"/>
      <c r="N10" s="1188"/>
      <c r="O10" s="1188"/>
      <c r="P10" s="1188"/>
      <c r="Q10" s="1188"/>
      <c r="R10" s="1188"/>
      <c r="S10" s="1139"/>
      <c r="T10" s="1172"/>
      <c r="U10" s="1173" t="s">
        <v>314</v>
      </c>
      <c r="V10" s="1173" t="s">
        <v>315</v>
      </c>
      <c r="W10" s="1173" t="s">
        <v>325</v>
      </c>
      <c r="X10" s="1173" t="s">
        <v>317</v>
      </c>
      <c r="Y10" s="1173" t="s">
        <v>335</v>
      </c>
      <c r="Z10" s="1173" t="s">
        <v>336</v>
      </c>
      <c r="AA10" s="1173"/>
      <c r="AB10" s="1174" t="e">
        <f>Q15</f>
        <v>#DIV/0!</v>
      </c>
      <c r="AC10" s="1175"/>
    </row>
    <row r="11" ht="15.45" customHeight="1" spans="1:29">
      <c r="A11" s="1139"/>
      <c r="B11" s="1142" t="s">
        <v>221</v>
      </c>
      <c r="C11" s="1143" t="s">
        <v>283</v>
      </c>
      <c r="D11" s="1144" t="s">
        <v>284</v>
      </c>
      <c r="E11" s="1145" t="s">
        <v>285</v>
      </c>
      <c r="F11" s="1145" t="s">
        <v>286</v>
      </c>
      <c r="G11" s="1190" t="s">
        <v>337</v>
      </c>
      <c r="H11" s="1146" t="s">
        <v>288</v>
      </c>
      <c r="I11" s="1147" t="s">
        <v>289</v>
      </c>
      <c r="J11" s="1148" t="s">
        <v>290</v>
      </c>
      <c r="K11" s="1149"/>
      <c r="L11" s="1148" t="s">
        <v>291</v>
      </c>
      <c r="M11" s="1149"/>
      <c r="N11" s="1148" t="s">
        <v>292</v>
      </c>
      <c r="O11" s="1149"/>
      <c r="P11" s="1143" t="s">
        <v>293</v>
      </c>
      <c r="Q11" s="1150" t="s">
        <v>294</v>
      </c>
      <c r="R11" s="1151" t="s">
        <v>295</v>
      </c>
      <c r="S11" s="1139"/>
      <c r="T11" s="1172"/>
      <c r="U11" s="1173" t="s">
        <v>314</v>
      </c>
      <c r="V11" s="1173"/>
      <c r="W11" s="1173" t="s">
        <v>338</v>
      </c>
      <c r="X11" s="1173" t="s">
        <v>339</v>
      </c>
      <c r="Y11" s="1173" t="s">
        <v>340</v>
      </c>
      <c r="Z11" s="1173" t="s">
        <v>319</v>
      </c>
      <c r="AA11" s="1173"/>
      <c r="AB11" s="1174"/>
      <c r="AC11" s="1175"/>
    </row>
    <row r="12" ht="15.45" customHeight="1" spans="1:29">
      <c r="A12" s="1139"/>
      <c r="B12" s="1152"/>
      <c r="C12" s="1153"/>
      <c r="D12" s="1153"/>
      <c r="E12" s="1153"/>
      <c r="F12" s="1153"/>
      <c r="G12" s="1153"/>
      <c r="H12" s="1153"/>
      <c r="I12" s="1153"/>
      <c r="J12" s="1154" t="s">
        <v>296</v>
      </c>
      <c r="K12" s="1154" t="s">
        <v>297</v>
      </c>
      <c r="L12" s="1155" t="s">
        <v>298</v>
      </c>
      <c r="M12" s="1155" t="s">
        <v>299</v>
      </c>
      <c r="N12" s="1155" t="s">
        <v>300</v>
      </c>
      <c r="O12" s="1154" t="s">
        <v>301</v>
      </c>
      <c r="P12" s="1153"/>
      <c r="Q12" s="1156"/>
      <c r="R12" s="1157"/>
      <c r="S12" s="1139"/>
      <c r="T12" s="1172"/>
      <c r="U12" s="1173"/>
      <c r="V12" s="1173"/>
      <c r="W12" s="1173"/>
      <c r="X12" s="1173"/>
      <c r="Y12" s="1173"/>
      <c r="Z12" s="1173"/>
      <c r="AA12" s="1173"/>
      <c r="AB12" s="1173"/>
      <c r="AC12" s="1175"/>
    </row>
    <row r="13" ht="15.45" customHeight="1" spans="1:29">
      <c r="A13" s="1139"/>
      <c r="B13" s="1160"/>
      <c r="C13" s="1161"/>
      <c r="D13" s="1153"/>
      <c r="E13" s="1153"/>
      <c r="F13" s="1153"/>
      <c r="G13" s="1153"/>
      <c r="H13" s="1161"/>
      <c r="I13" s="1161"/>
      <c r="J13" s="1191"/>
      <c r="K13" s="1153"/>
      <c r="L13" s="1153"/>
      <c r="M13" s="1153"/>
      <c r="N13" s="1153"/>
      <c r="O13" s="1153"/>
      <c r="P13" s="1153"/>
      <c r="Q13" s="1156"/>
      <c r="R13" s="1157"/>
      <c r="S13" s="1139"/>
      <c r="T13" s="1172"/>
      <c r="U13" s="1192"/>
      <c r="V13" s="1192"/>
      <c r="W13" s="1192"/>
      <c r="X13" s="1192"/>
      <c r="Y13" s="1192"/>
      <c r="Z13" s="1192"/>
      <c r="AA13" s="1192"/>
      <c r="AB13" s="1192"/>
      <c r="AC13" s="1175"/>
    </row>
    <row r="14" ht="24" customHeight="1" spans="1:29">
      <c r="A14" s="1139"/>
      <c r="B14" s="1166" t="s">
        <v>311</v>
      </c>
      <c r="C14" s="1167" t="s">
        <v>312</v>
      </c>
      <c r="D14" s="1168"/>
      <c r="E14" s="1168"/>
      <c r="F14" s="1168"/>
      <c r="G14" s="1168"/>
      <c r="H14" s="1167"/>
      <c r="I14" s="1169" t="e">
        <f>H18*H14%</f>
        <v>#DIV/0!</v>
      </c>
      <c r="J14" s="1154" t="s">
        <v>341</v>
      </c>
      <c r="K14" s="1161"/>
      <c r="L14" s="1161"/>
      <c r="M14" s="1161"/>
      <c r="N14" s="1161"/>
      <c r="O14" s="1161"/>
      <c r="P14" s="1161"/>
      <c r="Q14" s="1170"/>
      <c r="R14" s="1171"/>
      <c r="S14" s="1139"/>
      <c r="T14" s="1172"/>
      <c r="U14" s="1192"/>
      <c r="V14" s="1192"/>
      <c r="W14" s="1192"/>
      <c r="X14" s="1192"/>
      <c r="Y14" s="1192"/>
      <c r="Z14" s="1192"/>
      <c r="AA14" s="1192"/>
      <c r="AB14" s="1192"/>
      <c r="AC14" s="1175"/>
    </row>
    <row r="15" ht="19.5" customHeight="1" spans="1:29">
      <c r="A15" s="1139"/>
      <c r="B15" s="1160"/>
      <c r="C15" s="1167" t="s">
        <v>320</v>
      </c>
      <c r="D15" s="1176"/>
      <c r="E15" s="1176"/>
      <c r="F15" s="1176"/>
      <c r="G15" s="1176"/>
      <c r="H15" s="1153"/>
      <c r="I15" s="1153"/>
      <c r="J15" s="1177"/>
      <c r="K15" s="1178"/>
      <c r="L15" s="1167"/>
      <c r="M15" s="1167">
        <f>E15-E14</f>
        <v>0</v>
      </c>
      <c r="N15" s="1167"/>
      <c r="O15" s="1167"/>
      <c r="P15" s="1167"/>
      <c r="Q15" s="1179" t="e">
        <f>SUM(I14,J17,L17,N17)</f>
        <v>#DIV/0!</v>
      </c>
      <c r="R15" s="1180" t="e">
        <f>SUM(I14,J17,L17,N17,P15)</f>
        <v>#DIV/0!</v>
      </c>
      <c r="S15" s="1139"/>
      <c r="T15" s="1172"/>
      <c r="U15" s="1192"/>
      <c r="V15" s="1192"/>
      <c r="W15" s="1192"/>
      <c r="X15" s="1192"/>
      <c r="Y15" s="1192"/>
      <c r="Z15" s="1192"/>
      <c r="AA15" s="1192"/>
      <c r="AB15" s="1192"/>
      <c r="AC15" s="1175"/>
    </row>
    <row r="16" ht="15.45" customHeight="1" spans="1:29">
      <c r="A16" s="1139"/>
      <c r="B16" s="1193" t="s">
        <v>323</v>
      </c>
      <c r="C16" s="1167" t="s">
        <v>324</v>
      </c>
      <c r="D16" s="1181" t="e">
        <f>D15/D14</f>
        <v>#DIV/0!</v>
      </c>
      <c r="E16" s="1181" t="e">
        <f>E15/E14</f>
        <v>#DIV/0!</v>
      </c>
      <c r="F16" s="1181" t="e">
        <f>F15/F14</f>
        <v>#DIV/0!</v>
      </c>
      <c r="G16" s="1181" t="e">
        <f>G15/G14</f>
        <v>#DIV/0!</v>
      </c>
      <c r="H16" s="1161"/>
      <c r="I16" s="1153"/>
      <c r="J16" s="1161"/>
      <c r="K16" s="1161"/>
      <c r="L16" s="1161"/>
      <c r="M16" s="1161"/>
      <c r="N16" s="1161"/>
      <c r="O16" s="1161"/>
      <c r="P16" s="1153"/>
      <c r="Q16" s="1156"/>
      <c r="R16" s="1157"/>
      <c r="S16" s="1139"/>
      <c r="T16" s="1172"/>
      <c r="U16" s="1192"/>
      <c r="V16" s="1192"/>
      <c r="W16" s="1192"/>
      <c r="X16" s="1192"/>
      <c r="Y16" s="1192"/>
      <c r="Z16" s="1192"/>
      <c r="AA16" s="1192"/>
      <c r="AB16" s="1192"/>
      <c r="AC16" s="1194"/>
    </row>
    <row r="17" ht="15.45" customHeight="1" spans="1:29">
      <c r="A17" s="1139"/>
      <c r="B17" s="1160"/>
      <c r="C17" s="1167" t="s">
        <v>328</v>
      </c>
      <c r="D17" s="1167"/>
      <c r="E17" s="1167"/>
      <c r="F17" s="1167"/>
      <c r="G17" s="1167"/>
      <c r="H17" s="1167">
        <f>SUM(D17:G17)</f>
        <v>0</v>
      </c>
      <c r="I17" s="1153"/>
      <c r="J17" s="1167">
        <f>J15*K15</f>
        <v>0</v>
      </c>
      <c r="K17" s="1182"/>
      <c r="L17" s="1167">
        <f>_xlfn.IFS(M15&gt;=100,1000,M15&lt;=100,M15*L15)</f>
        <v>0</v>
      </c>
      <c r="M17" s="1182"/>
      <c r="N17" s="1167">
        <f>_xlfn.IFS(O15&gt;=5,500,O15&lt;=5,O15*N15)</f>
        <v>0</v>
      </c>
      <c r="O17" s="1182"/>
      <c r="P17" s="1153"/>
      <c r="Q17" s="1156"/>
      <c r="R17" s="1157"/>
      <c r="S17" s="1139"/>
      <c r="T17" s="1172"/>
      <c r="U17" s="1192"/>
      <c r="V17" s="1192"/>
      <c r="W17" s="1192"/>
      <c r="X17" s="1192"/>
      <c r="Y17" s="1192"/>
      <c r="Z17" s="1192"/>
      <c r="AA17" s="1192"/>
      <c r="AB17" s="1192"/>
      <c r="AC17" s="1175"/>
    </row>
    <row r="18" ht="15.45" customHeight="1" spans="1:29">
      <c r="A18" s="1139"/>
      <c r="B18" s="1183" t="s">
        <v>335</v>
      </c>
      <c r="C18" s="1184" t="s">
        <v>333</v>
      </c>
      <c r="D18" s="1184" t="e">
        <f>IF(D16&gt;=100%,D17*1,D17*D16)</f>
        <v>#DIV/0!</v>
      </c>
      <c r="E18" s="1185" t="e">
        <f>IF(E16&gt;=100%,E17*1,E17*E16)</f>
        <v>#DIV/0!</v>
      </c>
      <c r="F18" s="1185" t="e">
        <f>IF(F16&gt;=100%,F17*1,F17*F16)</f>
        <v>#DIV/0!</v>
      </c>
      <c r="G18" s="1195" t="e">
        <f>IF(G16&gt;=100%,G17*1,G17*G16)</f>
        <v>#DIV/0!</v>
      </c>
      <c r="H18" s="1185" t="e">
        <f>SUM(D18:G18)</f>
        <v>#DIV/0!</v>
      </c>
      <c r="I18" s="1161"/>
      <c r="J18" s="1170"/>
      <c r="K18" s="1186"/>
      <c r="L18" s="1170"/>
      <c r="M18" s="1186"/>
      <c r="N18" s="1170"/>
      <c r="O18" s="1186"/>
      <c r="P18" s="1161"/>
      <c r="Q18" s="1187"/>
      <c r="R18" s="1171"/>
      <c r="S18" s="1139"/>
      <c r="T18" s="1172"/>
      <c r="U18" s="1192"/>
      <c r="V18" s="1192"/>
      <c r="W18" s="1192"/>
      <c r="X18" s="1192"/>
      <c r="Y18" s="1192"/>
      <c r="Z18" s="1192"/>
      <c r="AA18" s="1192"/>
      <c r="AB18" s="1192"/>
      <c r="AC18" s="1175"/>
    </row>
    <row r="19" ht="15.6" customHeight="1" spans="1:29">
      <c r="A19" s="1139"/>
      <c r="B19" s="1188"/>
      <c r="C19" s="1188"/>
      <c r="D19" s="1188"/>
      <c r="E19" s="1189"/>
      <c r="F19" s="1189"/>
      <c r="G19" s="1188"/>
      <c r="H19" s="1189"/>
      <c r="I19" s="1188"/>
      <c r="J19" s="1188"/>
      <c r="K19" s="1188"/>
      <c r="L19" s="1188"/>
      <c r="M19" s="1188"/>
      <c r="N19" s="1188"/>
      <c r="O19" s="1188"/>
      <c r="P19" s="1188"/>
      <c r="Q19" s="1188"/>
      <c r="R19" s="1188"/>
      <c r="S19" s="1139"/>
      <c r="T19" s="1172"/>
      <c r="U19" s="1192"/>
      <c r="V19" s="1192"/>
      <c r="W19" s="1192"/>
      <c r="X19" s="1192"/>
      <c r="Y19" s="1192"/>
      <c r="Z19" s="1192"/>
      <c r="AA19" s="1192"/>
      <c r="AB19" s="1192"/>
      <c r="AC19" s="1196"/>
    </row>
    <row r="20" ht="16.35" customHeight="1" spans="1:29">
      <c r="A20" s="1139"/>
      <c r="B20" s="1188"/>
      <c r="C20" s="1188"/>
      <c r="D20" s="1188"/>
      <c r="E20" s="1189"/>
      <c r="F20" s="1189"/>
      <c r="G20" s="1188"/>
      <c r="H20" s="1189"/>
      <c r="I20" s="1188"/>
      <c r="J20" s="1188"/>
      <c r="K20" s="1188"/>
      <c r="L20" s="1188"/>
      <c r="M20" s="1188"/>
      <c r="N20" s="1188"/>
      <c r="O20" s="1188"/>
      <c r="P20" s="1188"/>
      <c r="Q20" s="1188"/>
      <c r="R20" s="1188"/>
      <c r="S20" s="1139"/>
      <c r="T20" s="1172"/>
      <c r="U20" s="1192"/>
      <c r="V20" s="1192"/>
      <c r="W20" s="1192"/>
      <c r="X20" s="1192"/>
      <c r="Y20" s="1192"/>
      <c r="Z20" s="1192"/>
      <c r="AA20" s="1192"/>
      <c r="AB20" s="1192"/>
      <c r="AC20" s="1197"/>
    </row>
    <row r="21" ht="15.6" customHeight="1" spans="1:29">
      <c r="A21" s="1139"/>
      <c r="B21" s="1142" t="s">
        <v>221</v>
      </c>
      <c r="C21" s="1143" t="s">
        <v>283</v>
      </c>
      <c r="D21" s="1144" t="s">
        <v>284</v>
      </c>
      <c r="E21" s="1145" t="s">
        <v>285</v>
      </c>
      <c r="F21" s="1145" t="s">
        <v>286</v>
      </c>
      <c r="G21" s="1144" t="s">
        <v>287</v>
      </c>
      <c r="H21" s="1146" t="s">
        <v>288</v>
      </c>
      <c r="I21" s="1147" t="s">
        <v>289</v>
      </c>
      <c r="J21" s="1148" t="s">
        <v>290</v>
      </c>
      <c r="K21" s="1149"/>
      <c r="L21" s="1148" t="s">
        <v>291</v>
      </c>
      <c r="M21" s="1149"/>
      <c r="N21" s="1148" t="s">
        <v>292</v>
      </c>
      <c r="O21" s="1149"/>
      <c r="P21" s="1143" t="s">
        <v>293</v>
      </c>
      <c r="Q21" s="1150" t="s">
        <v>294</v>
      </c>
      <c r="R21" s="1151" t="s">
        <v>295</v>
      </c>
      <c r="S21" s="1139"/>
      <c r="T21" s="1172"/>
      <c r="U21" s="1192"/>
      <c r="V21" s="1192"/>
      <c r="W21" s="1192"/>
      <c r="X21" s="1192"/>
      <c r="Y21" s="1192"/>
      <c r="Z21" s="1173"/>
      <c r="AA21" s="1192"/>
      <c r="AB21" s="1198"/>
      <c r="AC21" s="1196"/>
    </row>
    <row r="22" ht="15.6" customHeight="1" spans="1:29">
      <c r="A22" s="1139"/>
      <c r="B22" s="1152"/>
      <c r="C22" s="1153"/>
      <c r="D22" s="1153"/>
      <c r="E22" s="1153"/>
      <c r="F22" s="1153"/>
      <c r="G22" s="1153"/>
      <c r="H22" s="1153"/>
      <c r="I22" s="1153"/>
      <c r="J22" s="1154" t="s">
        <v>296</v>
      </c>
      <c r="K22" s="1154" t="s">
        <v>297</v>
      </c>
      <c r="L22" s="1155" t="s">
        <v>298</v>
      </c>
      <c r="M22" s="1155" t="s">
        <v>299</v>
      </c>
      <c r="N22" s="1155" t="s">
        <v>300</v>
      </c>
      <c r="O22" s="1154" t="s">
        <v>301</v>
      </c>
      <c r="P22" s="1153"/>
      <c r="Q22" s="1156"/>
      <c r="R22" s="1157"/>
      <c r="S22" s="1139"/>
      <c r="T22" s="1172"/>
      <c r="AC22" s="1196"/>
    </row>
    <row r="23" ht="16.35" customHeight="1" spans="1:29">
      <c r="A23" s="1139"/>
      <c r="B23" s="1160"/>
      <c r="C23" s="1161"/>
      <c r="D23" s="1153"/>
      <c r="E23" s="1153"/>
      <c r="F23" s="1153"/>
      <c r="G23" s="1153"/>
      <c r="H23" s="1161"/>
      <c r="I23" s="1161"/>
      <c r="J23" s="1162"/>
      <c r="K23" s="1153"/>
      <c r="L23" s="1153"/>
      <c r="M23" s="1153"/>
      <c r="N23" s="1153"/>
      <c r="O23" s="1153"/>
      <c r="P23" s="1153"/>
      <c r="Q23" s="1156"/>
      <c r="R23" s="1157"/>
      <c r="S23" s="1139"/>
      <c r="T23" s="1199"/>
      <c r="U23" s="1200"/>
      <c r="V23" s="1200"/>
      <c r="W23" s="1200"/>
      <c r="X23" s="1200"/>
      <c r="Y23" s="1200"/>
      <c r="Z23" s="1200"/>
      <c r="AA23" s="1200"/>
      <c r="AB23" s="1201"/>
      <c r="AC23" s="1202"/>
    </row>
    <row r="24" ht="24.75" customHeight="1" spans="1:29">
      <c r="A24" s="1139"/>
      <c r="B24" s="1166" t="s">
        <v>311</v>
      </c>
      <c r="C24" s="1167" t="s">
        <v>312</v>
      </c>
      <c r="D24" s="1168"/>
      <c r="E24" s="1168"/>
      <c r="F24" s="1168"/>
      <c r="G24" s="1168"/>
      <c r="H24" s="1167"/>
      <c r="I24" s="1169" t="e">
        <f>H28*H24%</f>
        <v>#DIV/0!</v>
      </c>
      <c r="J24" s="1154" t="s">
        <v>313</v>
      </c>
      <c r="K24" s="1161"/>
      <c r="L24" s="1161"/>
      <c r="M24" s="1161"/>
      <c r="N24" s="1161"/>
      <c r="O24" s="1161"/>
      <c r="P24" s="1161"/>
      <c r="Q24" s="1170"/>
      <c r="R24" s="1171"/>
      <c r="S24" s="1139"/>
      <c r="T24" s="1139"/>
      <c r="U24" s="1139"/>
      <c r="V24" s="1139"/>
      <c r="W24" s="1139"/>
      <c r="X24" s="1139"/>
      <c r="Y24" s="1139"/>
      <c r="Z24" s="1139"/>
      <c r="AA24" s="1139"/>
      <c r="AB24" s="1139"/>
      <c r="AC24" s="1139"/>
    </row>
    <row r="25" ht="19.5" customHeight="1" spans="1:29">
      <c r="A25" s="1139"/>
      <c r="B25" s="1160"/>
      <c r="C25" s="1167" t="s">
        <v>320</v>
      </c>
      <c r="D25" s="1176"/>
      <c r="E25" s="1176"/>
      <c r="F25" s="1176"/>
      <c r="G25" s="1176"/>
      <c r="H25" s="1153"/>
      <c r="I25" s="1153"/>
      <c r="J25" s="1177"/>
      <c r="K25" s="1178"/>
      <c r="L25" s="1167"/>
      <c r="M25" s="1167">
        <f>E25-E24</f>
        <v>0</v>
      </c>
      <c r="N25" s="1167"/>
      <c r="O25" s="1167">
        <f>D25-D24</f>
        <v>0</v>
      </c>
      <c r="P25" s="1167"/>
      <c r="Q25" s="1179" t="e">
        <f>SUM(I24,J27,L27,N27)</f>
        <v>#DIV/0!</v>
      </c>
      <c r="R25" s="1180" t="e">
        <f>SUM(I24,J27,L27,N27,P25)</f>
        <v>#DIV/0!</v>
      </c>
      <c r="S25" s="1139"/>
      <c r="T25" s="1139"/>
      <c r="U25" s="1139"/>
      <c r="V25" s="1139"/>
      <c r="W25" s="1139"/>
      <c r="X25" s="1139"/>
      <c r="Y25" s="1139"/>
      <c r="Z25" s="1139"/>
      <c r="AA25" s="1139"/>
      <c r="AB25" s="1139"/>
      <c r="AC25" s="1139"/>
    </row>
    <row r="26" ht="13.2" customHeight="1" spans="1:29">
      <c r="A26" s="1139"/>
      <c r="B26" s="1166" t="s">
        <v>342</v>
      </c>
      <c r="C26" s="1167" t="s">
        <v>324</v>
      </c>
      <c r="D26" s="1181" t="e">
        <f>D25/D24</f>
        <v>#DIV/0!</v>
      </c>
      <c r="E26" s="1181" t="e">
        <f>E25/E24</f>
        <v>#DIV/0!</v>
      </c>
      <c r="F26" s="1181" t="e">
        <f>F25/F24</f>
        <v>#DIV/0!</v>
      </c>
      <c r="G26" s="1181" t="e">
        <f>G25/G24</f>
        <v>#DIV/0!</v>
      </c>
      <c r="H26" s="1161"/>
      <c r="I26" s="1153"/>
      <c r="J26" s="1161"/>
      <c r="K26" s="1161"/>
      <c r="L26" s="1161"/>
      <c r="M26" s="1161"/>
      <c r="N26" s="1161"/>
      <c r="O26" s="1161"/>
      <c r="P26" s="1153"/>
      <c r="Q26" s="1156"/>
      <c r="R26" s="1157"/>
      <c r="S26" s="1139"/>
      <c r="T26" s="1139"/>
      <c r="U26" s="1139"/>
      <c r="V26" s="1139"/>
      <c r="W26" s="1139"/>
      <c r="X26" s="1139"/>
      <c r="Y26" s="1139"/>
      <c r="Z26" s="1139"/>
      <c r="AA26" s="1139"/>
      <c r="AB26" s="1139"/>
      <c r="AC26" s="1139"/>
    </row>
    <row r="27" ht="13.2" customHeight="1" spans="1:29">
      <c r="A27" s="1139"/>
      <c r="B27" s="1160"/>
      <c r="C27" s="1167" t="s">
        <v>328</v>
      </c>
      <c r="D27" s="1167"/>
      <c r="E27" s="1167"/>
      <c r="F27" s="1167"/>
      <c r="G27" s="1167"/>
      <c r="H27" s="1167">
        <f>SUM(D27:G27)</f>
        <v>0</v>
      </c>
      <c r="I27" s="1153"/>
      <c r="J27" s="1167">
        <f>J25*K25</f>
        <v>0</v>
      </c>
      <c r="K27" s="1182"/>
      <c r="L27" s="1167">
        <f>_xlfn.IFS(M25&gt;=100,1000,M25&lt;=100,M25*L25)</f>
        <v>0</v>
      </c>
      <c r="M27" s="1182"/>
      <c r="N27" s="1167">
        <f>_xlfn.IFS(O25&gt;=5,500,O25&lt;=5,O25*N25)</f>
        <v>0</v>
      </c>
      <c r="O27" s="1182"/>
      <c r="P27" s="1153"/>
      <c r="Q27" s="1156"/>
      <c r="R27" s="1157"/>
      <c r="S27" s="1139"/>
      <c r="T27" s="1139"/>
      <c r="U27" s="1139"/>
      <c r="V27" s="1139"/>
      <c r="W27" s="1139"/>
      <c r="X27" s="1139"/>
      <c r="Y27" s="1139"/>
      <c r="Z27" s="1139"/>
      <c r="AA27" s="1139"/>
      <c r="AB27" s="1139"/>
      <c r="AC27" s="1139"/>
    </row>
    <row r="28" ht="13.95" customHeight="1" spans="1:29">
      <c r="A28" s="1139"/>
      <c r="B28" s="1183" t="s">
        <v>331</v>
      </c>
      <c r="C28" s="1184" t="s">
        <v>333</v>
      </c>
      <c r="D28" s="1185" t="e">
        <f>IF(D26&gt;=100%,D27*1,D27*D26)</f>
        <v>#DIV/0!</v>
      </c>
      <c r="E28" s="1185" t="e">
        <f>IF(E26&gt;=100%,E27*1,E27*E26)</f>
        <v>#DIV/0!</v>
      </c>
      <c r="F28" s="1185" t="e">
        <f>IF(F26&gt;=100%,F27*1,F27*F26)</f>
        <v>#DIV/0!</v>
      </c>
      <c r="G28" s="1185" t="e">
        <f>IF(G26&gt;=100%,G27*1,G27*G26)</f>
        <v>#DIV/0!</v>
      </c>
      <c r="H28" s="1185" t="e">
        <f>SUM(D28:G28)</f>
        <v>#DIV/0!</v>
      </c>
      <c r="I28" s="1161"/>
      <c r="J28" s="1170"/>
      <c r="K28" s="1186"/>
      <c r="L28" s="1170"/>
      <c r="M28" s="1186"/>
      <c r="N28" s="1170"/>
      <c r="O28" s="1186"/>
      <c r="P28" s="1161"/>
      <c r="Q28" s="1187"/>
      <c r="R28" s="1171"/>
      <c r="S28" s="1139"/>
      <c r="T28" s="1139"/>
      <c r="U28" s="1139"/>
      <c r="V28" s="1139"/>
      <c r="W28" s="1139"/>
      <c r="X28" s="1139"/>
      <c r="Y28" s="1139"/>
      <c r="Z28" s="1139"/>
      <c r="AA28" s="1139"/>
      <c r="AB28" s="1139"/>
      <c r="AC28" s="1139"/>
    </row>
    <row r="29" ht="13.95" customHeight="1" spans="1:29">
      <c r="A29" s="1139"/>
      <c r="B29" s="1188"/>
      <c r="C29" s="1188"/>
      <c r="D29" s="1188"/>
      <c r="E29" s="1189"/>
      <c r="F29" s="1189"/>
      <c r="G29" s="1188"/>
      <c r="H29" s="1189"/>
      <c r="I29" s="1188"/>
      <c r="J29" s="1188"/>
      <c r="K29" s="1188"/>
      <c r="L29" s="1188"/>
      <c r="M29" s="1188"/>
      <c r="N29" s="1188"/>
      <c r="O29" s="1188"/>
      <c r="P29" s="1188"/>
      <c r="Q29" s="1188"/>
      <c r="R29" s="1188"/>
      <c r="S29" s="1139"/>
      <c r="T29" s="1139"/>
      <c r="U29" s="1139"/>
      <c r="V29" s="1139"/>
      <c r="W29" s="1139"/>
      <c r="X29" s="1139"/>
      <c r="Y29" s="1139"/>
      <c r="Z29" s="1139"/>
      <c r="AA29" s="1139"/>
      <c r="AB29" s="1139"/>
      <c r="AC29" s="1139"/>
    </row>
    <row r="30" ht="13.2" customHeight="1" spans="1:29">
      <c r="A30" s="1139"/>
      <c r="B30" s="1142" t="s">
        <v>221</v>
      </c>
      <c r="C30" s="1143" t="s">
        <v>283</v>
      </c>
      <c r="D30" s="1144" t="s">
        <v>284</v>
      </c>
      <c r="E30" s="1145" t="s">
        <v>285</v>
      </c>
      <c r="F30" s="1145" t="s">
        <v>286</v>
      </c>
      <c r="G30" s="1144" t="s">
        <v>287</v>
      </c>
      <c r="H30" s="1146" t="s">
        <v>288</v>
      </c>
      <c r="I30" s="1147" t="s">
        <v>289</v>
      </c>
      <c r="J30" s="1148" t="s">
        <v>290</v>
      </c>
      <c r="K30" s="1149"/>
      <c r="L30" s="1148" t="s">
        <v>291</v>
      </c>
      <c r="M30" s="1149"/>
      <c r="N30" s="1148" t="s">
        <v>292</v>
      </c>
      <c r="O30" s="1149"/>
      <c r="P30" s="1143" t="s">
        <v>293</v>
      </c>
      <c r="Q30" s="1150" t="s">
        <v>294</v>
      </c>
      <c r="R30" s="1151" t="s">
        <v>295</v>
      </c>
      <c r="S30" s="1139"/>
      <c r="T30" s="1139"/>
      <c r="U30" s="1139"/>
      <c r="V30" s="1139"/>
      <c r="W30" s="1139"/>
      <c r="X30" s="1139"/>
      <c r="Y30" s="1139"/>
      <c r="Z30" s="1139"/>
      <c r="AA30" s="1139"/>
      <c r="AB30" s="1139"/>
      <c r="AC30" s="1139"/>
    </row>
    <row r="31" ht="13.2" customHeight="1" spans="1:29">
      <c r="A31" s="1139"/>
      <c r="B31" s="1152"/>
      <c r="C31" s="1153"/>
      <c r="D31" s="1153"/>
      <c r="E31" s="1153"/>
      <c r="F31" s="1153"/>
      <c r="G31" s="1153"/>
      <c r="H31" s="1153"/>
      <c r="I31" s="1153"/>
      <c r="J31" s="1203" t="s">
        <v>296</v>
      </c>
      <c r="K31" s="1154" t="s">
        <v>297</v>
      </c>
      <c r="L31" s="1155" t="s">
        <v>298</v>
      </c>
      <c r="M31" s="1155" t="s">
        <v>299</v>
      </c>
      <c r="N31" s="1155" t="s">
        <v>300</v>
      </c>
      <c r="O31" s="1154" t="s">
        <v>301</v>
      </c>
      <c r="P31" s="1153"/>
      <c r="Q31" s="1156"/>
      <c r="R31" s="1157"/>
      <c r="S31" s="1139"/>
      <c r="T31" s="1139"/>
      <c r="U31" s="1139"/>
      <c r="V31" s="1139"/>
      <c r="W31" s="1139"/>
      <c r="X31" s="1139"/>
      <c r="Y31" s="1139"/>
      <c r="Z31" s="1139"/>
      <c r="AA31" s="1139"/>
      <c r="AB31" s="1139"/>
      <c r="AC31" s="1139"/>
    </row>
    <row r="32" ht="13.2" customHeight="1" spans="1:29">
      <c r="A32" s="1139"/>
      <c r="B32" s="1160"/>
      <c r="C32" s="1161"/>
      <c r="D32" s="1153"/>
      <c r="E32" s="1153"/>
      <c r="F32" s="1153"/>
      <c r="G32" s="1153"/>
      <c r="H32" s="1161"/>
      <c r="I32" s="1161"/>
      <c r="J32" s="1204"/>
      <c r="K32" s="1153"/>
      <c r="L32" s="1153"/>
      <c r="M32" s="1153"/>
      <c r="N32" s="1153"/>
      <c r="O32" s="1153"/>
      <c r="P32" s="1153"/>
      <c r="Q32" s="1156"/>
      <c r="R32" s="1157"/>
      <c r="S32" s="1139"/>
      <c r="T32" s="1139"/>
      <c r="U32" s="1139"/>
      <c r="V32" s="1139"/>
      <c r="W32" s="1139"/>
      <c r="X32" s="1139"/>
      <c r="Y32" s="1139"/>
      <c r="Z32" s="1139"/>
      <c r="AA32" s="1139"/>
      <c r="AB32" s="1139"/>
      <c r="AC32" s="1139"/>
    </row>
    <row r="33" ht="24" customHeight="1" spans="1:29">
      <c r="A33" s="1139"/>
      <c r="B33" s="1166" t="s">
        <v>311</v>
      </c>
      <c r="C33" s="1167" t="s">
        <v>312</v>
      </c>
      <c r="D33" s="1168"/>
      <c r="E33" s="1168"/>
      <c r="F33" s="1168"/>
      <c r="G33" s="1168"/>
      <c r="H33" s="1167"/>
      <c r="I33" s="1169" t="e">
        <f>H37*H33%</f>
        <v>#DIV/0!</v>
      </c>
      <c r="J33" s="1154" t="s">
        <v>313</v>
      </c>
      <c r="K33" s="1161"/>
      <c r="L33" s="1161"/>
      <c r="M33" s="1161"/>
      <c r="N33" s="1161"/>
      <c r="O33" s="1161"/>
      <c r="P33" s="1161"/>
      <c r="Q33" s="1170"/>
      <c r="R33" s="1171"/>
      <c r="S33" s="1139"/>
      <c r="T33" s="1139"/>
      <c r="U33" s="1139"/>
      <c r="V33" s="1139"/>
      <c r="W33" s="1139"/>
      <c r="X33" s="1139"/>
      <c r="Y33" s="1139"/>
      <c r="Z33" s="1139"/>
      <c r="AA33" s="1139"/>
      <c r="AB33" s="1139"/>
      <c r="AC33" s="1139"/>
    </row>
    <row r="34" ht="13.2" customHeight="1" spans="1:29">
      <c r="A34" s="1139"/>
      <c r="B34" s="1160"/>
      <c r="C34" s="1167" t="s">
        <v>320</v>
      </c>
      <c r="D34" s="1176"/>
      <c r="E34" s="1176"/>
      <c r="F34" s="1176"/>
      <c r="G34" s="1176"/>
      <c r="H34" s="1153"/>
      <c r="I34" s="1153"/>
      <c r="J34" s="1177"/>
      <c r="K34" s="1178"/>
      <c r="L34" s="1167"/>
      <c r="M34" s="1167"/>
      <c r="N34" s="1167"/>
      <c r="O34" s="1167">
        <f>D34-D33</f>
        <v>0</v>
      </c>
      <c r="P34" s="1169"/>
      <c r="Q34" s="1179" t="e">
        <f>SUM(I33,J36,L36,N36)</f>
        <v>#DIV/0!</v>
      </c>
      <c r="R34" s="1180" t="e">
        <f>SUM(I33,J36,L36,N36,P34)</f>
        <v>#DIV/0!</v>
      </c>
      <c r="S34" s="1139"/>
      <c r="T34" s="1139"/>
      <c r="U34" s="1139"/>
      <c r="V34" s="1139"/>
      <c r="W34" s="1139"/>
      <c r="X34" s="1139"/>
      <c r="Y34" s="1139"/>
      <c r="Z34" s="1139"/>
      <c r="AA34" s="1139"/>
      <c r="AB34" s="1139"/>
      <c r="AC34" s="1139"/>
    </row>
    <row r="35" ht="17.1" customHeight="1" spans="1:29">
      <c r="A35" s="1139"/>
      <c r="B35" s="1166" t="s">
        <v>343</v>
      </c>
      <c r="C35" s="1167" t="s">
        <v>324</v>
      </c>
      <c r="D35" s="1181" t="e">
        <f>D34/D33</f>
        <v>#DIV/0!</v>
      </c>
      <c r="E35" s="1181" t="e">
        <f>E34/E33</f>
        <v>#DIV/0!</v>
      </c>
      <c r="F35" s="1181" t="e">
        <f>F34/F33</f>
        <v>#DIV/0!</v>
      </c>
      <c r="G35" s="1181" t="e">
        <f>G34/G33</f>
        <v>#DIV/0!</v>
      </c>
      <c r="H35" s="1161"/>
      <c r="I35" s="1153"/>
      <c r="J35" s="1161"/>
      <c r="K35" s="1161"/>
      <c r="L35" s="1161"/>
      <c r="M35" s="1161"/>
      <c r="N35" s="1161"/>
      <c r="O35" s="1161"/>
      <c r="P35" s="1153"/>
      <c r="Q35" s="1156"/>
      <c r="R35" s="1157"/>
      <c r="S35" s="1139"/>
      <c r="T35" s="1139"/>
      <c r="U35" s="1139"/>
      <c r="V35" s="1139"/>
      <c r="W35" s="1139"/>
      <c r="X35" s="1139"/>
      <c r="Y35" s="1139"/>
      <c r="Z35" s="1139"/>
      <c r="AA35" s="1139"/>
      <c r="AB35" s="1139"/>
      <c r="AC35" s="1139"/>
    </row>
    <row r="36" ht="17.1" customHeight="1" spans="1:29">
      <c r="A36" s="1139"/>
      <c r="B36" s="1160"/>
      <c r="C36" s="1167" t="s">
        <v>328</v>
      </c>
      <c r="D36" s="1167"/>
      <c r="E36" s="1167"/>
      <c r="F36" s="1167"/>
      <c r="G36" s="1167"/>
      <c r="H36" s="1167">
        <f>SUM(D36:G36)</f>
        <v>0</v>
      </c>
      <c r="I36" s="1153"/>
      <c r="J36" s="1167">
        <f>J34*K34</f>
        <v>0</v>
      </c>
      <c r="K36" s="1182"/>
      <c r="L36" s="1167">
        <f>_xlfn.IFS(M34&gt;=100,1000,M34&lt;=100,M34*L34)</f>
        <v>0</v>
      </c>
      <c r="M36" s="1182"/>
      <c r="N36" s="1167">
        <f>_xlfn.IFS(O34&gt;=5,500,O34&lt;=5,O34*N34)</f>
        <v>0</v>
      </c>
      <c r="O36" s="1182"/>
      <c r="P36" s="1153"/>
      <c r="Q36" s="1156"/>
      <c r="R36" s="1157"/>
      <c r="S36" s="1139"/>
      <c r="T36" s="1139"/>
      <c r="U36" s="1139"/>
      <c r="V36" s="1139"/>
      <c r="W36" s="1139"/>
      <c r="X36" s="1139"/>
      <c r="Y36" s="1139"/>
      <c r="Z36" s="1139"/>
      <c r="AA36" s="1139"/>
      <c r="AB36" s="1139"/>
      <c r="AC36" s="1139"/>
    </row>
    <row r="37" ht="13.95" customHeight="1" spans="1:29">
      <c r="A37" s="1139"/>
      <c r="B37" s="1183" t="s">
        <v>334</v>
      </c>
      <c r="C37" s="1184" t="s">
        <v>333</v>
      </c>
      <c r="D37" s="1185" t="e">
        <f>IF(D35&gt;=100%,D36*1,D36*D35)</f>
        <v>#DIV/0!</v>
      </c>
      <c r="E37" s="1185" t="e">
        <f>IF(E35&gt;=100%,E36*1,E36*E35)</f>
        <v>#DIV/0!</v>
      </c>
      <c r="F37" s="1185" t="e">
        <f>IF(F35&gt;=100%,F36*1,F36*F35)</f>
        <v>#DIV/0!</v>
      </c>
      <c r="G37" s="1185" t="e">
        <f>IF(G35&gt;=100%,G36*1,G36*G35)</f>
        <v>#DIV/0!</v>
      </c>
      <c r="H37" s="1185" t="e">
        <f>SUM(D37:G37)</f>
        <v>#DIV/0!</v>
      </c>
      <c r="I37" s="1161"/>
      <c r="J37" s="1170"/>
      <c r="K37" s="1186"/>
      <c r="L37" s="1170"/>
      <c r="M37" s="1186"/>
      <c r="N37" s="1170"/>
      <c r="O37" s="1186"/>
      <c r="P37" s="1161"/>
      <c r="Q37" s="1187"/>
      <c r="R37" s="1171"/>
      <c r="S37" s="1139"/>
      <c r="T37" s="1139"/>
      <c r="U37" s="1139"/>
      <c r="V37" s="1139"/>
      <c r="W37" s="1139"/>
      <c r="X37" s="1139"/>
      <c r="Y37" s="1139"/>
      <c r="Z37" s="1139"/>
      <c r="AA37" s="1139"/>
      <c r="AB37" s="1139"/>
      <c r="AC37" s="1139"/>
    </row>
    <row r="38" ht="13.2" customHeight="1" spans="1:29">
      <c r="A38" s="1139"/>
      <c r="B38" s="1139"/>
      <c r="C38" s="1139"/>
      <c r="D38" s="1139"/>
      <c r="E38" s="1139"/>
      <c r="F38" s="1139"/>
      <c r="G38" s="1139"/>
      <c r="H38" s="1139"/>
      <c r="I38" s="1139"/>
      <c r="J38" s="1139"/>
      <c r="K38" s="1139"/>
      <c r="L38" s="1139"/>
      <c r="M38" s="1139"/>
      <c r="N38" s="1139"/>
      <c r="O38" s="1139"/>
      <c r="P38" s="1139"/>
      <c r="Q38" s="1141"/>
      <c r="R38" s="1141"/>
      <c r="S38" s="1139"/>
      <c r="T38" s="1139"/>
      <c r="U38" s="1139"/>
      <c r="V38" s="1139"/>
      <c r="W38" s="1139"/>
      <c r="X38" s="1139"/>
      <c r="Y38" s="1139"/>
      <c r="Z38" s="1139"/>
      <c r="AA38" s="1139"/>
      <c r="AB38" s="1139"/>
      <c r="AC38" s="1139"/>
    </row>
    <row r="39" ht="8.4" customHeight="1" spans="1:29">
      <c r="A39" s="1139"/>
      <c r="B39" s="1188"/>
      <c r="C39" s="1188"/>
      <c r="D39" s="1188"/>
      <c r="E39" s="1189"/>
      <c r="F39" s="1189"/>
      <c r="G39" s="1188"/>
      <c r="H39" s="1189"/>
      <c r="I39" s="1188"/>
      <c r="J39" s="1188"/>
      <c r="K39" s="1188"/>
      <c r="L39" s="1188"/>
      <c r="M39" s="1188"/>
      <c r="N39" s="1188"/>
      <c r="O39" s="1188"/>
      <c r="P39" s="1188"/>
      <c r="Q39" s="1188"/>
      <c r="R39" s="1188"/>
      <c r="S39" s="1139"/>
      <c r="T39" s="1139"/>
      <c r="U39" s="1139"/>
      <c r="V39" s="1139"/>
      <c r="W39" s="1139"/>
      <c r="X39" s="1139"/>
      <c r="Y39" s="1139"/>
      <c r="Z39" s="1139"/>
      <c r="AA39" s="1139"/>
      <c r="AB39" s="1139"/>
      <c r="AC39" s="1139"/>
    </row>
    <row r="40" ht="15.45" customHeight="1" spans="1:29">
      <c r="B40" s="1188"/>
      <c r="C40" s="1188"/>
      <c r="D40" s="1205"/>
      <c r="E40" s="1205"/>
      <c r="F40" s="1188"/>
      <c r="G40" s="1205"/>
      <c r="H40" s="1189"/>
      <c r="I40" s="1188"/>
      <c r="J40" s="1188"/>
      <c r="K40" s="1188"/>
      <c r="L40" s="1188"/>
      <c r="M40" s="1188"/>
      <c r="N40" s="1188"/>
      <c r="O40" s="1188"/>
      <c r="P40" s="1188"/>
      <c r="Q40" s="1188"/>
      <c r="R40" s="1188"/>
    </row>
    <row r="41" ht="15.45" customHeight="1" spans="1:29">
      <c r="B41" s="1188"/>
      <c r="C41" s="1188"/>
      <c r="D41" s="1205"/>
      <c r="E41" s="1205"/>
      <c r="F41" s="1188"/>
      <c r="G41" s="1205"/>
      <c r="H41" s="1189"/>
      <c r="I41" s="1188"/>
      <c r="J41" s="1188"/>
      <c r="K41" s="1188"/>
      <c r="L41" s="1188"/>
      <c r="M41" s="1188"/>
      <c r="N41" s="1188"/>
      <c r="O41" s="1188"/>
      <c r="P41" s="1188"/>
      <c r="Q41" s="1188"/>
      <c r="R41" s="1188"/>
    </row>
    <row r="42" ht="15.45" customHeight="1" spans="1:29">
      <c r="B42" s="1206" t="s">
        <v>221</v>
      </c>
      <c r="C42" s="1143" t="s">
        <v>283</v>
      </c>
      <c r="D42" s="1207" t="s">
        <v>344</v>
      </c>
      <c r="E42" s="1208" t="s">
        <v>345</v>
      </c>
      <c r="F42" s="1144" t="s">
        <v>346</v>
      </c>
      <c r="G42" s="1207" t="s">
        <v>347</v>
      </c>
      <c r="H42" s="1146" t="s">
        <v>288</v>
      </c>
      <c r="I42" s="1147" t="s">
        <v>289</v>
      </c>
      <c r="J42" s="1148" t="s">
        <v>348</v>
      </c>
      <c r="K42" s="1149"/>
      <c r="L42" s="1148" t="s">
        <v>349</v>
      </c>
      <c r="M42" s="1149"/>
      <c r="N42" s="1148" t="s">
        <v>350</v>
      </c>
      <c r="O42" s="1149"/>
      <c r="P42" s="1143" t="s">
        <v>293</v>
      </c>
      <c r="Q42" s="1150" t="s">
        <v>294</v>
      </c>
      <c r="R42" s="1151" t="s">
        <v>295</v>
      </c>
    </row>
    <row r="43" ht="15.45" customHeight="1" spans="1:29">
      <c r="B43" s="1152"/>
      <c r="C43" s="1153"/>
      <c r="D43" s="1153"/>
      <c r="E43" s="1161"/>
      <c r="F43" s="1153"/>
      <c r="G43" s="1153"/>
      <c r="H43" s="1153"/>
      <c r="I43" s="1153"/>
      <c r="J43" s="1203" t="s">
        <v>296</v>
      </c>
      <c r="K43" s="1209" t="s">
        <v>297</v>
      </c>
      <c r="L43" s="1155" t="s">
        <v>351</v>
      </c>
      <c r="M43" s="1209" t="s">
        <v>352</v>
      </c>
      <c r="N43" s="1155" t="s">
        <v>353</v>
      </c>
      <c r="O43" s="1155" t="s">
        <v>354</v>
      </c>
      <c r="P43" s="1153"/>
      <c r="Q43" s="1156"/>
      <c r="R43" s="1157"/>
    </row>
    <row r="44" ht="15.45" customHeight="1" spans="1:29">
      <c r="B44" s="1160"/>
      <c r="C44" s="1161"/>
      <c r="D44" s="1153"/>
      <c r="E44" s="1210" t="s">
        <v>355</v>
      </c>
      <c r="F44" s="1153"/>
      <c r="G44" s="1153"/>
      <c r="H44" s="1161"/>
      <c r="I44" s="1161"/>
      <c r="J44" s="1211"/>
      <c r="K44" s="1153"/>
      <c r="L44" s="1153"/>
      <c r="M44" s="1153"/>
      <c r="N44" s="1153"/>
      <c r="O44" s="1153"/>
      <c r="P44" s="1153"/>
      <c r="Q44" s="1156"/>
      <c r="R44" s="1157"/>
    </row>
    <row r="45" ht="25.5" customHeight="1" spans="1:29">
      <c r="B45" s="1212" t="s">
        <v>356</v>
      </c>
      <c r="C45" s="1167" t="s">
        <v>312</v>
      </c>
      <c r="D45" s="1213"/>
      <c r="E45" s="1213"/>
      <c r="F45" s="1213"/>
      <c r="G45" s="1214"/>
      <c r="H45" s="1167"/>
      <c r="I45" s="1169" t="e">
        <f>H49*H45%</f>
        <v>#DIV/0!</v>
      </c>
      <c r="J45" s="1154" t="s">
        <v>357</v>
      </c>
      <c r="K45" s="1161"/>
      <c r="L45" s="1161"/>
      <c r="M45" s="1161"/>
      <c r="N45" s="1161"/>
      <c r="O45" s="1161"/>
      <c r="P45" s="1161"/>
      <c r="Q45" s="1170"/>
      <c r="R45" s="1171"/>
    </row>
    <row r="46" ht="21.75" customHeight="1" spans="1:29">
      <c r="B46" s="1160"/>
      <c r="C46" s="1167" t="s">
        <v>320</v>
      </c>
      <c r="D46" s="1215"/>
      <c r="E46" s="1215"/>
      <c r="F46" s="1215"/>
      <c r="G46" s="1176"/>
      <c r="H46" s="1153"/>
      <c r="I46" s="1153"/>
      <c r="J46" s="1177"/>
      <c r="K46" s="1178"/>
      <c r="L46" s="1216"/>
      <c r="M46" s="1167"/>
      <c r="N46" s="1167"/>
      <c r="O46" s="1167">
        <f>D46-D45</f>
        <v>0</v>
      </c>
      <c r="P46" s="1167"/>
      <c r="Q46" s="1179" t="e">
        <f>SUM(I45,J48,L48,N48)</f>
        <v>#DIV/0!</v>
      </c>
      <c r="R46" s="1217" t="e">
        <f>SUM(I45,J48,L48,N48,P46)</f>
        <v>#DIV/0!</v>
      </c>
    </row>
    <row r="47" ht="15.45" customHeight="1" spans="1:29">
      <c r="B47" s="1218" t="s">
        <v>323</v>
      </c>
      <c r="C47" s="1167" t="s">
        <v>324</v>
      </c>
      <c r="D47" s="1181" t="e">
        <f>D46/D45</f>
        <v>#DIV/0!</v>
      </c>
      <c r="E47" s="1181" t="e">
        <f>E46/E45</f>
        <v>#DIV/0!</v>
      </c>
      <c r="F47" s="1181" t="e">
        <f>F46/F45</f>
        <v>#DIV/0!</v>
      </c>
      <c r="G47" s="1181" t="e">
        <f>G46/G45</f>
        <v>#DIV/0!</v>
      </c>
      <c r="H47" s="1161"/>
      <c r="I47" s="1153"/>
      <c r="J47" s="1161"/>
      <c r="K47" s="1161"/>
      <c r="L47" s="1153"/>
      <c r="M47" s="1161"/>
      <c r="N47" s="1161"/>
      <c r="O47" s="1161"/>
      <c r="P47" s="1153"/>
      <c r="Q47" s="1156"/>
      <c r="R47" s="1157"/>
    </row>
    <row r="48" ht="15.45" customHeight="1" spans="1:29">
      <c r="B48" s="1160"/>
      <c r="C48" s="1167" t="s">
        <v>328</v>
      </c>
      <c r="D48" s="1219"/>
      <c r="E48" s="1219"/>
      <c r="F48" s="1219"/>
      <c r="G48" s="1219"/>
      <c r="H48" s="1167">
        <f>SUM(D48:G48)</f>
        <v>0</v>
      </c>
      <c r="I48" s="1153"/>
      <c r="J48" s="1167">
        <f>J46*K46</f>
        <v>0</v>
      </c>
      <c r="K48" s="1182"/>
      <c r="L48" s="1167">
        <f>L46*M46</f>
        <v>0</v>
      </c>
      <c r="M48" s="1182"/>
      <c r="N48" s="1167"/>
      <c r="O48" s="1182"/>
      <c r="P48" s="1153"/>
      <c r="Q48" s="1156"/>
      <c r="R48" s="1157"/>
    </row>
    <row r="49" ht="20.25" customHeight="1" spans="1:19">
      <c r="B49" s="1220" t="s">
        <v>358</v>
      </c>
      <c r="C49" s="1184" t="s">
        <v>333</v>
      </c>
      <c r="D49" s="1185" t="e">
        <f>IF(D47&gt;=100%,D48*1,D48*D47)</f>
        <v>#DIV/0!</v>
      </c>
      <c r="E49" s="1185" t="e">
        <f>IF(E47&gt;=100%,E48*1,E48*E47)</f>
        <v>#DIV/0!</v>
      </c>
      <c r="F49" s="1185" t="e">
        <f>IF(F47&gt;=100%,F48*1,F48*F47)</f>
        <v>#DIV/0!</v>
      </c>
      <c r="G49" s="1185" t="e">
        <f>IF(G47&gt;=100%,G48*1,G48*G47)</f>
        <v>#DIV/0!</v>
      </c>
      <c r="H49" s="1185" t="e">
        <f>SUM(D49:G49)</f>
        <v>#DIV/0!</v>
      </c>
      <c r="I49" s="1161"/>
      <c r="J49" s="1170"/>
      <c r="K49" s="1186"/>
      <c r="L49" s="1170"/>
      <c r="M49" s="1186"/>
      <c r="N49" s="1170"/>
      <c r="O49" s="1186"/>
      <c r="P49" s="1161"/>
      <c r="Q49" s="1187"/>
      <c r="R49" s="1171"/>
    </row>
    <row r="50" spans="1:19">
      <c r="B50" s="1188"/>
      <c r="C50" s="1188"/>
      <c r="D50" s="1205"/>
      <c r="E50" s="1205"/>
      <c r="F50" s="1188"/>
      <c r="G50" s="1205"/>
      <c r="H50" s="1189"/>
      <c r="I50" s="1188"/>
      <c r="J50" s="1188"/>
      <c r="K50" s="1188"/>
      <c r="L50" s="1188"/>
      <c r="M50" s="1188"/>
      <c r="N50" s="1188"/>
      <c r="O50" s="1188"/>
      <c r="P50" s="1188"/>
      <c r="Q50" s="1188"/>
      <c r="R50" s="1188"/>
    </row>
    <row r="51" ht="15.15" customHeight="1"/>
    <row r="52" ht="18.75" customHeight="1" spans="1:19">
      <c r="B52" s="1221" t="s">
        <v>221</v>
      </c>
      <c r="C52" s="1222" t="s">
        <v>283</v>
      </c>
      <c r="D52" s="1223" t="s">
        <v>359</v>
      </c>
      <c r="E52" s="1223" t="s">
        <v>360</v>
      </c>
      <c r="F52" s="1224" t="s">
        <v>361</v>
      </c>
      <c r="G52" s="1224" t="s">
        <v>362</v>
      </c>
      <c r="H52" s="1225" t="s">
        <v>288</v>
      </c>
      <c r="I52" s="1226" t="s">
        <v>289</v>
      </c>
      <c r="J52" s="1221" t="s">
        <v>363</v>
      </c>
      <c r="K52" s="1149"/>
      <c r="L52" s="1222" t="s">
        <v>364</v>
      </c>
      <c r="M52" s="1143" t="s">
        <v>365</v>
      </c>
      <c r="N52" s="1143" t="s">
        <v>365</v>
      </c>
      <c r="O52" s="1143" t="s">
        <v>365</v>
      </c>
      <c r="P52" s="1143" t="s">
        <v>365</v>
      </c>
      <c r="Q52" s="1227" t="s">
        <v>294</v>
      </c>
      <c r="R52" s="1228" t="s">
        <v>295</v>
      </c>
    </row>
    <row r="53" spans="1:19">
      <c r="B53" s="1160"/>
      <c r="C53" s="1161"/>
      <c r="D53" s="1161"/>
      <c r="E53" s="1161"/>
      <c r="F53" s="1161"/>
      <c r="G53" s="1161"/>
      <c r="H53" s="1161"/>
      <c r="I53" s="1170"/>
      <c r="J53" s="1229" t="s">
        <v>366</v>
      </c>
      <c r="K53" s="1230" t="s">
        <v>367</v>
      </c>
      <c r="L53" s="1161"/>
      <c r="M53" s="1153"/>
      <c r="N53" s="1153"/>
      <c r="O53" s="1153"/>
      <c r="P53" s="1153"/>
      <c r="Q53" s="1161"/>
      <c r="R53" s="1171"/>
    </row>
    <row r="54" ht="18" customHeight="1" spans="1:19">
      <c r="B54" s="1231" t="s">
        <v>368</v>
      </c>
      <c r="C54" s="1232" t="s">
        <v>312</v>
      </c>
      <c r="D54" s="1232"/>
      <c r="E54" s="1232"/>
      <c r="F54" s="1232"/>
      <c r="G54" s="1232"/>
      <c r="H54" s="1233"/>
      <c r="I54" s="1234" t="e">
        <f>H54*H58%</f>
        <v>#DIV/0!</v>
      </c>
      <c r="J54" s="1152"/>
      <c r="K54" s="1161"/>
      <c r="L54" s="1233"/>
      <c r="M54" s="1153"/>
      <c r="N54" s="1153"/>
      <c r="O54" s="1153"/>
      <c r="P54" s="1153"/>
      <c r="Q54" s="1235" t="e">
        <f>SUM(I54,J57)</f>
        <v>#DIV/0!</v>
      </c>
      <c r="R54" s="1236" t="e">
        <f>L54+J57+I54</f>
        <v>#DIV/0!</v>
      </c>
    </row>
    <row r="55" ht="18" customHeight="1" spans="1:19">
      <c r="B55" s="1160"/>
      <c r="C55" s="1237" t="s">
        <v>320</v>
      </c>
      <c r="D55" s="1237"/>
      <c r="E55" s="1237"/>
      <c r="F55" s="1237"/>
      <c r="G55" s="1237"/>
      <c r="H55" s="1153"/>
      <c r="I55" s="1156"/>
      <c r="J55" s="1152"/>
      <c r="K55" s="1238"/>
      <c r="L55" s="1153"/>
      <c r="M55" s="1161"/>
      <c r="N55" s="1161"/>
      <c r="O55" s="1161"/>
      <c r="P55" s="1161"/>
      <c r="Q55" s="1153"/>
      <c r="R55" s="1157"/>
    </row>
    <row r="56" ht="18" customHeight="1" spans="1:19">
      <c r="B56" s="1231" t="s">
        <v>323</v>
      </c>
      <c r="C56" s="1233" t="s">
        <v>324</v>
      </c>
      <c r="D56" s="1181" t="e">
        <f>D55/D54</f>
        <v>#DIV/0!</v>
      </c>
      <c r="E56" s="1181" t="e">
        <f>E55/E54</f>
        <v>#DIV/0!</v>
      </c>
      <c r="F56" s="1181" t="e">
        <f>F55/F54</f>
        <v>#DIV/0!</v>
      </c>
      <c r="G56" s="1181" t="e">
        <f>G55/G54</f>
        <v>#DIV/0!</v>
      </c>
      <c r="H56" s="1161"/>
      <c r="I56" s="1156"/>
      <c r="J56" s="1160"/>
      <c r="K56" s="1161"/>
      <c r="L56" s="1153"/>
      <c r="M56" s="1167" t="s">
        <v>365</v>
      </c>
      <c r="N56" s="1167" t="s">
        <v>365</v>
      </c>
      <c r="O56" s="1167" t="s">
        <v>365</v>
      </c>
      <c r="P56" s="1167" t="s">
        <v>365</v>
      </c>
      <c r="Q56" s="1153"/>
      <c r="R56" s="1157"/>
    </row>
    <row r="57" ht="18" customHeight="1" spans="1:19">
      <c r="B57" s="1160"/>
      <c r="C57" s="1233" t="s">
        <v>328</v>
      </c>
      <c r="D57" s="1233"/>
      <c r="E57" s="1233"/>
      <c r="F57" s="1233"/>
      <c r="G57" s="1233"/>
      <c r="H57" s="1233">
        <f>SUM(D57:G57)</f>
        <v>0</v>
      </c>
      <c r="I57" s="1156"/>
      <c r="J57" s="1239">
        <f>40*K55</f>
        <v>0</v>
      </c>
      <c r="K57" s="1182"/>
      <c r="L57" s="1153"/>
      <c r="M57" s="1153"/>
      <c r="N57" s="1153"/>
      <c r="O57" s="1153"/>
      <c r="P57" s="1153"/>
      <c r="Q57" s="1153"/>
      <c r="R57" s="1157"/>
    </row>
    <row r="58" ht="16.35" customHeight="1" spans="1:19">
      <c r="B58" s="1240" t="s">
        <v>318</v>
      </c>
      <c r="C58" s="1241" t="s">
        <v>333</v>
      </c>
      <c r="D58" s="1185" t="e">
        <f>IF(D56&gt;=100%,D57*1,D57*D56)</f>
        <v>#DIV/0!</v>
      </c>
      <c r="E58" s="1185" t="e">
        <f>IF(E56&gt;=100%,E57*1,E57*E56)</f>
        <v>#DIV/0!</v>
      </c>
      <c r="F58" s="1185" t="e">
        <f>IF(F56&gt;=100%,F57*1,F57*F56)</f>
        <v>#DIV/0!</v>
      </c>
      <c r="G58" s="1185" t="e">
        <f>IF(G56&gt;=100%,G57*1,G57*G56)</f>
        <v>#DIV/0!</v>
      </c>
      <c r="H58" s="1242" t="e">
        <f>SUM(D58:G58)</f>
        <v>#DIV/0!</v>
      </c>
      <c r="I58" s="1170"/>
      <c r="J58" s="1243"/>
      <c r="K58" s="1186"/>
      <c r="L58" s="1161"/>
      <c r="M58" s="1161"/>
      <c r="N58" s="1161"/>
      <c r="O58" s="1161"/>
      <c r="P58" s="1161"/>
      <c r="Q58" s="1161"/>
      <c r="R58" s="1171"/>
    </row>
    <row r="59" spans="1:19">
      <c r="M59" s="1188"/>
      <c r="N59" s="1188"/>
      <c r="O59" s="1188"/>
      <c r="P59" s="1188"/>
    </row>
    <row r="60" ht="25.5" customHeight="1" spans="1:19">
      <c r="B60" s="1244"/>
      <c r="C60" s="1244"/>
      <c r="D60" s="1244"/>
      <c r="E60" s="1244"/>
      <c r="F60" s="1244"/>
      <c r="G60" s="1244"/>
      <c r="H60" s="1244"/>
      <c r="I60" s="1244"/>
      <c r="J60" s="1244"/>
      <c r="K60" s="1244"/>
      <c r="L60" s="1244"/>
      <c r="M60" s="1244"/>
      <c r="N60" s="1244"/>
      <c r="O60" s="1244"/>
      <c r="P60" s="1244"/>
      <c r="Q60" s="1244"/>
      <c r="R60" s="1244"/>
      <c r="S60" s="1244"/>
    </row>
    <row r="61" ht="16.35" customHeight="1" spans="1:19">
      <c r="A61" s="1245"/>
      <c r="B61" s="1188"/>
      <c r="C61" s="1188"/>
      <c r="D61" s="1246"/>
      <c r="E61" s="1246"/>
      <c r="F61" s="1246"/>
      <c r="G61" s="1247"/>
      <c r="H61" s="1248"/>
      <c r="I61" s="1246"/>
      <c r="J61" s="1247"/>
      <c r="K61" s="1247"/>
      <c r="L61" s="1188"/>
      <c r="M61" s="1188"/>
      <c r="N61" s="1246"/>
      <c r="O61" s="1141"/>
      <c r="P61" s="1141"/>
      <c r="Q61" s="1246"/>
      <c r="R61" s="1246"/>
      <c r="S61" s="1244"/>
    </row>
    <row r="62" ht="15.6" customHeight="1" spans="1:19">
      <c r="A62" s="1245"/>
      <c r="B62" s="1249" t="s">
        <v>221</v>
      </c>
      <c r="C62" s="1143" t="s">
        <v>283</v>
      </c>
      <c r="D62" s="1250" t="s">
        <v>369</v>
      </c>
      <c r="E62" s="1250" t="s">
        <v>370</v>
      </c>
      <c r="F62" s="1223" t="s">
        <v>371</v>
      </c>
      <c r="G62" s="1224" t="s">
        <v>372</v>
      </c>
      <c r="H62" s="1225" t="s">
        <v>288</v>
      </c>
      <c r="I62" s="1223" t="s">
        <v>289</v>
      </c>
      <c r="J62" s="1251" t="s">
        <v>373</v>
      </c>
      <c r="K62" s="1149"/>
      <c r="L62" s="1252" t="s">
        <v>291</v>
      </c>
      <c r="M62" s="1253"/>
      <c r="N62" s="1222" t="s">
        <v>293</v>
      </c>
      <c r="O62" s="1254" t="s">
        <v>374</v>
      </c>
      <c r="P62" s="1254" t="s">
        <v>374</v>
      </c>
      <c r="Q62" s="1255" t="s">
        <v>294</v>
      </c>
      <c r="R62" s="1228" t="s">
        <v>295</v>
      </c>
      <c r="S62" s="1244"/>
    </row>
    <row r="63" ht="15.6" customHeight="1" spans="1:19">
      <c r="A63" s="1245"/>
      <c r="B63" s="1152"/>
      <c r="C63" s="1153"/>
      <c r="D63" s="1153"/>
      <c r="E63" s="1153"/>
      <c r="F63" s="1153"/>
      <c r="G63" s="1153"/>
      <c r="H63" s="1153"/>
      <c r="I63" s="1153"/>
      <c r="J63" s="1256" t="s">
        <v>296</v>
      </c>
      <c r="K63" s="1257" t="s">
        <v>375</v>
      </c>
      <c r="L63" s="1154" t="s">
        <v>376</v>
      </c>
      <c r="M63" s="1155" t="s">
        <v>299</v>
      </c>
      <c r="N63" s="1153"/>
      <c r="O63" s="1153"/>
      <c r="P63" s="1153"/>
      <c r="Q63" s="1153"/>
      <c r="R63" s="1157"/>
      <c r="S63" s="1244"/>
    </row>
    <row r="64" ht="15.6" customHeight="1" spans="1:19">
      <c r="A64" s="1245"/>
      <c r="B64" s="1160"/>
      <c r="C64" s="1161"/>
      <c r="D64" s="1161"/>
      <c r="E64" s="1161"/>
      <c r="F64" s="1161"/>
      <c r="G64" s="1161"/>
      <c r="H64" s="1161"/>
      <c r="I64" s="1161"/>
      <c r="J64" s="1258"/>
      <c r="K64" s="1153"/>
      <c r="L64" s="1153"/>
      <c r="M64" s="1209">
        <f>G65</f>
        <v>0</v>
      </c>
      <c r="N64" s="1153"/>
      <c r="O64" s="1153"/>
      <c r="P64" s="1153"/>
      <c r="Q64" s="1153"/>
      <c r="R64" s="1157"/>
      <c r="S64" s="1244"/>
    </row>
    <row r="65" ht="30.75" customHeight="1" spans="1:19">
      <c r="A65" s="1245"/>
      <c r="B65" s="1259" t="s">
        <v>377</v>
      </c>
      <c r="C65" s="1167" t="s">
        <v>312</v>
      </c>
      <c r="D65" s="1232"/>
      <c r="E65" s="1260"/>
      <c r="F65" s="1260"/>
      <c r="G65" s="1232"/>
      <c r="H65" s="1233"/>
      <c r="I65" s="1261" t="e">
        <f>H69*H65%</f>
        <v>#DIV/0!</v>
      </c>
      <c r="J65" s="1262" t="s">
        <v>378</v>
      </c>
      <c r="K65" s="1161"/>
      <c r="L65" s="1161"/>
      <c r="M65" s="1209">
        <f>G66</f>
        <v>0</v>
      </c>
      <c r="N65" s="1161"/>
      <c r="O65" s="1161"/>
      <c r="P65" s="1161"/>
      <c r="Q65" s="1161"/>
      <c r="R65" s="1171"/>
      <c r="S65" s="1244"/>
    </row>
    <row r="66" ht="29.25" customHeight="1" spans="1:19">
      <c r="A66" s="1245"/>
      <c r="B66" s="1160"/>
      <c r="C66" s="1167" t="s">
        <v>320</v>
      </c>
      <c r="D66" s="1263"/>
      <c r="E66" s="1264"/>
      <c r="F66" s="1265"/>
      <c r="G66" s="1263"/>
      <c r="H66" s="1153"/>
      <c r="I66" s="1153"/>
      <c r="J66" s="1266"/>
      <c r="K66" s="1267"/>
      <c r="L66" s="1167"/>
      <c r="M66" s="1167"/>
      <c r="N66" s="1233"/>
      <c r="O66" s="1192"/>
      <c r="P66" s="1192"/>
      <c r="Q66" s="1268" t="e">
        <f>SUM(I65,J68,N68,Q68,L68)</f>
        <v>#DIV/0!</v>
      </c>
      <c r="R66" s="1269" t="e">
        <f>N66+O66+P66+Q66</f>
        <v>#DIV/0!</v>
      </c>
      <c r="S66" s="1244"/>
    </row>
    <row r="67" ht="16.5" customHeight="1" spans="1:19">
      <c r="A67" s="1245"/>
      <c r="B67" s="1270" t="s">
        <v>379</v>
      </c>
      <c r="C67" s="1167" t="s">
        <v>324</v>
      </c>
      <c r="D67" s="1181" t="e">
        <f>D66/D65</f>
        <v>#DIV/0!</v>
      </c>
      <c r="E67" s="1271" t="e">
        <f>E66/E65</f>
        <v>#DIV/0!</v>
      </c>
      <c r="F67" s="1181" t="e">
        <f>F66/F65</f>
        <v>#DIV/0!</v>
      </c>
      <c r="G67" s="1271" t="e">
        <f>G66/G65</f>
        <v>#DIV/0!</v>
      </c>
      <c r="H67" s="1161"/>
      <c r="I67" s="1153"/>
      <c r="J67" s="1161"/>
      <c r="K67" s="1161"/>
      <c r="L67" s="1161"/>
      <c r="M67" s="1161"/>
      <c r="N67" s="1153"/>
      <c r="O67" s="1153"/>
      <c r="P67" s="1153"/>
      <c r="Q67" s="1153"/>
      <c r="R67" s="1157"/>
      <c r="S67" s="1244"/>
    </row>
    <row r="68" ht="17.4" customHeight="1" spans="1:19">
      <c r="A68" s="1245"/>
      <c r="B68" s="1160"/>
      <c r="C68" s="1167" t="s">
        <v>328</v>
      </c>
      <c r="D68" s="1233"/>
      <c r="E68" s="1233"/>
      <c r="F68" s="1233"/>
      <c r="G68" s="1272"/>
      <c r="H68" s="1233">
        <f>SUM(D68:G68)</f>
        <v>0</v>
      </c>
      <c r="I68" s="1153"/>
      <c r="J68" s="1233">
        <f>J66*K66</f>
        <v>0</v>
      </c>
      <c r="K68" s="1182"/>
      <c r="L68" s="1167">
        <f>_xlfn.IFS(M66&gt;=100,500,M66&lt;=100,M66*L66)</f>
        <v>0</v>
      </c>
      <c r="M68" s="1182"/>
      <c r="N68" s="1153"/>
      <c r="O68" s="1153"/>
      <c r="P68" s="1153"/>
      <c r="Q68" s="1153"/>
      <c r="R68" s="1157"/>
      <c r="S68" s="1244"/>
    </row>
    <row r="69" ht="20.25" customHeight="1" spans="1:19">
      <c r="A69" s="1245"/>
      <c r="B69" s="1273" t="s">
        <v>340</v>
      </c>
      <c r="C69" s="1184" t="s">
        <v>333</v>
      </c>
      <c r="D69" s="1242" t="e">
        <f>IF(D67&gt;=100%,D68*1,D68*D67)</f>
        <v>#DIV/0!</v>
      </c>
      <c r="E69" s="1242" t="e">
        <f>IF(E67&gt;=100%,E68*1,E68*E67)</f>
        <v>#DIV/0!</v>
      </c>
      <c r="F69" s="1242" t="e">
        <f>IF(F67&gt;=100%,F68*1,F68*F67)</f>
        <v>#DIV/0!</v>
      </c>
      <c r="G69" s="1242" t="e">
        <f>IF(G67&gt;=100%,G68*1,G68*G67)</f>
        <v>#DIV/0!</v>
      </c>
      <c r="H69" s="1242" t="e">
        <f>SUM(D69:G69)</f>
        <v>#DIV/0!</v>
      </c>
      <c r="I69" s="1161"/>
      <c r="J69" s="1170"/>
      <c r="K69" s="1186"/>
      <c r="L69" s="1170"/>
      <c r="M69" s="1186"/>
      <c r="N69" s="1161"/>
      <c r="O69" s="1161"/>
      <c r="P69" s="1161"/>
      <c r="Q69" s="1161"/>
      <c r="R69" s="1171"/>
      <c r="S69" s="1244"/>
    </row>
    <row r="70" ht="20.25" customHeight="1" spans="1:19">
      <c r="A70" s="1245"/>
      <c r="B70" s="1188"/>
      <c r="C70" s="1188"/>
      <c r="D70" s="1274"/>
      <c r="E70" s="1274"/>
      <c r="F70" s="1274"/>
      <c r="G70" s="1274"/>
      <c r="H70" s="1274"/>
      <c r="I70" s="1274"/>
      <c r="J70" s="1246"/>
      <c r="K70" s="1246"/>
      <c r="L70" s="1188"/>
      <c r="M70" s="1188"/>
      <c r="N70" s="1246"/>
      <c r="O70" s="1141"/>
      <c r="P70" s="1141"/>
      <c r="Q70" s="1275"/>
      <c r="R70" s="1276"/>
      <c r="S70" s="1244"/>
    </row>
    <row r="71" ht="15.6" customHeight="1" spans="1:19">
      <c r="A71" s="1245"/>
      <c r="B71" s="1277"/>
      <c r="C71" s="1277"/>
      <c r="D71" s="1277"/>
      <c r="E71" s="1277"/>
      <c r="F71" s="1277"/>
      <c r="G71" s="1277"/>
      <c r="H71" s="1277"/>
      <c r="I71" s="1277"/>
      <c r="J71" s="1277"/>
      <c r="K71" s="1277"/>
      <c r="L71" s="1277"/>
      <c r="M71" s="1277"/>
      <c r="N71" s="1277"/>
      <c r="O71" s="1277"/>
      <c r="P71" s="1244"/>
      <c r="Q71" s="1244"/>
      <c r="R71" s="1244"/>
      <c r="S71" s="1244"/>
    </row>
    <row r="72" ht="15.6" customHeight="1" spans="1:19">
      <c r="A72" s="1245"/>
      <c r="B72" s="1277"/>
      <c r="C72" s="1277"/>
      <c r="D72" s="1277"/>
      <c r="E72" s="1277"/>
      <c r="F72" s="1277"/>
      <c r="G72" s="1277"/>
      <c r="H72" s="1277"/>
      <c r="I72" s="1277"/>
      <c r="J72" s="1277"/>
      <c r="K72" s="1277"/>
      <c r="L72" s="1277"/>
      <c r="M72" s="1277"/>
      <c r="N72" s="1277"/>
      <c r="O72" s="1277"/>
      <c r="P72" s="1244"/>
      <c r="Q72" s="1244"/>
      <c r="R72" s="1244"/>
      <c r="S72" s="1244"/>
    </row>
  </sheetData>
  <mergeCells count="240">
    <mergeCell ref="B1:J1"/>
    <mergeCell ref="J2:K2"/>
    <mergeCell ref="L2:M2"/>
    <mergeCell ref="N2:O2"/>
    <mergeCell ref="T3:AA3"/>
    <mergeCell ref="J11:K11"/>
    <mergeCell ref="L11:M11"/>
    <mergeCell ref="N11:O11"/>
    <mergeCell ref="J21:K21"/>
    <mergeCell ref="L21:M21"/>
    <mergeCell ref="N21:O21"/>
    <mergeCell ref="J30:K30"/>
    <mergeCell ref="L30:M30"/>
    <mergeCell ref="N30:O30"/>
    <mergeCell ref="J42:K42"/>
    <mergeCell ref="L42:M42"/>
    <mergeCell ref="N42:O42"/>
    <mergeCell ref="J52:K52"/>
    <mergeCell ref="J62:K62"/>
    <mergeCell ref="L62:M62"/>
    <mergeCell ref="B2:B4"/>
    <mergeCell ref="B5:B6"/>
    <mergeCell ref="B7:B8"/>
    <mergeCell ref="B11:B13"/>
    <mergeCell ref="B14:B15"/>
    <mergeCell ref="B16:B17"/>
    <mergeCell ref="B21:B23"/>
    <mergeCell ref="B24:B25"/>
    <mergeCell ref="B26:B27"/>
    <mergeCell ref="B30:B32"/>
    <mergeCell ref="B33:B34"/>
    <mergeCell ref="B35:B36"/>
    <mergeCell ref="B42:B44"/>
    <mergeCell ref="B45:B46"/>
    <mergeCell ref="B47:B48"/>
    <mergeCell ref="B52:B53"/>
    <mergeCell ref="B54:B55"/>
    <mergeCell ref="B56:B57"/>
    <mergeCell ref="B62:B64"/>
    <mergeCell ref="B65:B66"/>
    <mergeCell ref="B67:B68"/>
    <mergeCell ref="C2:C4"/>
    <mergeCell ref="C11:C13"/>
    <mergeCell ref="C21:C23"/>
    <mergeCell ref="C30:C32"/>
    <mergeCell ref="C42:C44"/>
    <mergeCell ref="C52:C53"/>
    <mergeCell ref="C62:C64"/>
    <mergeCell ref="D2:D4"/>
    <mergeCell ref="D11:D13"/>
    <mergeCell ref="D21:D23"/>
    <mergeCell ref="D30:D32"/>
    <mergeCell ref="D42:D44"/>
    <mergeCell ref="D52:D53"/>
    <mergeCell ref="D62:D64"/>
    <mergeCell ref="E2:E4"/>
    <mergeCell ref="E11:E13"/>
    <mergeCell ref="E21:E23"/>
    <mergeCell ref="E30:E32"/>
    <mergeCell ref="E42:E43"/>
    <mergeCell ref="E52:E53"/>
    <mergeCell ref="E62:E64"/>
    <mergeCell ref="F2:F4"/>
    <mergeCell ref="F11:F13"/>
    <mergeCell ref="F21:F23"/>
    <mergeCell ref="F30:F32"/>
    <mergeCell ref="F42:F44"/>
    <mergeCell ref="F52:F53"/>
    <mergeCell ref="F62:F64"/>
    <mergeCell ref="G2:G4"/>
    <mergeCell ref="G11:G13"/>
    <mergeCell ref="G21:G23"/>
    <mergeCell ref="G30:G32"/>
    <mergeCell ref="G42:G44"/>
    <mergeCell ref="G52:G53"/>
    <mergeCell ref="G62:G64"/>
    <mergeCell ref="H2:H4"/>
    <mergeCell ref="H5:H7"/>
    <mergeCell ref="H11:H13"/>
    <mergeCell ref="H14:H16"/>
    <mergeCell ref="H21:H23"/>
    <mergeCell ref="H24:H26"/>
    <mergeCell ref="H30:H32"/>
    <mergeCell ref="H33:H35"/>
    <mergeCell ref="H42:H44"/>
    <mergeCell ref="H45:H47"/>
    <mergeCell ref="H52:H53"/>
    <mergeCell ref="H54:H56"/>
    <mergeCell ref="H62:H64"/>
    <mergeCell ref="H65:H67"/>
    <mergeCell ref="I2:I4"/>
    <mergeCell ref="I5:I9"/>
    <mergeCell ref="I11:I13"/>
    <mergeCell ref="I14:I18"/>
    <mergeCell ref="I21:I23"/>
    <mergeCell ref="I24:I28"/>
    <mergeCell ref="I30:I32"/>
    <mergeCell ref="I33:I37"/>
    <mergeCell ref="I42:I44"/>
    <mergeCell ref="I45:I49"/>
    <mergeCell ref="I52:I53"/>
    <mergeCell ref="I54:I58"/>
    <mergeCell ref="I62:I64"/>
    <mergeCell ref="I65:I69"/>
    <mergeCell ref="J6:J7"/>
    <mergeCell ref="J15:J16"/>
    <mergeCell ref="J25:J26"/>
    <mergeCell ref="J34:J35"/>
    <mergeCell ref="J46:J47"/>
    <mergeCell ref="J53:J56"/>
    <mergeCell ref="J66:J67"/>
    <mergeCell ref="K3:K5"/>
    <mergeCell ref="K6:K7"/>
    <mergeCell ref="K12:K14"/>
    <mergeCell ref="K15:K16"/>
    <mergeCell ref="K22:K24"/>
    <mergeCell ref="K25:K26"/>
    <mergeCell ref="K31:K33"/>
    <mergeCell ref="K34:K35"/>
    <mergeCell ref="K43:K45"/>
    <mergeCell ref="K46:K47"/>
    <mergeCell ref="K53:K54"/>
    <mergeCell ref="K55:K56"/>
    <mergeCell ref="K63:K65"/>
    <mergeCell ref="K66:K67"/>
    <mergeCell ref="L3:L5"/>
    <mergeCell ref="L6:L7"/>
    <mergeCell ref="L12:L14"/>
    <mergeCell ref="L15:L16"/>
    <mergeCell ref="L22:L24"/>
    <mergeCell ref="L25:L26"/>
    <mergeCell ref="L31:L33"/>
    <mergeCell ref="L34:L35"/>
    <mergeCell ref="L43:L45"/>
    <mergeCell ref="L46:L47"/>
    <mergeCell ref="L52:L53"/>
    <mergeCell ref="L54:L58"/>
    <mergeCell ref="L63:L65"/>
    <mergeCell ref="L66:L67"/>
    <mergeCell ref="M3:M5"/>
    <mergeCell ref="M6:M7"/>
    <mergeCell ref="M12:M14"/>
    <mergeCell ref="M15:M16"/>
    <mergeCell ref="M22:M24"/>
    <mergeCell ref="M25:M26"/>
    <mergeCell ref="M31:M33"/>
    <mergeCell ref="M34:M35"/>
    <mergeCell ref="M43:M45"/>
    <mergeCell ref="M46:M47"/>
    <mergeCell ref="M52:M55"/>
    <mergeCell ref="M56:M58"/>
    <mergeCell ref="M66:M67"/>
    <mergeCell ref="N3:N5"/>
    <mergeCell ref="N6:N7"/>
    <mergeCell ref="N12:N14"/>
    <mergeCell ref="N15:N16"/>
    <mergeCell ref="N22:N24"/>
    <mergeCell ref="N25:N26"/>
    <mergeCell ref="N31:N33"/>
    <mergeCell ref="N34:N35"/>
    <mergeCell ref="N43:N45"/>
    <mergeCell ref="N46:N47"/>
    <mergeCell ref="N52:N55"/>
    <mergeCell ref="N56:N58"/>
    <mergeCell ref="N62:N65"/>
    <mergeCell ref="N66:N69"/>
    <mergeCell ref="O3:O5"/>
    <mergeCell ref="O6:O7"/>
    <mergeCell ref="O12:O14"/>
    <mergeCell ref="O15:O16"/>
    <mergeCell ref="O22:O24"/>
    <mergeCell ref="O25:O26"/>
    <mergeCell ref="O31:O33"/>
    <mergeCell ref="O34:O35"/>
    <mergeCell ref="O43:O45"/>
    <mergeCell ref="O46:O47"/>
    <mergeCell ref="O52:O55"/>
    <mergeCell ref="O56:O58"/>
    <mergeCell ref="O62:O65"/>
    <mergeCell ref="O66:O69"/>
    <mergeCell ref="P2:P5"/>
    <mergeCell ref="P6:P9"/>
    <mergeCell ref="P11:P14"/>
    <mergeCell ref="P15:P18"/>
    <mergeCell ref="P21:P24"/>
    <mergeCell ref="P25:P28"/>
    <mergeCell ref="P30:P33"/>
    <mergeCell ref="P34:P37"/>
    <mergeCell ref="P42:P45"/>
    <mergeCell ref="P46:P49"/>
    <mergeCell ref="P52:P55"/>
    <mergeCell ref="P56:P58"/>
    <mergeCell ref="P62:P65"/>
    <mergeCell ref="P66:P69"/>
    <mergeCell ref="Q2:Q5"/>
    <mergeCell ref="Q6:Q9"/>
    <mergeCell ref="Q11:Q14"/>
    <mergeCell ref="Q15:Q18"/>
    <mergeCell ref="Q21:Q24"/>
    <mergeCell ref="Q25:Q28"/>
    <mergeCell ref="Q30:Q33"/>
    <mergeCell ref="Q34:Q37"/>
    <mergeCell ref="Q42:Q45"/>
    <mergeCell ref="Q46:Q49"/>
    <mergeCell ref="Q52:Q53"/>
    <mergeCell ref="Q54:Q58"/>
    <mergeCell ref="Q62:Q65"/>
    <mergeCell ref="Q66:Q69"/>
    <mergeCell ref="R2:R5"/>
    <mergeCell ref="R6:R9"/>
    <mergeCell ref="R11:R14"/>
    <mergeCell ref="R15:R18"/>
    <mergeCell ref="R21:R24"/>
    <mergeCell ref="R25:R28"/>
    <mergeCell ref="R30:R33"/>
    <mergeCell ref="R34:R37"/>
    <mergeCell ref="R42:R45"/>
    <mergeCell ref="R46:R49"/>
    <mergeCell ref="R52:R53"/>
    <mergeCell ref="R54:R58"/>
    <mergeCell ref="R62:R65"/>
    <mergeCell ref="R66:R69"/>
    <mergeCell ref="J8:K9"/>
    <mergeCell ref="L8:M9"/>
    <mergeCell ref="N8:O9"/>
    <mergeCell ref="J17:K18"/>
    <mergeCell ref="L17:M18"/>
    <mergeCell ref="N17:O18"/>
    <mergeCell ref="J36:K37"/>
    <mergeCell ref="L36:M37"/>
    <mergeCell ref="N36:O37"/>
    <mergeCell ref="J48:K49"/>
    <mergeCell ref="L48:M49"/>
    <mergeCell ref="N48:O49"/>
    <mergeCell ref="J27:K28"/>
    <mergeCell ref="L27:M28"/>
    <mergeCell ref="N27:O28"/>
    <mergeCell ref="J68:K69"/>
    <mergeCell ref="L68:M69"/>
    <mergeCell ref="J57:K5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43"/>
  <sheetViews>
    <sheetView workbookViewId="0">
      <selection activeCell="A1" sqref="A1"/>
    </sheetView>
  </sheetViews>
  <sheetFormatPr defaultColWidth="9" defaultRowHeight="16.8"/>
  <cols>
    <col min="1" max="1" width="9.11538461538461" customWidth="1"/>
    <col min="4" max="4" width="14.4423076923077" customWidth="1"/>
    <col min="5" max="5" width="11.1153846153846" customWidth="1"/>
    <col min="6" max="6" width="10.4423076923077" customWidth="1"/>
    <col min="7" max="7" width="15" customWidth="1"/>
    <col min="8" max="8" width="10.1153846153846" customWidth="1"/>
    <col min="9" max="9" width="10.4423076923077" customWidth="1"/>
    <col min="11" max="11" width="12.4423076923077" customWidth="1"/>
    <col min="13" max="13" width="14.4423076923077" customWidth="1"/>
    <col min="14" max="14" width="10.4423076923077" customWidth="1"/>
    <col min="16" max="16" width="18.4423076923077" customWidth="1"/>
    <col min="17" max="17" width="14" customWidth="1"/>
    <col min="18" max="18" width="11.4423076923077" customWidth="1"/>
    <col min="19" max="19" width="11" customWidth="1"/>
    <col min="20" max="20" width="14.1153846153846" customWidth="1"/>
    <col min="21" max="21" width="9.11538461538461" customWidth="1"/>
    <col min="22" max="22" width="11" customWidth="1"/>
    <col min="23" max="23" width="9.44230769230769" customWidth="1"/>
    <col min="24" max="24" width="11.8846153846154" customWidth="1"/>
    <col min="25" max="25" width="9.44230769230769" customWidth="1"/>
    <col min="30" max="30" width="13.4423076923077" customWidth="1"/>
    <col min="31" max="31" width="9.11538461538461" customWidth="1"/>
    <col min="32" max="32" width="9.44230769230769" customWidth="1"/>
    <col min="33" max="33" width="9.11538461538461" customWidth="1"/>
  </cols>
  <sheetData>
    <row r="1" ht="15.6" customHeight="1" spans="1:34">
      <c r="B1" s="1100" t="s">
        <v>380</v>
      </c>
      <c r="C1" s="1101" t="s">
        <v>381</v>
      </c>
      <c r="D1" s="1101" t="s">
        <v>381</v>
      </c>
      <c r="E1" s="192"/>
      <c r="F1" s="193"/>
      <c r="G1" s="1101"/>
      <c r="H1" s="192"/>
      <c r="I1" s="193"/>
      <c r="J1" s="1101"/>
      <c r="K1" s="192"/>
      <c r="L1" s="193"/>
      <c r="M1" s="1101"/>
      <c r="N1" s="192"/>
      <c r="O1" s="193"/>
      <c r="P1" s="1101"/>
      <c r="Q1" s="192"/>
      <c r="R1" s="192"/>
      <c r="S1" s="192"/>
      <c r="T1" s="192"/>
      <c r="U1" s="192"/>
      <c r="V1" s="192"/>
      <c r="W1" s="193"/>
      <c r="X1" s="1101"/>
      <c r="Y1" s="192"/>
      <c r="Z1" s="193"/>
      <c r="AA1" s="1101"/>
      <c r="AB1" s="192"/>
      <c r="AC1" s="193"/>
      <c r="AD1" s="1101"/>
      <c r="AE1" s="1102" t="s">
        <v>382</v>
      </c>
      <c r="AF1" s="954" t="s">
        <v>383</v>
      </c>
    </row>
    <row r="2" ht="15.6" customHeight="1" spans="1:34">
      <c r="B2" s="195"/>
      <c r="C2" s="195"/>
      <c r="D2" s="1103"/>
      <c r="E2" s="1103" t="s">
        <v>384</v>
      </c>
      <c r="F2" s="1103" t="s">
        <v>385</v>
      </c>
      <c r="G2" s="1103" t="s">
        <v>155</v>
      </c>
      <c r="H2" s="1103" t="s">
        <v>384</v>
      </c>
      <c r="I2" s="1103" t="s">
        <v>386</v>
      </c>
      <c r="J2" s="1104" t="s">
        <v>387</v>
      </c>
      <c r="K2" s="1104" t="s">
        <v>25</v>
      </c>
      <c r="L2" s="1104" t="s">
        <v>388</v>
      </c>
      <c r="M2" s="1104" t="s">
        <v>387</v>
      </c>
      <c r="N2" s="1104" t="s">
        <v>25</v>
      </c>
      <c r="O2" s="1104" t="s">
        <v>389</v>
      </c>
      <c r="P2" s="1104" t="s">
        <v>387</v>
      </c>
      <c r="Q2" s="1104" t="s">
        <v>390</v>
      </c>
      <c r="R2" s="1104" t="s">
        <v>391</v>
      </c>
      <c r="S2" s="1104" t="s">
        <v>392</v>
      </c>
      <c r="T2" s="1104" t="s">
        <v>393</v>
      </c>
      <c r="U2" s="1104" t="s">
        <v>394</v>
      </c>
      <c r="V2" s="1104" t="s">
        <v>395</v>
      </c>
      <c r="W2" s="1104" t="s">
        <v>396</v>
      </c>
      <c r="X2" s="1104" t="s">
        <v>394</v>
      </c>
      <c r="Y2" s="1104" t="s">
        <v>393</v>
      </c>
      <c r="Z2" s="1104" t="s">
        <v>397</v>
      </c>
      <c r="AA2" s="1104" t="s">
        <v>398</v>
      </c>
      <c r="AB2" s="1104" t="s">
        <v>399</v>
      </c>
      <c r="AC2" s="1104" t="s">
        <v>157</v>
      </c>
      <c r="AD2" s="195"/>
    </row>
    <row r="3" ht="36.75" customHeight="1" spans="1:34">
      <c r="B3" s="1105" t="s">
        <v>327</v>
      </c>
      <c r="C3" s="1101" t="s">
        <v>400</v>
      </c>
      <c r="D3" s="1106"/>
      <c r="E3" s="1107"/>
      <c r="F3" s="1108"/>
      <c r="G3" s="1109" t="s">
        <v>401</v>
      </c>
      <c r="H3" s="1101"/>
      <c r="I3" s="1108"/>
      <c r="J3" s="1101"/>
      <c r="K3" s="1108"/>
      <c r="L3" s="1110">
        <f>K3*J3</f>
        <v>0</v>
      </c>
      <c r="M3" s="1101"/>
      <c r="N3" s="1108"/>
      <c r="O3" s="1101">
        <f>M3*N3</f>
        <v>0</v>
      </c>
      <c r="P3" s="1101"/>
      <c r="Q3" s="1108"/>
      <c r="R3" s="1111" t="str">
        <f>IFERROR(K3/Q3,"")</f>
        <v/>
      </c>
      <c r="S3" s="1108"/>
      <c r="T3" s="1101">
        <f>S3*K3</f>
        <v>0</v>
      </c>
      <c r="U3" s="1111" t="str">
        <f>IFERROR(N3/K3,"")</f>
        <v/>
      </c>
      <c r="V3" s="1108"/>
      <c r="W3" s="1101">
        <f>N3*V3</f>
        <v>0</v>
      </c>
      <c r="X3" s="1101"/>
      <c r="Y3" s="1108"/>
      <c r="Z3" s="1101">
        <f>X3*Y3</f>
        <v>0</v>
      </c>
      <c r="AA3" s="1112"/>
      <c r="AB3" s="1111" t="str">
        <f>IFERROR(K3/AA3,"")</f>
        <v/>
      </c>
      <c r="AC3" s="1113"/>
      <c r="AD3" s="1114">
        <f>I3+L3+O3+T3+W3+Z3+AC3+F3</f>
        <v>0</v>
      </c>
      <c r="AE3" s="1115" t="s">
        <v>400</v>
      </c>
      <c r="AF3" s="941">
        <f>AD3</f>
        <v>0</v>
      </c>
    </row>
    <row r="4" ht="16.65" customHeight="1" spans="1:34">
      <c r="B4" s="1105" t="s">
        <v>327</v>
      </c>
      <c r="C4" s="1101" t="s">
        <v>402</v>
      </c>
      <c r="D4" s="1106"/>
      <c r="E4" s="1107"/>
      <c r="F4" s="1108"/>
      <c r="G4" s="1109"/>
      <c r="H4" s="1101"/>
      <c r="I4" s="1108"/>
      <c r="J4" s="1101"/>
      <c r="K4" s="1108"/>
      <c r="L4" s="1101">
        <f>K4*J4</f>
        <v>0</v>
      </c>
      <c r="M4" s="1101"/>
      <c r="N4" s="1108"/>
      <c r="O4" s="1101">
        <f>M4*N4</f>
        <v>0</v>
      </c>
      <c r="P4" s="1101"/>
      <c r="Q4" s="1108"/>
      <c r="R4" s="1111" t="str">
        <f>IFERROR(K4/Q4,"")</f>
        <v/>
      </c>
      <c r="S4" s="1108"/>
      <c r="T4" s="1101">
        <f>S4*K4</f>
        <v>0</v>
      </c>
      <c r="U4" s="1111" t="str">
        <f>IFERROR(N4/K4,"")</f>
        <v/>
      </c>
      <c r="V4" s="1108"/>
      <c r="W4" s="1101">
        <f>N4*V4</f>
        <v>0</v>
      </c>
      <c r="X4" s="1101"/>
      <c r="Y4" s="1108"/>
      <c r="Z4" s="1101">
        <f>X4*Y4</f>
        <v>0</v>
      </c>
      <c r="AA4" s="1112"/>
      <c r="AB4" s="1111" t="str">
        <f>IFERROR(K4/AA4,"")</f>
        <v/>
      </c>
      <c r="AC4" s="1113"/>
      <c r="AD4" s="1114">
        <f>I4+L4+O4+T4+W4+Z4+AC4+F4</f>
        <v>0</v>
      </c>
      <c r="AE4" s="1115" t="s">
        <v>402</v>
      </c>
      <c r="AF4" s="941">
        <f>AD4</f>
        <v>0</v>
      </c>
    </row>
    <row r="5" ht="20.1" customHeight="1" spans="1:34">
      <c r="B5" s="1105" t="s">
        <v>327</v>
      </c>
      <c r="C5" s="1101" t="s">
        <v>403</v>
      </c>
      <c r="D5" s="1106"/>
      <c r="E5" s="1107"/>
      <c r="F5" s="1108"/>
      <c r="G5" s="1109"/>
      <c r="H5" s="1101"/>
      <c r="I5" s="1108"/>
      <c r="J5" s="1101"/>
      <c r="K5" s="1108"/>
      <c r="L5" s="1101">
        <f>K5*J5</f>
        <v>0</v>
      </c>
      <c r="M5" s="1101"/>
      <c r="N5" s="1108"/>
      <c r="O5" s="1101">
        <f>M5*N5</f>
        <v>0</v>
      </c>
      <c r="P5" s="1101"/>
      <c r="Q5" s="1108"/>
      <c r="R5" s="1111" t="str">
        <f>IFERROR(K5/Q5,"")</f>
        <v/>
      </c>
      <c r="S5" s="1108"/>
      <c r="T5" s="1101">
        <f>S5*K5</f>
        <v>0</v>
      </c>
      <c r="U5" s="1111" t="str">
        <f>IFERROR(N5/K5,"")</f>
        <v/>
      </c>
      <c r="V5" s="1108"/>
      <c r="W5" s="1101">
        <f>N5*V5</f>
        <v>0</v>
      </c>
      <c r="X5" s="1101"/>
      <c r="Y5" s="1108"/>
      <c r="Z5" s="1101">
        <f>X5*Y5</f>
        <v>0</v>
      </c>
      <c r="AA5" s="1112"/>
      <c r="AB5" s="1111" t="str">
        <f>IFERROR(K5/AA5,"")</f>
        <v/>
      </c>
      <c r="AC5" s="1113"/>
      <c r="AD5" s="1114">
        <f>I5+L5+O5+T5+W5+Z5+AC5+F5</f>
        <v>0</v>
      </c>
      <c r="AE5" s="1115" t="s">
        <v>403</v>
      </c>
      <c r="AF5" s="941">
        <f>AD5</f>
        <v>0</v>
      </c>
    </row>
    <row r="6" ht="20.1" customHeight="1" spans="1:34">
      <c r="B6" s="1105" t="s">
        <v>327</v>
      </c>
      <c r="C6" s="1101" t="s">
        <v>404</v>
      </c>
      <c r="D6" s="1106"/>
      <c r="E6" s="1107"/>
      <c r="F6" s="1108"/>
      <c r="G6" s="1109"/>
      <c r="H6" s="1101"/>
      <c r="I6" s="1108"/>
      <c r="J6" s="1101"/>
      <c r="K6" s="1108"/>
      <c r="L6" s="1101">
        <f>K6*J6</f>
        <v>0</v>
      </c>
      <c r="M6" s="1101"/>
      <c r="N6" s="1108"/>
      <c r="O6" s="1101">
        <f>M6*N6</f>
        <v>0</v>
      </c>
      <c r="P6" s="1101"/>
      <c r="Q6" s="1108"/>
      <c r="R6" s="1111" t="str">
        <f>IFERROR(K6/Q6,"")</f>
        <v/>
      </c>
      <c r="S6" s="1108"/>
      <c r="T6" s="1101">
        <f>S6*K6</f>
        <v>0</v>
      </c>
      <c r="U6" s="1111" t="str">
        <f>IFERROR(N6/K6,"")</f>
        <v/>
      </c>
      <c r="V6" s="1108"/>
      <c r="W6" s="1101">
        <f>N6*V6</f>
        <v>0</v>
      </c>
      <c r="X6" s="1101"/>
      <c r="Y6" s="1108"/>
      <c r="Z6" s="1101">
        <f>X6*Y6</f>
        <v>0</v>
      </c>
      <c r="AA6" s="1112"/>
      <c r="AB6" s="1111" t="str">
        <f>IFERROR(K6/AA6,"")</f>
        <v/>
      </c>
      <c r="AC6" s="1113"/>
      <c r="AD6" s="1114">
        <f>I6+L6+O6+T6+W6+Z6+AC6+F6</f>
        <v>0</v>
      </c>
      <c r="AE6" s="1115" t="s">
        <v>404</v>
      </c>
      <c r="AF6" s="941">
        <f>AD6</f>
        <v>0</v>
      </c>
    </row>
    <row r="7" ht="15.6" customHeight="1" spans="1:34">
      <c r="B7" s="1105" t="s">
        <v>327</v>
      </c>
      <c r="C7" s="1101" t="s">
        <v>405</v>
      </c>
      <c r="D7" s="1106"/>
      <c r="E7" s="1107"/>
      <c r="F7" s="1108"/>
      <c r="G7" s="1109"/>
      <c r="H7" s="1101"/>
      <c r="I7" s="1108"/>
      <c r="J7" s="1101"/>
      <c r="K7" s="1108"/>
      <c r="L7" s="1101">
        <f>K7*J7</f>
        <v>0</v>
      </c>
      <c r="M7" s="1101"/>
      <c r="N7" s="1108"/>
      <c r="O7" s="1101">
        <f>M7*N7</f>
        <v>0</v>
      </c>
      <c r="P7" s="1101"/>
      <c r="Q7" s="1108"/>
      <c r="R7" s="1111" t="str">
        <f>IFERROR(K7/Q7,"")</f>
        <v/>
      </c>
      <c r="S7" s="1108"/>
      <c r="T7" s="1101">
        <f>S7*K7</f>
        <v>0</v>
      </c>
      <c r="U7" s="1111" t="str">
        <f>IFERROR(N7/K7,"")</f>
        <v/>
      </c>
      <c r="V7" s="1108"/>
      <c r="W7" s="1101">
        <f>N7*V7</f>
        <v>0</v>
      </c>
      <c r="X7" s="1101"/>
      <c r="Y7" s="1108"/>
      <c r="Z7" s="1101">
        <f>X7*Y7</f>
        <v>0</v>
      </c>
      <c r="AA7" s="1112"/>
      <c r="AB7" s="1111" t="str">
        <f>IFERROR(K7/AA7,"")</f>
        <v/>
      </c>
      <c r="AC7" s="1113"/>
      <c r="AD7" s="1114">
        <f>I7+L7+O7+T7+W7+Z7+AC7+F7</f>
        <v>0</v>
      </c>
      <c r="AE7" s="1115" t="s">
        <v>405</v>
      </c>
      <c r="AF7" s="941">
        <f>AD7</f>
        <v>0</v>
      </c>
    </row>
    <row r="8" spans="1:34">
      <c r="B8" s="748"/>
      <c r="C8" s="748"/>
      <c r="D8" s="748"/>
      <c r="E8" s="746"/>
      <c r="F8" s="746"/>
      <c r="G8" s="746"/>
      <c r="H8" s="746"/>
      <c r="I8" s="746"/>
      <c r="J8" s="746"/>
      <c r="K8" s="746"/>
      <c r="L8" s="746"/>
      <c r="M8" s="746"/>
      <c r="N8" s="746"/>
      <c r="O8" s="746"/>
      <c r="P8" s="746"/>
      <c r="Q8" s="746"/>
      <c r="R8" s="746"/>
      <c r="S8" s="746"/>
      <c r="T8" s="746"/>
      <c r="U8" s="746"/>
      <c r="V8" s="746"/>
      <c r="W8" s="746"/>
      <c r="X8" s="746"/>
      <c r="Y8" s="746"/>
      <c r="Z8" s="746"/>
      <c r="AA8" s="746"/>
      <c r="AB8" s="746"/>
      <c r="AC8" s="746"/>
      <c r="AD8" s="746"/>
    </row>
    <row r="9" ht="15.6" customHeight="1" spans="1:34">
      <c r="B9" s="1100" t="s">
        <v>380</v>
      </c>
      <c r="C9" s="1101" t="s">
        <v>381</v>
      </c>
      <c r="D9" s="1101" t="s">
        <v>406</v>
      </c>
      <c r="E9" s="192"/>
      <c r="F9" s="193"/>
      <c r="G9" s="1101" t="s">
        <v>407</v>
      </c>
      <c r="H9" s="192"/>
      <c r="I9" s="193"/>
      <c r="J9" s="1101" t="s">
        <v>408</v>
      </c>
      <c r="K9" s="192"/>
      <c r="L9" s="193"/>
      <c r="M9" s="1101" t="s">
        <v>409</v>
      </c>
      <c r="N9" s="192"/>
      <c r="O9" s="193"/>
      <c r="P9" s="1101" t="s">
        <v>410</v>
      </c>
      <c r="Q9" s="192"/>
      <c r="R9" s="193"/>
      <c r="S9" s="1101" t="s">
        <v>411</v>
      </c>
      <c r="T9" s="192"/>
      <c r="U9" s="193"/>
      <c r="V9" s="1101" t="s">
        <v>412</v>
      </c>
      <c r="W9" s="192"/>
      <c r="X9" s="193"/>
      <c r="Y9" s="1101" t="s">
        <v>382</v>
      </c>
      <c r="Z9" s="746"/>
      <c r="AA9" s="746"/>
      <c r="AB9" s="746"/>
      <c r="AC9" s="746"/>
      <c r="AD9" s="746"/>
    </row>
    <row r="10" ht="15.6" customHeight="1" spans="1:34">
      <c r="B10" s="195"/>
      <c r="C10" s="195"/>
      <c r="D10" s="1103" t="s">
        <v>384</v>
      </c>
      <c r="E10" s="1103" t="s">
        <v>385</v>
      </c>
      <c r="F10" s="1103" t="s">
        <v>155</v>
      </c>
      <c r="G10" s="1103" t="s">
        <v>384</v>
      </c>
      <c r="H10" s="1103" t="s">
        <v>386</v>
      </c>
      <c r="I10" s="1103" t="s">
        <v>387</v>
      </c>
      <c r="J10" s="1104" t="s">
        <v>25</v>
      </c>
      <c r="K10" s="1104" t="s">
        <v>388</v>
      </c>
      <c r="L10" s="1104" t="s">
        <v>387</v>
      </c>
      <c r="M10" s="1104" t="s">
        <v>25</v>
      </c>
      <c r="N10" s="1104"/>
      <c r="O10" s="1104" t="s">
        <v>387</v>
      </c>
      <c r="P10" s="1104" t="s">
        <v>413</v>
      </c>
      <c r="Q10" s="1104" t="s">
        <v>414</v>
      </c>
      <c r="R10" s="1104" t="s">
        <v>394</v>
      </c>
      <c r="S10" s="1104" t="s">
        <v>395</v>
      </c>
      <c r="T10" s="1104" t="s">
        <v>396</v>
      </c>
      <c r="U10" s="1104" t="s">
        <v>394</v>
      </c>
      <c r="V10" s="1104" t="s">
        <v>399</v>
      </c>
      <c r="W10" s="1104" t="s">
        <v>157</v>
      </c>
      <c r="X10" s="1104" t="s">
        <v>415</v>
      </c>
      <c r="Y10" s="195"/>
      <c r="Z10" s="746"/>
      <c r="AA10" s="746"/>
      <c r="AB10" s="746"/>
      <c r="AC10" s="746"/>
      <c r="AD10" s="746"/>
    </row>
    <row r="11" ht="15.6" customHeight="1" spans="1:34">
      <c r="B11" s="1116" t="s">
        <v>332</v>
      </c>
      <c r="C11" s="1101" t="s">
        <v>416</v>
      </c>
      <c r="D11" s="1106"/>
      <c r="E11" s="1107"/>
      <c r="F11" s="1108"/>
      <c r="G11" s="1109" t="s">
        <v>401</v>
      </c>
      <c r="H11" s="1101"/>
      <c r="I11" s="1108"/>
      <c r="J11" s="1101"/>
      <c r="K11" s="1108"/>
      <c r="L11" s="1110"/>
      <c r="M11" s="1101"/>
      <c r="N11" s="1108"/>
      <c r="O11" s="1101"/>
      <c r="P11" s="1117"/>
      <c r="Q11" s="1108"/>
      <c r="R11" s="1101"/>
      <c r="S11" s="1107"/>
      <c r="T11" s="1108"/>
      <c r="U11" s="1101"/>
      <c r="V11" s="1112"/>
      <c r="W11" s="1107"/>
      <c r="X11" s="1113"/>
      <c r="Y11" s="1114"/>
      <c r="Z11" s="746"/>
      <c r="AA11" s="746"/>
      <c r="AB11" s="746"/>
      <c r="AC11" s="746"/>
      <c r="AD11" s="746"/>
      <c r="AE11" s="1101" t="str">
        <f>C11</f>
        <v>李春梅</v>
      </c>
      <c r="AF11" s="941">
        <f>Y11</f>
        <v>0</v>
      </c>
    </row>
    <row r="12" ht="15.6" customHeight="1" spans="1:34">
      <c r="B12" s="1116" t="s">
        <v>332</v>
      </c>
      <c r="C12" s="1101" t="s">
        <v>417</v>
      </c>
      <c r="D12" s="1106"/>
      <c r="E12" s="1107"/>
      <c r="F12" s="1108"/>
      <c r="G12" s="1109"/>
      <c r="H12" s="1101"/>
      <c r="I12" s="1108"/>
      <c r="J12" s="1101"/>
      <c r="K12" s="1108"/>
      <c r="L12" s="1101"/>
      <c r="M12" s="1101"/>
      <c r="N12" s="1108"/>
      <c r="O12" s="1101"/>
      <c r="P12" s="1117"/>
      <c r="Q12" s="1108"/>
      <c r="R12" s="1101"/>
      <c r="S12" s="1107"/>
      <c r="T12" s="1108"/>
      <c r="U12" s="1101"/>
      <c r="V12" s="1112"/>
      <c r="W12" s="1107"/>
      <c r="X12" s="1113"/>
      <c r="Y12" s="1114"/>
      <c r="Z12" s="746"/>
      <c r="AA12" s="746"/>
      <c r="AB12" s="746"/>
      <c r="AC12" s="746"/>
      <c r="AD12" s="746"/>
      <c r="AE12" s="1101" t="str">
        <f>C12</f>
        <v>魏艳</v>
      </c>
      <c r="AF12" s="941">
        <f>Y12</f>
        <v>0</v>
      </c>
    </row>
    <row r="13" ht="15.6" customHeight="1" spans="1:34">
      <c r="A13" s="748"/>
      <c r="B13" s="1116" t="s">
        <v>332</v>
      </c>
      <c r="C13" s="1101" t="s">
        <v>418</v>
      </c>
      <c r="D13" s="1106"/>
      <c r="E13" s="1107"/>
      <c r="F13" s="1108"/>
      <c r="G13" s="1109"/>
      <c r="H13" s="1101"/>
      <c r="I13" s="1108"/>
      <c r="J13" s="1101"/>
      <c r="K13" s="1108"/>
      <c r="L13" s="1101"/>
      <c r="M13" s="1101"/>
      <c r="N13" s="1108"/>
      <c r="O13" s="1101"/>
      <c r="P13" s="1117"/>
      <c r="Q13" s="1108"/>
      <c r="R13" s="1101"/>
      <c r="S13" s="1107"/>
      <c r="T13" s="1108"/>
      <c r="U13" s="1101"/>
      <c r="V13" s="1112"/>
      <c r="W13" s="1107"/>
      <c r="X13" s="1113"/>
      <c r="Y13" s="1114"/>
      <c r="Z13" s="746"/>
      <c r="AA13" s="748"/>
      <c r="AB13" s="748"/>
      <c r="AC13" s="748"/>
      <c r="AD13" s="748"/>
      <c r="AE13" s="1101" t="str">
        <f>C13</f>
        <v>谷雨</v>
      </c>
      <c r="AF13" s="941">
        <f>Y13</f>
        <v>0</v>
      </c>
      <c r="AG13" s="748"/>
      <c r="AH13" s="748"/>
    </row>
    <row r="14" ht="15.6" customHeight="1" spans="1:34">
      <c r="B14" s="748"/>
      <c r="C14" s="748"/>
      <c r="D14" s="748"/>
      <c r="E14" s="746"/>
      <c r="F14" s="746"/>
      <c r="G14" s="746"/>
      <c r="H14" s="746"/>
      <c r="I14" s="746"/>
      <c r="J14" s="746"/>
      <c r="K14" s="746"/>
      <c r="L14" s="746"/>
      <c r="M14" s="746"/>
      <c r="N14" s="746"/>
      <c r="O14" s="746"/>
      <c r="P14" s="746"/>
      <c r="Q14" s="746"/>
      <c r="R14" s="746"/>
      <c r="S14" s="746"/>
      <c r="T14" s="746"/>
      <c r="U14" s="746"/>
      <c r="V14" s="746"/>
      <c r="W14" s="746"/>
      <c r="X14" s="746"/>
      <c r="Y14" s="746"/>
      <c r="Z14" s="746"/>
      <c r="AA14" s="746"/>
      <c r="AB14" s="746"/>
      <c r="AC14" s="746"/>
      <c r="AD14" s="746"/>
      <c r="AE14" s="1115"/>
    </row>
    <row r="15" ht="15.6" customHeight="1" spans="1:34">
      <c r="B15" s="1100" t="s">
        <v>380</v>
      </c>
      <c r="C15" s="1101" t="s">
        <v>381</v>
      </c>
      <c r="D15" s="1101" t="s">
        <v>406</v>
      </c>
      <c r="E15" s="192"/>
      <c r="F15" s="193"/>
      <c r="G15" s="1101" t="s">
        <v>407</v>
      </c>
      <c r="H15" s="192"/>
      <c r="I15" s="193"/>
      <c r="J15" s="1101" t="s">
        <v>408</v>
      </c>
      <c r="K15" s="192"/>
      <c r="L15" s="193"/>
      <c r="M15" s="1101" t="s">
        <v>409</v>
      </c>
      <c r="N15" s="192"/>
      <c r="O15" s="193"/>
      <c r="P15" s="1101" t="s">
        <v>419</v>
      </c>
      <c r="Q15" s="192"/>
      <c r="R15" s="192"/>
      <c r="S15" s="192"/>
      <c r="T15" s="192"/>
      <c r="U15" s="192"/>
      <c r="V15" s="192"/>
      <c r="W15" s="193"/>
      <c r="X15" s="1101" t="s">
        <v>420</v>
      </c>
      <c r="Y15" s="192"/>
      <c r="Z15" s="193"/>
      <c r="AA15" s="1101" t="s">
        <v>412</v>
      </c>
      <c r="AB15" s="192"/>
      <c r="AC15" s="193"/>
      <c r="AD15" s="1101" t="s">
        <v>382</v>
      </c>
      <c r="AE15" s="1115" t="s">
        <v>235</v>
      </c>
      <c r="AF15" s="941">
        <f>AD17</f>
        <v>0</v>
      </c>
    </row>
    <row r="16" ht="15.6" customHeight="1" spans="1:34">
      <c r="A16" s="748"/>
      <c r="B16" s="195"/>
      <c r="C16" s="195"/>
      <c r="D16" s="1103" t="s">
        <v>384</v>
      </c>
      <c r="E16" s="1103" t="s">
        <v>385</v>
      </c>
      <c r="F16" s="1103" t="s">
        <v>155</v>
      </c>
      <c r="G16" s="1103" t="s">
        <v>384</v>
      </c>
      <c r="H16" s="1103" t="s">
        <v>386</v>
      </c>
      <c r="I16" s="1103" t="s">
        <v>387</v>
      </c>
      <c r="J16" s="1104" t="s">
        <v>25</v>
      </c>
      <c r="K16" s="1104" t="s">
        <v>388</v>
      </c>
      <c r="L16" s="1104" t="s">
        <v>387</v>
      </c>
      <c r="M16" s="1104" t="s">
        <v>25</v>
      </c>
      <c r="N16" s="1104" t="s">
        <v>389</v>
      </c>
      <c r="O16" s="1104" t="s">
        <v>387</v>
      </c>
      <c r="P16" s="1104" t="s">
        <v>390</v>
      </c>
      <c r="Q16" s="1104" t="s">
        <v>391</v>
      </c>
      <c r="R16" s="1104" t="s">
        <v>392</v>
      </c>
      <c r="S16" s="1104" t="s">
        <v>393</v>
      </c>
      <c r="T16" s="1104" t="s">
        <v>394</v>
      </c>
      <c r="U16" s="1104" t="s">
        <v>395</v>
      </c>
      <c r="V16" s="1104" t="s">
        <v>396</v>
      </c>
      <c r="W16" s="1104" t="s">
        <v>394</v>
      </c>
      <c r="X16" s="1104" t="s">
        <v>393</v>
      </c>
      <c r="Y16" s="1104" t="s">
        <v>397</v>
      </c>
      <c r="Z16" s="1104" t="s">
        <v>398</v>
      </c>
      <c r="AA16" s="1104" t="s">
        <v>399</v>
      </c>
      <c r="AB16" s="1104" t="s">
        <v>157</v>
      </c>
      <c r="AC16" s="1104" t="s">
        <v>415</v>
      </c>
      <c r="AD16" s="195"/>
      <c r="AE16" s="1115" t="s">
        <v>421</v>
      </c>
      <c r="AF16" s="941">
        <f>W32</f>
        <v>0</v>
      </c>
      <c r="AG16" s="748"/>
      <c r="AH16" s="748"/>
    </row>
    <row r="17" ht="15.6" customHeight="1" spans="1:50">
      <c r="B17" s="1101" t="s">
        <v>422</v>
      </c>
      <c r="C17" s="1101" t="s">
        <v>235</v>
      </c>
      <c r="D17" s="1107"/>
      <c r="E17" s="1107"/>
      <c r="F17" s="1108"/>
      <c r="G17" s="1103" t="s">
        <v>401</v>
      </c>
      <c r="H17" s="1101"/>
      <c r="I17" s="1108"/>
      <c r="J17" s="1101"/>
      <c r="K17" s="1108"/>
      <c r="L17" s="1110">
        <f>K17*J17</f>
        <v>0</v>
      </c>
      <c r="M17" s="1101"/>
      <c r="N17" s="1108"/>
      <c r="O17" s="1101">
        <f>M17*N17</f>
        <v>0</v>
      </c>
      <c r="P17" s="1101"/>
      <c r="Q17" s="1108"/>
      <c r="R17" s="1107" t="str">
        <f>IFERROR(K17/Q17,"")</f>
        <v/>
      </c>
      <c r="S17" s="1108"/>
      <c r="T17" s="1101">
        <f>S17*K17</f>
        <v>0</v>
      </c>
      <c r="U17" s="1107" t="str">
        <f>IFERROR(N17/K17,"")</f>
        <v/>
      </c>
      <c r="V17" s="1108"/>
      <c r="W17" s="1101">
        <f>N17*V17</f>
        <v>0</v>
      </c>
      <c r="X17" s="1101"/>
      <c r="Y17" s="1108"/>
      <c r="Z17" s="1101">
        <f>X17*Y17</f>
        <v>0</v>
      </c>
      <c r="AA17" s="1112"/>
      <c r="AB17" s="1107" t="str">
        <f>IFERROR(K17/AA17,"")</f>
        <v/>
      </c>
      <c r="AC17" s="1113"/>
      <c r="AD17" s="1114">
        <f>I17+L17+O17+T17+W17+Z17-AC17-F17</f>
        <v>0</v>
      </c>
      <c r="AE17" s="1115"/>
    </row>
    <row r="18" spans="1:50">
      <c r="B18" s="748" t="s">
        <v>423</v>
      </c>
      <c r="C18" s="748"/>
      <c r="D18" s="748"/>
      <c r="E18" s="746"/>
      <c r="F18" s="746"/>
      <c r="G18" s="746"/>
      <c r="H18" s="746"/>
      <c r="I18" s="746"/>
      <c r="J18" s="746"/>
      <c r="K18" s="746"/>
      <c r="L18" s="746"/>
      <c r="M18" s="746"/>
      <c r="N18" s="746"/>
      <c r="O18" s="746"/>
      <c r="P18" s="746"/>
      <c r="Q18" s="746"/>
      <c r="R18" s="746"/>
      <c r="S18" s="746"/>
      <c r="T18" s="746"/>
      <c r="U18" s="746"/>
      <c r="V18" s="746"/>
      <c r="W18" s="746"/>
      <c r="X18" s="746"/>
      <c r="Y18" s="746"/>
      <c r="Z18" s="746"/>
      <c r="AA18" s="746"/>
      <c r="AB18" s="746"/>
      <c r="AC18" s="746"/>
      <c r="AD18" s="746"/>
    </row>
    <row r="19" spans="1:50">
      <c r="B19" s="748" t="s">
        <v>424</v>
      </c>
      <c r="C19" s="748"/>
      <c r="D19" s="748"/>
      <c r="E19" s="746"/>
      <c r="F19" s="746"/>
      <c r="G19" s="746"/>
      <c r="H19" s="746"/>
      <c r="I19" s="746"/>
      <c r="J19" s="746"/>
      <c r="K19" s="746"/>
      <c r="L19" s="746"/>
      <c r="M19" s="746"/>
      <c r="N19" s="746"/>
      <c r="O19" s="746"/>
      <c r="P19" s="746"/>
      <c r="Q19" s="746"/>
      <c r="R19" s="746"/>
      <c r="S19" s="746"/>
      <c r="T19" s="746"/>
      <c r="U19" s="746"/>
      <c r="V19" s="746"/>
      <c r="W19" s="746"/>
      <c r="X19" s="746"/>
      <c r="Y19" s="746"/>
      <c r="Z19" s="746"/>
      <c r="AA19" s="746"/>
      <c r="AB19" s="746"/>
      <c r="AC19" s="746"/>
      <c r="AD19" s="746"/>
    </row>
    <row r="20" ht="15.6" customHeight="1" spans="1:50">
      <c r="B20" s="748" t="s">
        <v>425</v>
      </c>
      <c r="C20" s="748"/>
      <c r="D20" s="748"/>
      <c r="E20" s="746"/>
      <c r="F20" s="746"/>
      <c r="G20" s="746"/>
      <c r="H20" s="1118"/>
      <c r="I20" s="746"/>
      <c r="J20" s="746"/>
      <c r="K20" s="746"/>
      <c r="L20" s="746"/>
      <c r="M20" s="746"/>
      <c r="N20" s="746"/>
      <c r="O20" s="746"/>
      <c r="P20" s="746"/>
      <c r="Q20" s="746"/>
      <c r="R20" s="746"/>
      <c r="S20" s="746"/>
      <c r="T20" s="746"/>
      <c r="U20" s="746"/>
      <c r="V20" s="746"/>
      <c r="W20" s="746"/>
      <c r="X20" s="746"/>
      <c r="Y20" s="746"/>
      <c r="Z20" s="746"/>
      <c r="AA20" s="746"/>
      <c r="AB20" s="746"/>
      <c r="AC20" s="746"/>
      <c r="AD20" s="746"/>
    </row>
    <row r="21" ht="12.9" customHeight="1" spans="1:50">
      <c r="B21" s="748" t="s">
        <v>426</v>
      </c>
      <c r="C21" s="748"/>
      <c r="D21" s="748"/>
      <c r="E21" s="746"/>
      <c r="F21" s="746"/>
      <c r="G21" s="746"/>
      <c r="H21" s="746"/>
      <c r="I21" s="746"/>
      <c r="J21" s="746"/>
      <c r="K21" s="746"/>
      <c r="L21" s="746"/>
      <c r="M21" s="746"/>
      <c r="N21" s="746"/>
      <c r="O21" s="746"/>
      <c r="P21" s="746"/>
      <c r="Q21" s="746"/>
      <c r="R21" s="746"/>
      <c r="S21" s="746"/>
      <c r="T21" s="746"/>
      <c r="U21" s="746"/>
      <c r="V21" s="746"/>
      <c r="W21" s="746"/>
      <c r="X21" s="746"/>
      <c r="Y21" s="746"/>
      <c r="Z21" s="746"/>
      <c r="AA21" s="746"/>
      <c r="AB21" s="746"/>
      <c r="AC21" s="746"/>
      <c r="AD21" s="746"/>
    </row>
    <row r="22" spans="1:50">
      <c r="B22" s="1119" t="s">
        <v>427</v>
      </c>
      <c r="C22" s="748"/>
      <c r="D22" s="748"/>
      <c r="E22" s="746"/>
      <c r="F22" s="746"/>
      <c r="G22" s="746"/>
      <c r="H22" s="746"/>
      <c r="I22" s="746"/>
      <c r="J22" s="746"/>
      <c r="K22" s="746"/>
      <c r="L22" s="746"/>
      <c r="M22" s="746"/>
      <c r="N22" s="746"/>
      <c r="O22" s="746"/>
      <c r="P22" s="746"/>
      <c r="Q22" s="746"/>
      <c r="R22" s="746"/>
      <c r="S22" s="746"/>
      <c r="T22" s="746"/>
      <c r="U22" s="746"/>
      <c r="V22" s="746"/>
      <c r="W22" s="746"/>
      <c r="X22" s="746"/>
      <c r="Y22" s="746"/>
      <c r="Z22" s="746"/>
      <c r="AA22" s="746"/>
      <c r="AB22" s="746"/>
      <c r="AC22" s="746"/>
      <c r="AD22" s="746"/>
    </row>
    <row r="23" spans="1:50">
      <c r="B23" s="1119" t="s">
        <v>428</v>
      </c>
      <c r="C23" s="748"/>
      <c r="D23" s="748"/>
      <c r="E23" s="746"/>
      <c r="F23" s="746"/>
      <c r="G23" s="746"/>
      <c r="H23" s="746"/>
      <c r="I23" s="746"/>
      <c r="J23" s="746"/>
      <c r="K23" s="746"/>
      <c r="L23" s="746"/>
      <c r="M23" s="746"/>
      <c r="N23" s="746"/>
      <c r="O23" s="746"/>
      <c r="P23" s="746"/>
      <c r="Q23" s="746"/>
      <c r="R23" s="746"/>
      <c r="S23" s="746"/>
      <c r="T23" s="746"/>
      <c r="U23" s="746"/>
      <c r="V23" s="746"/>
      <c r="W23" s="746"/>
      <c r="X23" s="746"/>
      <c r="Y23" s="746"/>
      <c r="Z23" s="746"/>
      <c r="AA23" s="746"/>
      <c r="AB23" s="746"/>
      <c r="AC23" s="746"/>
      <c r="AD23" s="746"/>
    </row>
    <row r="24" ht="36.75" customHeight="1" spans="1:50">
      <c r="B24" s="1119" t="s">
        <v>429</v>
      </c>
      <c r="C24" s="748"/>
      <c r="D24" s="748"/>
      <c r="E24" s="746"/>
      <c r="F24" s="746"/>
      <c r="G24" s="746"/>
      <c r="H24" s="746"/>
      <c r="I24" s="746"/>
      <c r="J24" s="746"/>
      <c r="K24" s="746"/>
      <c r="L24" s="746"/>
      <c r="M24" s="746"/>
      <c r="N24" s="746"/>
      <c r="O24" s="746"/>
      <c r="P24" s="746"/>
      <c r="Q24" s="746"/>
      <c r="R24" s="746"/>
      <c r="S24" s="746"/>
      <c r="T24" s="746"/>
      <c r="U24" s="746"/>
      <c r="V24" s="746"/>
      <c r="W24" s="746"/>
      <c r="X24" s="746"/>
      <c r="Y24" s="746"/>
      <c r="Z24" s="746"/>
      <c r="AA24" s="746"/>
      <c r="AB24" s="746"/>
      <c r="AC24" s="746"/>
      <c r="AD24" s="746"/>
    </row>
    <row r="25" ht="12.9" customHeight="1" spans="1:50">
      <c r="B25" s="1119" t="s">
        <v>430</v>
      </c>
      <c r="C25" s="748"/>
      <c r="D25" s="748"/>
      <c r="E25" s="746"/>
      <c r="F25" s="746"/>
      <c r="G25" s="746"/>
      <c r="H25" s="746"/>
      <c r="I25" s="746"/>
      <c r="J25" s="746"/>
      <c r="K25" s="746"/>
      <c r="L25" s="746"/>
      <c r="M25" s="746"/>
      <c r="N25" s="746"/>
      <c r="O25" s="746"/>
      <c r="P25" s="746"/>
      <c r="Q25" s="746"/>
      <c r="R25" s="746"/>
      <c r="S25" s="746"/>
      <c r="T25" s="746"/>
      <c r="U25" s="746"/>
      <c r="V25" s="746"/>
      <c r="W25" s="746"/>
      <c r="X25" s="746"/>
      <c r="Y25" s="746"/>
      <c r="Z25" s="746"/>
      <c r="AA25" s="746"/>
      <c r="AB25" s="746"/>
      <c r="AC25" s="746"/>
      <c r="AD25" s="746"/>
    </row>
    <row r="26" ht="12.9" customHeight="1" spans="1:50">
      <c r="B26" s="748" t="s">
        <v>431</v>
      </c>
      <c r="C26" s="748"/>
      <c r="D26" s="748"/>
      <c r="E26" s="746"/>
      <c r="F26" s="746"/>
      <c r="G26" s="746"/>
      <c r="H26" s="746"/>
      <c r="I26" s="746"/>
      <c r="J26" s="746"/>
      <c r="K26" s="746"/>
      <c r="L26" s="746"/>
      <c r="M26" s="746"/>
      <c r="N26" s="746"/>
      <c r="O26" s="746"/>
      <c r="P26" s="746"/>
      <c r="Q26" s="746"/>
      <c r="R26" s="746"/>
      <c r="S26" s="746"/>
      <c r="T26" s="746"/>
      <c r="U26" s="746"/>
      <c r="V26" s="746"/>
      <c r="W26" s="746"/>
      <c r="X26" s="746"/>
      <c r="Y26" s="746"/>
      <c r="Z26" s="746"/>
      <c r="AA26" s="746"/>
      <c r="AB26" s="746"/>
      <c r="AC26" s="746"/>
      <c r="AD26" s="746"/>
    </row>
    <row r="27" ht="12.9" customHeight="1" spans="1:50">
      <c r="B27" s="1120" t="s">
        <v>432</v>
      </c>
      <c r="P27" s="746"/>
      <c r="Q27" s="746"/>
      <c r="R27" s="746"/>
      <c r="S27" s="746"/>
      <c r="T27" s="746"/>
      <c r="U27" s="746"/>
      <c r="V27" s="746"/>
      <c r="W27" s="746"/>
      <c r="X27" s="746"/>
      <c r="Y27" s="746"/>
      <c r="Z27" s="746"/>
      <c r="AA27" s="746"/>
      <c r="AB27" s="746"/>
      <c r="AC27" s="746"/>
      <c r="AD27" s="746"/>
    </row>
    <row r="28" spans="1:50">
      <c r="B28" s="748"/>
      <c r="C28" s="748"/>
      <c r="D28" s="748"/>
      <c r="E28" s="746"/>
      <c r="F28" s="746"/>
      <c r="G28" s="746"/>
      <c r="H28" s="746"/>
      <c r="I28" s="746"/>
      <c r="J28" s="746"/>
      <c r="K28" s="746"/>
      <c r="L28" s="746"/>
      <c r="M28" s="746"/>
      <c r="N28" s="746"/>
      <c r="O28" s="746"/>
      <c r="P28" s="746"/>
      <c r="Q28" s="746"/>
      <c r="R28" s="746"/>
      <c r="S28" s="746"/>
      <c r="T28" s="746"/>
      <c r="U28" s="746"/>
      <c r="V28" s="746"/>
      <c r="W28" s="746"/>
      <c r="X28" s="746"/>
      <c r="Y28" s="746"/>
      <c r="Z28" s="746"/>
      <c r="AA28" s="746"/>
      <c r="AB28" s="746"/>
      <c r="AC28" s="746"/>
      <c r="AD28" s="746"/>
      <c r="AE28" s="1121"/>
      <c r="AF28" s="748"/>
      <c r="AG28" s="748"/>
      <c r="AH28" s="748"/>
      <c r="AI28" s="748"/>
      <c r="AJ28" s="748"/>
      <c r="AK28" s="748"/>
      <c r="AL28" s="748"/>
      <c r="AM28" s="748"/>
      <c r="AN28" s="748"/>
      <c r="AO28" s="748"/>
      <c r="AP28" s="748"/>
      <c r="AQ28" s="748"/>
      <c r="AR28" s="748"/>
      <c r="AS28" s="748"/>
      <c r="AT28" s="748"/>
      <c r="AU28" s="748"/>
      <c r="AV28" s="748"/>
      <c r="AW28" s="748"/>
      <c r="AX28" s="748"/>
    </row>
    <row r="29" spans="1:50">
      <c r="B29" s="748"/>
      <c r="C29" s="748"/>
      <c r="D29" s="748"/>
      <c r="E29" s="746"/>
      <c r="F29" s="746"/>
      <c r="G29" s="746"/>
      <c r="H29" s="746"/>
      <c r="I29" s="746"/>
      <c r="J29" s="746"/>
      <c r="K29" s="746"/>
      <c r="L29" s="746"/>
      <c r="M29" s="746"/>
      <c r="N29" s="746"/>
      <c r="O29" s="746"/>
      <c r="P29" s="746"/>
      <c r="Q29" s="746"/>
      <c r="R29" s="746"/>
      <c r="S29" s="746"/>
      <c r="T29" s="746"/>
      <c r="U29" s="746"/>
      <c r="V29" s="746"/>
      <c r="W29" s="746"/>
      <c r="X29" s="746"/>
      <c r="Y29" s="746"/>
      <c r="Z29" s="746"/>
      <c r="AA29" s="746"/>
      <c r="AB29" s="746"/>
      <c r="AC29" s="746"/>
      <c r="AD29" s="746"/>
      <c r="AE29" s="1121"/>
      <c r="AF29" s="748"/>
      <c r="AG29" s="748"/>
      <c r="AH29" s="748"/>
      <c r="AI29" s="748"/>
      <c r="AJ29" s="748"/>
      <c r="AK29" s="748"/>
      <c r="AL29" s="748"/>
      <c r="AM29" s="748"/>
      <c r="AN29" s="748"/>
      <c r="AO29" s="748"/>
      <c r="AP29" s="748"/>
      <c r="AQ29" s="748"/>
      <c r="AR29" s="748"/>
      <c r="AS29" s="748"/>
      <c r="AT29" s="748"/>
      <c r="AU29" s="748"/>
      <c r="AV29" s="748"/>
      <c r="AW29" s="748"/>
      <c r="AX29" s="748"/>
    </row>
    <row r="30" ht="15.6" customHeight="1" spans="1:50">
      <c r="C30" s="1122"/>
      <c r="D30" s="1122"/>
      <c r="E30" s="1122"/>
      <c r="F30" s="1122"/>
      <c r="G30" s="1122"/>
      <c r="H30" s="1122"/>
      <c r="I30" s="1122"/>
      <c r="J30" s="1122"/>
      <c r="K30" s="1122"/>
      <c r="L30" s="1123" t="s">
        <v>433</v>
      </c>
      <c r="M30" s="1122"/>
      <c r="N30" s="1122"/>
      <c r="O30" s="1122"/>
      <c r="P30" s="1122"/>
      <c r="Q30" s="1122"/>
      <c r="R30" s="1122"/>
      <c r="AB30" s="746"/>
      <c r="AC30" s="746"/>
      <c r="AD30" s="746"/>
      <c r="AE30" s="1121"/>
      <c r="AF30" s="748"/>
      <c r="AG30" s="748"/>
      <c r="AH30" s="748"/>
      <c r="AI30" s="748"/>
      <c r="AJ30" s="748"/>
      <c r="AK30" s="748"/>
      <c r="AL30" s="748"/>
      <c r="AM30" s="748"/>
      <c r="AN30" s="748"/>
      <c r="AO30" s="748"/>
      <c r="AP30" s="748"/>
      <c r="AQ30" s="748"/>
      <c r="AR30" s="748"/>
      <c r="AS30" s="748"/>
      <c r="AT30" s="748"/>
      <c r="AU30" s="748"/>
      <c r="AV30" s="748"/>
      <c r="AW30" s="748"/>
      <c r="AX30" s="748"/>
    </row>
    <row r="31" ht="57.6" customHeight="1" spans="1:50">
      <c r="A31" s="941"/>
      <c r="B31" s="941"/>
      <c r="C31" s="1124" t="s">
        <v>434</v>
      </c>
      <c r="D31" s="1124" t="s">
        <v>435</v>
      </c>
      <c r="E31" s="1125" t="s">
        <v>436</v>
      </c>
      <c r="F31" s="1125" t="s">
        <v>437</v>
      </c>
      <c r="G31" s="1125" t="s">
        <v>438</v>
      </c>
      <c r="H31" s="1125" t="s">
        <v>439</v>
      </c>
      <c r="I31" s="1125" t="s">
        <v>440</v>
      </c>
      <c r="J31" s="1125" t="s">
        <v>441</v>
      </c>
      <c r="K31" s="1125" t="s">
        <v>442</v>
      </c>
      <c r="L31" s="1125" t="s">
        <v>443</v>
      </c>
      <c r="M31" s="1125" t="s">
        <v>444</v>
      </c>
      <c r="N31" s="1125" t="s">
        <v>445</v>
      </c>
      <c r="O31" s="1125" t="s">
        <v>446</v>
      </c>
      <c r="P31" s="1126" t="s">
        <v>447</v>
      </c>
      <c r="Q31" s="1126" t="s">
        <v>448</v>
      </c>
      <c r="R31" s="1126" t="s">
        <v>449</v>
      </c>
      <c r="S31" s="1126" t="s">
        <v>450</v>
      </c>
      <c r="T31" s="941" t="s">
        <v>451</v>
      </c>
      <c r="U31" s="941" t="s">
        <v>155</v>
      </c>
      <c r="V31" s="941" t="s">
        <v>452</v>
      </c>
      <c r="W31" s="941" t="s">
        <v>453</v>
      </c>
      <c r="X31" s="941" t="s">
        <v>454</v>
      </c>
      <c r="Y31" s="746"/>
      <c r="Z31" s="746"/>
      <c r="AA31" s="746"/>
      <c r="AB31" s="746"/>
      <c r="AC31" s="746"/>
      <c r="AD31" s="746"/>
      <c r="AE31" s="1121"/>
      <c r="AF31" s="748"/>
      <c r="AG31" s="748"/>
      <c r="AH31" s="748"/>
      <c r="AI31" s="748"/>
      <c r="AJ31" s="748"/>
      <c r="AK31" s="748"/>
      <c r="AL31" s="748"/>
      <c r="AM31" s="748"/>
      <c r="AN31" s="748"/>
      <c r="AO31" s="748"/>
      <c r="AP31" s="748"/>
      <c r="AQ31" s="748"/>
      <c r="AR31" s="748"/>
      <c r="AS31" s="748"/>
      <c r="AT31" s="748"/>
      <c r="AU31" s="748"/>
      <c r="AV31" s="748"/>
      <c r="AW31" s="748"/>
      <c r="AX31" s="748"/>
    </row>
    <row r="32" ht="20.1" customHeight="1" spans="1:50">
      <c r="C32" s="668" t="s">
        <v>421</v>
      </c>
      <c r="D32" s="668" t="s">
        <v>455</v>
      </c>
      <c r="E32" s="668"/>
      <c r="F32" s="668"/>
      <c r="G32" s="1127"/>
      <c r="H32" s="1127"/>
      <c r="I32" s="668"/>
      <c r="J32" s="668"/>
      <c r="K32" s="668"/>
      <c r="L32" s="668"/>
      <c r="M32" s="668"/>
      <c r="N32" s="1128"/>
      <c r="O32" s="668"/>
      <c r="P32" s="1128"/>
      <c r="Q32" s="1127"/>
      <c r="R32" s="1127"/>
      <c r="S32" s="1129"/>
      <c r="T32" s="1129"/>
      <c r="U32" s="1130"/>
      <c r="V32" s="1131"/>
      <c r="W32" s="1132"/>
      <c r="X32" s="1133"/>
      <c r="Y32" s="746"/>
      <c r="Z32" s="746"/>
      <c r="AA32" s="746"/>
      <c r="AB32" s="746"/>
      <c r="AC32" s="746"/>
      <c r="AD32" s="746"/>
      <c r="AE32" s="1121"/>
      <c r="AF32" s="748"/>
      <c r="AG32" s="748"/>
      <c r="AH32" s="748"/>
      <c r="AI32" s="748"/>
      <c r="AJ32" s="748"/>
      <c r="AK32" s="748"/>
      <c r="AL32" s="748"/>
      <c r="AM32" s="748"/>
      <c r="AN32" s="748"/>
      <c r="AO32" s="748"/>
      <c r="AP32" s="748"/>
      <c r="AQ32" s="748"/>
      <c r="AR32" s="748"/>
      <c r="AS32" s="748"/>
      <c r="AT32" s="748"/>
      <c r="AU32" s="748"/>
      <c r="AV32" s="748"/>
      <c r="AW32" s="748"/>
      <c r="AX32" s="748"/>
    </row>
    <row r="35" spans="1:34">
      <c r="A35" s="748"/>
      <c r="B35" s="748"/>
      <c r="C35" s="748"/>
      <c r="D35" s="748"/>
      <c r="E35" s="748"/>
      <c r="F35" s="748"/>
      <c r="G35" s="748"/>
      <c r="H35" s="748"/>
      <c r="I35" s="748"/>
      <c r="J35" s="748"/>
      <c r="K35" s="617"/>
      <c r="L35" s="748"/>
      <c r="M35" s="748"/>
      <c r="N35" s="748"/>
      <c r="O35" s="748"/>
      <c r="P35" s="748"/>
      <c r="Q35" s="748"/>
      <c r="R35" s="748"/>
      <c r="S35" s="748"/>
      <c r="T35" s="748"/>
      <c r="U35" s="748"/>
      <c r="V35" s="748"/>
      <c r="W35" s="748"/>
      <c r="X35" s="748"/>
      <c r="Y35" s="748"/>
      <c r="Z35" s="748"/>
      <c r="AA35" s="748"/>
      <c r="AB35" s="748"/>
      <c r="AC35" s="748"/>
      <c r="AD35" s="748"/>
      <c r="AE35" s="1121"/>
      <c r="AF35" s="748"/>
      <c r="AG35" s="748"/>
      <c r="AH35" s="748"/>
    </row>
    <row r="36" ht="15.6" customHeight="1" spans="1:34">
      <c r="A36" s="1134"/>
      <c r="B36" s="1134"/>
      <c r="C36" s="1134"/>
      <c r="D36" s="1134"/>
      <c r="E36" s="1134"/>
      <c r="F36" s="1134"/>
      <c r="G36" s="1134"/>
      <c r="H36" s="1134"/>
      <c r="I36" s="1134"/>
      <c r="J36" s="1134"/>
      <c r="K36" s="1135"/>
      <c r="L36" s="1134"/>
      <c r="M36" s="1134"/>
      <c r="N36" s="1134"/>
      <c r="O36" s="1134"/>
      <c r="P36" s="1134"/>
      <c r="Q36" s="1134"/>
      <c r="R36" s="1134"/>
      <c r="S36" s="1134"/>
      <c r="T36" s="1134"/>
      <c r="U36" s="1134"/>
      <c r="V36" s="1134"/>
      <c r="W36" s="1134"/>
      <c r="X36" s="1134"/>
      <c r="Y36" s="1134"/>
      <c r="Z36" s="1134"/>
      <c r="AA36" s="1134"/>
      <c r="AB36" s="1134"/>
      <c r="AC36" s="1134"/>
      <c r="AD36" s="1134"/>
      <c r="AE36" s="1136"/>
      <c r="AF36" s="1134"/>
      <c r="AG36" s="1134"/>
      <c r="AH36" s="1134"/>
    </row>
    <row r="37" ht="15.6" customHeight="1" spans="1:34">
      <c r="A37" s="1134"/>
      <c r="B37" s="1134"/>
      <c r="C37" s="1134"/>
      <c r="D37" s="1134"/>
      <c r="E37" s="1134"/>
      <c r="F37" s="1134"/>
      <c r="G37" s="1134"/>
      <c r="H37" s="1134"/>
      <c r="I37" s="1134"/>
      <c r="J37" s="1134"/>
      <c r="K37" s="1135"/>
      <c r="L37" s="1134"/>
      <c r="M37" s="1134"/>
      <c r="N37" s="1134"/>
      <c r="O37" s="1134"/>
      <c r="P37" s="1134"/>
      <c r="Q37" s="1134"/>
      <c r="R37" s="1134"/>
      <c r="S37" s="1134"/>
      <c r="T37" s="1134"/>
      <c r="U37" s="1134"/>
      <c r="V37" s="1134"/>
      <c r="W37" s="1134"/>
      <c r="X37" s="1134"/>
      <c r="Y37" s="1134"/>
      <c r="Z37" s="1134"/>
      <c r="AA37" s="1134"/>
      <c r="AB37" s="1134"/>
      <c r="AC37" s="1134"/>
      <c r="AD37" s="1134"/>
      <c r="AE37" s="1136"/>
      <c r="AF37" s="1134"/>
      <c r="AG37" s="1134"/>
      <c r="AH37" s="1134"/>
    </row>
    <row r="38" ht="15.6" customHeight="1" spans="1:34">
      <c r="A38" s="1134"/>
      <c r="B38" s="1134"/>
      <c r="C38" s="1134"/>
      <c r="D38" s="1134"/>
      <c r="E38" s="1134"/>
      <c r="F38" s="1134"/>
      <c r="G38" s="1137"/>
      <c r="H38" s="1134"/>
      <c r="I38" s="1134"/>
      <c r="J38" s="1134"/>
      <c r="K38" s="1135"/>
      <c r="L38" s="1134"/>
      <c r="M38" s="1134"/>
      <c r="N38" s="1134"/>
      <c r="O38" s="1134"/>
      <c r="P38" s="1134"/>
      <c r="Q38" s="1134"/>
      <c r="R38" s="1134"/>
      <c r="S38" s="1134"/>
      <c r="T38" s="1134"/>
      <c r="U38" s="1134"/>
      <c r="V38" s="1134"/>
      <c r="W38" s="1134"/>
      <c r="X38" s="1134"/>
      <c r="Y38" s="1134"/>
      <c r="Z38" s="1134"/>
      <c r="AA38" s="1134"/>
      <c r="AB38" s="1134"/>
      <c r="AC38" s="1134"/>
      <c r="AD38" s="1134"/>
      <c r="AE38" s="1136"/>
      <c r="AF38" s="1134"/>
      <c r="AG38" s="1134"/>
      <c r="AH38" s="1134"/>
    </row>
    <row r="39" ht="15.6" customHeight="1" spans="1:34">
      <c r="A39" s="1134"/>
      <c r="B39" s="1134"/>
      <c r="C39" s="1134"/>
      <c r="D39" s="1134"/>
      <c r="E39" s="1134"/>
      <c r="F39" s="1134"/>
      <c r="G39" s="1134"/>
      <c r="H39" s="1134"/>
      <c r="I39" s="1134"/>
      <c r="J39" s="1134"/>
      <c r="K39" s="1135"/>
      <c r="L39" s="1134"/>
      <c r="M39" s="1134"/>
      <c r="N39" s="1134"/>
      <c r="O39" s="1134"/>
      <c r="P39" s="1134"/>
      <c r="Q39" s="1134"/>
      <c r="R39" s="1134"/>
      <c r="S39" s="1134"/>
      <c r="T39" s="1134"/>
      <c r="U39" s="1134"/>
      <c r="V39" s="1134"/>
      <c r="W39" s="1134"/>
      <c r="X39" s="1134"/>
      <c r="Y39" s="1134"/>
      <c r="Z39" s="1134"/>
      <c r="AA39" s="1134"/>
      <c r="AB39" s="1134"/>
      <c r="AC39" s="1134"/>
      <c r="AD39" s="1134"/>
      <c r="AE39" s="1136"/>
      <c r="AF39" s="1134"/>
      <c r="AG39" s="1134"/>
      <c r="AH39" s="1134"/>
    </row>
    <row r="40" ht="15.6" customHeight="1" spans="1:34">
      <c r="A40" s="1138"/>
      <c r="B40" s="1134"/>
      <c r="C40" s="1134"/>
      <c r="D40" s="1134"/>
      <c r="E40" s="1134"/>
      <c r="F40" s="1134"/>
      <c r="G40" s="1134"/>
      <c r="H40" s="1134"/>
      <c r="I40" s="1134"/>
      <c r="J40" s="1134"/>
      <c r="K40" s="1135"/>
      <c r="L40" s="1134"/>
      <c r="M40" s="1134"/>
      <c r="N40" s="1134"/>
      <c r="O40" s="1134"/>
      <c r="P40" s="1134"/>
      <c r="Q40" s="1134"/>
      <c r="R40" s="1134"/>
      <c r="S40" s="1134"/>
      <c r="T40" s="1134"/>
      <c r="U40" s="1134"/>
      <c r="V40" s="1134"/>
      <c r="W40" s="1134"/>
      <c r="X40" s="1134"/>
      <c r="Y40" s="1134"/>
      <c r="Z40" s="1134"/>
      <c r="AA40" s="1134"/>
      <c r="AB40" s="1134"/>
      <c r="AC40" s="1134"/>
      <c r="AD40" s="1134"/>
      <c r="AE40" s="1136"/>
      <c r="AF40" s="1134"/>
      <c r="AG40" s="1134"/>
      <c r="AH40" s="1134"/>
    </row>
    <row r="41" ht="15.6" customHeight="1" spans="1:34">
      <c r="A41" s="1138"/>
      <c r="B41" s="1134"/>
      <c r="C41" s="1134"/>
      <c r="D41" s="1134"/>
      <c r="E41" s="1134"/>
      <c r="F41" s="1134"/>
      <c r="G41" s="1134"/>
      <c r="H41" s="1134"/>
      <c r="I41" s="1134"/>
      <c r="J41" s="1134"/>
      <c r="K41" s="1135"/>
      <c r="L41" s="1134"/>
      <c r="M41" s="1134"/>
      <c r="N41" s="1134"/>
      <c r="O41" s="1134"/>
      <c r="P41" s="1134"/>
      <c r="Q41" s="1134"/>
      <c r="R41" s="1134"/>
      <c r="S41" s="1134"/>
      <c r="T41" s="1134"/>
      <c r="U41" s="1134"/>
      <c r="V41" s="1134"/>
      <c r="W41" s="1134"/>
      <c r="X41" s="1134"/>
      <c r="Y41" s="1134"/>
      <c r="Z41" s="1134"/>
      <c r="AA41" s="1134"/>
      <c r="AB41" s="1134"/>
      <c r="AC41" s="1134"/>
      <c r="AD41" s="1134"/>
      <c r="AE41" s="1136"/>
      <c r="AF41" s="1134"/>
      <c r="AG41" s="1134"/>
      <c r="AH41" s="1134"/>
    </row>
    <row r="42" ht="15.6" customHeight="1" spans="1:34">
      <c r="A42" s="1138"/>
      <c r="B42" s="1134"/>
      <c r="C42" s="1134"/>
      <c r="D42" s="1134"/>
      <c r="E42" s="1134"/>
      <c r="F42" s="1134"/>
      <c r="G42" s="1134"/>
      <c r="H42" s="1134"/>
      <c r="I42" s="1134"/>
      <c r="J42" s="1134"/>
      <c r="K42" s="1135"/>
      <c r="L42" s="1134"/>
      <c r="M42" s="1134"/>
      <c r="N42" s="1134"/>
      <c r="O42" s="1134"/>
      <c r="P42" s="1134"/>
      <c r="Q42" s="1134"/>
      <c r="R42" s="1134"/>
      <c r="S42" s="1134"/>
      <c r="T42" s="1134"/>
      <c r="U42" s="1134"/>
      <c r="V42" s="1134"/>
      <c r="W42" s="1134"/>
      <c r="X42" s="1134"/>
      <c r="Y42" s="1134"/>
      <c r="Z42" s="1134"/>
      <c r="AA42" s="1134"/>
      <c r="AB42" s="1134"/>
      <c r="AC42" s="1134"/>
      <c r="AD42" s="1134"/>
      <c r="AE42" s="1136"/>
      <c r="AF42" s="1134"/>
      <c r="AG42" s="1134"/>
      <c r="AH42" s="1134"/>
    </row>
    <row r="43" ht="15.6" customHeight="1" spans="1:34">
      <c r="A43" s="1134"/>
      <c r="B43" s="1134"/>
      <c r="C43" s="1134"/>
      <c r="D43" s="1134"/>
      <c r="E43" s="1134"/>
      <c r="F43" s="1134"/>
      <c r="G43" s="1134"/>
      <c r="H43" s="1134"/>
      <c r="I43" s="1134"/>
      <c r="J43" s="1134"/>
      <c r="K43" s="1135"/>
      <c r="L43" s="1134"/>
      <c r="M43" s="1134"/>
      <c r="N43" s="1134"/>
      <c r="O43" s="1134"/>
      <c r="P43" s="1134"/>
      <c r="Q43" s="1134"/>
      <c r="R43" s="1134"/>
      <c r="S43" s="1134"/>
      <c r="T43" s="1134"/>
      <c r="U43" s="1134"/>
      <c r="V43" s="1134"/>
      <c r="W43" s="1134"/>
      <c r="X43" s="1134"/>
      <c r="Y43" s="1134"/>
      <c r="Z43" s="1134"/>
      <c r="AA43" s="1134"/>
      <c r="AB43" s="1134"/>
      <c r="AC43" s="1134"/>
      <c r="AD43" s="1134"/>
      <c r="AE43" s="1136"/>
      <c r="AF43" s="1134"/>
      <c r="AG43" s="1134"/>
      <c r="AH43" s="1134"/>
    </row>
  </sheetData>
  <mergeCells count="32">
    <mergeCell ref="D1:F1"/>
    <mergeCell ref="G1:I1"/>
    <mergeCell ref="J1:L1"/>
    <mergeCell ref="M1:O1"/>
    <mergeCell ref="P1:W1"/>
    <mergeCell ref="X1:Z1"/>
    <mergeCell ref="AA1:AC1"/>
    <mergeCell ref="D9:F9"/>
    <mergeCell ref="G9:I9"/>
    <mergeCell ref="J9:L9"/>
    <mergeCell ref="M9:O9"/>
    <mergeCell ref="P9:R9"/>
    <mergeCell ref="S9:U9"/>
    <mergeCell ref="V9:X9"/>
    <mergeCell ref="D15:F15"/>
    <mergeCell ref="G15:I15"/>
    <mergeCell ref="J15:L15"/>
    <mergeCell ref="M15:O15"/>
    <mergeCell ref="P15:W15"/>
    <mergeCell ref="X15:Z15"/>
    <mergeCell ref="AA15:AC15"/>
    <mergeCell ref="B27:O27"/>
    <mergeCell ref="B1:B2"/>
    <mergeCell ref="B9:B10"/>
    <mergeCell ref="B15:B16"/>
    <mergeCell ref="C1:C2"/>
    <mergeCell ref="C9:C10"/>
    <mergeCell ref="C15:C16"/>
    <mergeCell ref="Y9:Y10"/>
    <mergeCell ref="AD1:AD2"/>
    <mergeCell ref="AD15:AD16"/>
    <mergeCell ref="AF1:AF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10"/>
  <sheetViews>
    <sheetView workbookViewId="0">
      <selection activeCell="A1" sqref="A1:I1"/>
    </sheetView>
  </sheetViews>
  <sheetFormatPr defaultColWidth="9" defaultRowHeight="16.8"/>
  <cols>
    <col min="1" max="1" width="11" customWidth="1"/>
    <col min="2" max="2" width="16.4423076923077" customWidth="1"/>
    <col min="3" max="3" width="15.4423076923077" customWidth="1"/>
    <col min="4" max="5" width="11" customWidth="1"/>
    <col min="8" max="8" width="16.4423076923077" customWidth="1"/>
    <col min="9" max="9" width="74.8846153846154" customWidth="1"/>
    <col min="10" max="10" width="11" customWidth="1"/>
    <col min="34" max="34" width="19.3365384615385" customWidth="1"/>
    <col min="35" max="35" width="18.4423076923077" customWidth="1"/>
    <col min="36" max="36" width="12.3365384615385" customWidth="1"/>
    <col min="37" max="37" width="18" customWidth="1"/>
    <col min="38" max="38" width="11.6634615384615" customWidth="1"/>
    <col min="39" max="39" width="10.1153846153846" customWidth="1"/>
    <col min="40" max="40" width="27.4423076923077" customWidth="1"/>
    <col min="41" max="41" width="17.6634615384615" customWidth="1"/>
    <col min="42" max="42" width="15.1153846153846" customWidth="1"/>
    <col min="43" max="43" width="23.6634615384615" customWidth="1"/>
    <col min="44" max="44" width="19.6634615384615" customWidth="1"/>
    <col min="46" max="46" width="14.4423076923077" customWidth="1"/>
    <col min="47" max="47" width="10.1153846153846" customWidth="1"/>
    <col min="48" max="48" width="11" customWidth="1"/>
  </cols>
  <sheetData>
    <row r="1" ht="18.35" spans="1:47">
      <c r="A1" s="1036" t="s">
        <v>456</v>
      </c>
      <c r="AO1" s="433" t="s">
        <v>457</v>
      </c>
      <c r="AP1" s="452" t="s">
        <v>458</v>
      </c>
      <c r="AQ1" s="452" t="s">
        <v>459</v>
      </c>
      <c r="AR1" s="452" t="s">
        <v>460</v>
      </c>
      <c r="AS1" s="452" t="s">
        <v>461</v>
      </c>
      <c r="AT1" s="452" t="s">
        <v>462</v>
      </c>
    </row>
    <row r="2" ht="60.45" customHeight="1" spans="1:47">
      <c r="A2" s="1037" t="s">
        <v>463</v>
      </c>
      <c r="B2" s="1037" t="s">
        <v>464</v>
      </c>
      <c r="C2" s="1038" t="s">
        <v>465</v>
      </c>
      <c r="D2" s="1037" t="s">
        <v>466</v>
      </c>
      <c r="E2" s="1039" t="s">
        <v>467</v>
      </c>
      <c r="F2" s="193"/>
      <c r="G2" s="1039" t="s">
        <v>468</v>
      </c>
      <c r="H2" s="193"/>
      <c r="I2" s="1040" t="s">
        <v>310</v>
      </c>
      <c r="K2" s="1041" t="s">
        <v>380</v>
      </c>
      <c r="L2" s="1041" t="s">
        <v>469</v>
      </c>
      <c r="M2" s="1041" t="s">
        <v>470</v>
      </c>
      <c r="N2" s="1041" t="s">
        <v>471</v>
      </c>
      <c r="O2" s="1041" t="s">
        <v>472</v>
      </c>
      <c r="P2" s="1041" t="s">
        <v>473</v>
      </c>
      <c r="Q2" s="1041" t="s">
        <v>474</v>
      </c>
      <c r="R2" s="1041" t="s">
        <v>475</v>
      </c>
      <c r="S2" s="1041" t="s">
        <v>476</v>
      </c>
      <c r="T2" s="1041" t="s">
        <v>477</v>
      </c>
      <c r="U2" s="1041" t="s">
        <v>478</v>
      </c>
      <c r="V2" s="1041" t="s">
        <v>479</v>
      </c>
      <c r="W2" s="1041" t="s">
        <v>480</v>
      </c>
      <c r="X2" s="1041" t="s">
        <v>481</v>
      </c>
      <c r="Y2" s="1041" t="s">
        <v>482</v>
      </c>
      <c r="Z2" s="1041" t="s">
        <v>483</v>
      </c>
      <c r="AA2" s="1041" t="s">
        <v>484</v>
      </c>
      <c r="AB2" s="1041" t="s">
        <v>485</v>
      </c>
      <c r="AC2" s="1041"/>
      <c r="AD2" s="1042" t="s">
        <v>295</v>
      </c>
      <c r="AE2" s="1042" t="s">
        <v>310</v>
      </c>
      <c r="AH2" s="1043" t="s">
        <v>486</v>
      </c>
      <c r="AI2" s="1044"/>
      <c r="AJ2" s="1044"/>
      <c r="AK2" s="1044"/>
      <c r="AL2" s="1045"/>
      <c r="AN2" s="1046" t="s">
        <v>487</v>
      </c>
      <c r="AO2" s="1046" t="s">
        <v>488</v>
      </c>
      <c r="AP2" s="1047" t="s">
        <v>489</v>
      </c>
      <c r="AQ2" s="1047" t="s">
        <v>490</v>
      </c>
      <c r="AR2" s="1047" t="s">
        <v>491</v>
      </c>
      <c r="AS2" s="1047" t="s">
        <v>492</v>
      </c>
      <c r="AT2" s="1047" t="s">
        <v>493</v>
      </c>
    </row>
    <row r="3" ht="39.45" customHeight="1" spans="1:47">
      <c r="A3" s="195"/>
      <c r="B3" s="195"/>
      <c r="C3" s="195"/>
      <c r="D3" s="195"/>
      <c r="E3" s="1039" t="s">
        <v>494</v>
      </c>
      <c r="F3" s="1039" t="s">
        <v>193</v>
      </c>
      <c r="G3" s="1039" t="s">
        <v>494</v>
      </c>
      <c r="H3" s="1039" t="s">
        <v>193</v>
      </c>
      <c r="I3" s="195"/>
      <c r="K3" s="1048" t="s">
        <v>495</v>
      </c>
      <c r="L3" s="1049"/>
      <c r="M3" s="1049"/>
      <c r="N3" s="1049"/>
      <c r="O3" s="1049"/>
      <c r="P3" s="1050">
        <f>SUM(L3:O3)*2</f>
        <v>0</v>
      </c>
      <c r="Q3" s="1049"/>
      <c r="R3" s="1051">
        <f>Q3*6</f>
        <v>0</v>
      </c>
      <c r="S3" s="1052"/>
      <c r="T3" s="1051">
        <f>S3*5</f>
        <v>0</v>
      </c>
      <c r="U3" s="1052"/>
      <c r="V3" s="1053">
        <f>U3*2</f>
        <v>0</v>
      </c>
      <c r="W3" s="1049"/>
      <c r="X3" s="1054">
        <f>W3*50</f>
        <v>0</v>
      </c>
      <c r="Y3" s="1050"/>
      <c r="Z3" s="1049"/>
      <c r="AA3" s="1050"/>
      <c r="AB3" s="1053"/>
      <c r="AC3" s="1055"/>
      <c r="AD3" s="1056">
        <f>SUM(P3,R3,T3,V3,X3,Y3,AA3,AB3)</f>
        <v>0</v>
      </c>
      <c r="AE3" s="1057"/>
      <c r="AF3" s="1058"/>
      <c r="AH3" s="1047" t="s">
        <v>496</v>
      </c>
      <c r="AI3" s="1046" t="s">
        <v>497</v>
      </c>
      <c r="AJ3" s="1047"/>
      <c r="AK3" s="1047"/>
      <c r="AL3" s="1059"/>
      <c r="AM3" s="433"/>
      <c r="AN3" s="1046" t="s">
        <v>498</v>
      </c>
      <c r="AO3" s="1046"/>
      <c r="AP3" s="1047">
        <f>727+847</f>
        <v>1574</v>
      </c>
      <c r="AQ3" s="1047"/>
      <c r="AR3" s="1047"/>
      <c r="AS3" s="1047"/>
      <c r="AT3" s="1047"/>
      <c r="AU3" s="433"/>
    </row>
    <row r="4" ht="18" spans="1:47">
      <c r="A4" s="1037" t="s">
        <v>499</v>
      </c>
      <c r="B4" s="1060" t="s">
        <v>500</v>
      </c>
      <c r="C4" s="1038"/>
      <c r="D4" s="1060"/>
      <c r="E4" s="1039"/>
      <c r="F4" s="1039">
        <f t="shared" ref="F4:F41" si="0">D4*E4</f>
        <v>0</v>
      </c>
      <c r="G4" s="1039"/>
      <c r="H4" s="1039">
        <f t="shared" ref="H4:H41" si="1">G4*D4</f>
        <v>0</v>
      </c>
      <c r="I4" s="1061"/>
      <c r="K4" s="1062" t="s">
        <v>162</v>
      </c>
      <c r="L4" s="1063"/>
      <c r="M4" s="1063"/>
      <c r="N4" s="1063"/>
      <c r="O4" s="1063"/>
      <c r="P4" s="1050"/>
      <c r="Q4" s="1063"/>
      <c r="R4" s="1051"/>
      <c r="S4" s="1063"/>
      <c r="T4" s="1051"/>
      <c r="U4" s="1063"/>
      <c r="V4" s="1051"/>
      <c r="W4" s="1063"/>
      <c r="X4" s="1051"/>
      <c r="Y4" s="1050"/>
      <c r="Z4" s="1063"/>
      <c r="AA4" s="1050"/>
      <c r="AB4" s="1053"/>
      <c r="AC4" s="1053"/>
      <c r="AD4" s="1064"/>
      <c r="AE4" s="1064"/>
      <c r="AH4" s="195"/>
      <c r="AI4" s="1046" t="s">
        <v>501</v>
      </c>
      <c r="AJ4" s="1047" t="s">
        <v>502</v>
      </c>
      <c r="AK4" s="1047" t="s">
        <v>503</v>
      </c>
      <c r="AL4" s="1059" t="s">
        <v>504</v>
      </c>
      <c r="AM4" s="433"/>
      <c r="AN4" s="1046" t="s">
        <v>505</v>
      </c>
      <c r="AO4" s="1065"/>
      <c r="AP4" s="1066"/>
      <c r="AQ4" s="1066">
        <f>+AP4-AO4</f>
        <v>0</v>
      </c>
      <c r="AR4" s="1047"/>
      <c r="AS4" s="1047">
        <f>+IF(AQ4&lt;1%,20,IF(AQ4&lt;3%,30,40))</f>
        <v>20</v>
      </c>
      <c r="AT4" s="1047">
        <f>AR4*AS4</f>
        <v>0</v>
      </c>
      <c r="AU4" s="433"/>
    </row>
    <row r="5" ht="20.4" customHeight="1" spans="1:47">
      <c r="A5" s="1037" t="s">
        <v>499</v>
      </c>
      <c r="B5" s="1060" t="s">
        <v>506</v>
      </c>
      <c r="C5" s="1038"/>
      <c r="D5" s="1060"/>
      <c r="E5" s="1039"/>
      <c r="F5" s="1039">
        <f t="shared" si="0"/>
        <v>0</v>
      </c>
      <c r="G5" s="1039"/>
      <c r="H5" s="1039">
        <f t="shared" si="1"/>
        <v>0</v>
      </c>
      <c r="I5" s="1061"/>
      <c r="K5" s="1067" t="s">
        <v>507</v>
      </c>
      <c r="L5" s="1068"/>
      <c r="M5" s="1068"/>
      <c r="N5" s="1068"/>
      <c r="O5" s="1068"/>
      <c r="P5" s="1068"/>
      <c r="Q5" s="1068"/>
      <c r="R5" s="1068"/>
      <c r="S5" s="1068"/>
      <c r="T5" s="1068"/>
      <c r="U5" s="1068"/>
      <c r="V5" s="1068"/>
      <c r="W5" s="1068"/>
      <c r="X5" s="1068"/>
      <c r="Y5" s="1068"/>
      <c r="Z5" s="1068"/>
      <c r="AA5" s="1068"/>
      <c r="AB5" s="1068"/>
      <c r="AC5" s="1068"/>
      <c r="AD5" s="1068"/>
      <c r="AE5" s="433"/>
      <c r="AH5" s="1047" t="s">
        <v>508</v>
      </c>
      <c r="AI5" s="1046" t="s">
        <v>497</v>
      </c>
      <c r="AJ5" s="1047"/>
      <c r="AK5" s="1047"/>
      <c r="AL5" s="1059"/>
      <c r="AM5" s="433"/>
      <c r="AN5" s="1046" t="s">
        <v>509</v>
      </c>
      <c r="AO5" s="1065"/>
      <c r="AP5" s="1069"/>
      <c r="AQ5" s="1069"/>
      <c r="AR5" s="1047"/>
      <c r="AS5" s="1047">
        <f>+IF(AQ5&gt;=3%,50,IF(AQ5&gt;=1%,40,30))</f>
        <v>30</v>
      </c>
      <c r="AT5" s="1047">
        <f>AR5*AS5</f>
        <v>0</v>
      </c>
      <c r="AU5" s="433"/>
    </row>
    <row r="6" ht="20.4" customHeight="1" spans="1:47">
      <c r="A6" s="1037" t="s">
        <v>499</v>
      </c>
      <c r="B6" s="1060" t="s">
        <v>510</v>
      </c>
      <c r="C6" s="1038"/>
      <c r="D6" s="1060"/>
      <c r="E6" s="1039"/>
      <c r="F6" s="1039">
        <f t="shared" si="0"/>
        <v>0</v>
      </c>
      <c r="G6" s="1039"/>
      <c r="H6" s="1039">
        <f t="shared" si="1"/>
        <v>0</v>
      </c>
      <c r="I6" s="1061"/>
      <c r="K6" s="1068"/>
      <c r="L6" s="1068"/>
      <c r="M6" s="1068"/>
      <c r="N6" s="1068"/>
      <c r="O6" s="1068"/>
      <c r="P6" s="1068"/>
      <c r="Q6" s="1068"/>
      <c r="R6" s="1068"/>
      <c r="S6" s="1068"/>
      <c r="T6" s="1068"/>
      <c r="U6" s="1068"/>
      <c r="V6" s="1068"/>
      <c r="W6" s="1068"/>
      <c r="X6" s="1068"/>
      <c r="Y6" s="1068"/>
      <c r="Z6" s="1068"/>
      <c r="AA6" s="1068"/>
      <c r="AB6" s="1068"/>
      <c r="AC6" s="1068"/>
      <c r="AD6" s="1068"/>
      <c r="AE6" s="433"/>
      <c r="AH6" s="195"/>
      <c r="AI6" s="1046" t="s">
        <v>501</v>
      </c>
      <c r="AJ6" s="1047" t="s">
        <v>502</v>
      </c>
      <c r="AK6" s="1047" t="s">
        <v>503</v>
      </c>
      <c r="AL6" s="1059" t="s">
        <v>504</v>
      </c>
      <c r="AM6" s="433"/>
      <c r="AN6" s="1046" t="s">
        <v>511</v>
      </c>
      <c r="AO6" s="1065"/>
      <c r="AP6" s="1066"/>
      <c r="AQ6" s="1066">
        <f>+AP6-AO6</f>
        <v>0</v>
      </c>
      <c r="AR6" s="1047"/>
      <c r="AS6" s="1047">
        <f>+IF(AQ6&lt;1%,10,IF(AQ6&lt;3%,20,30))</f>
        <v>10</v>
      </c>
      <c r="AT6" s="1047">
        <f>AR6*AS6</f>
        <v>0</v>
      </c>
      <c r="AU6" s="433"/>
    </row>
    <row r="7" ht="20.4" customHeight="1" spans="1:47">
      <c r="A7" s="1037" t="s">
        <v>499</v>
      </c>
      <c r="B7" s="1060" t="s">
        <v>512</v>
      </c>
      <c r="C7" s="1038"/>
      <c r="D7" s="1060"/>
      <c r="E7" s="1039"/>
      <c r="F7" s="1039">
        <f t="shared" si="0"/>
        <v>0</v>
      </c>
      <c r="G7" s="1039"/>
      <c r="H7" s="1039">
        <f t="shared" si="1"/>
        <v>0</v>
      </c>
      <c r="I7" s="1061"/>
      <c r="K7" s="1068"/>
      <c r="L7" s="1068"/>
      <c r="M7" s="1068"/>
      <c r="N7" s="1068"/>
      <c r="O7" s="1068"/>
      <c r="P7" s="1068"/>
      <c r="Q7" s="1068"/>
      <c r="R7" s="1068"/>
      <c r="S7" s="1068"/>
      <c r="T7" s="1068"/>
      <c r="U7" s="1068"/>
      <c r="V7" s="1068"/>
      <c r="W7" s="1068"/>
      <c r="X7" s="1068"/>
      <c r="Y7" s="1068"/>
      <c r="Z7" s="1068"/>
      <c r="AA7" s="1068"/>
      <c r="AB7" s="1068"/>
      <c r="AC7" s="1068"/>
      <c r="AD7" s="1068"/>
      <c r="AE7" s="433"/>
      <c r="AH7" s="1047" t="s">
        <v>511</v>
      </c>
      <c r="AI7" s="1046" t="s">
        <v>497</v>
      </c>
      <c r="AJ7" s="1047"/>
      <c r="AK7" s="1047"/>
      <c r="AL7" s="1059"/>
      <c r="AM7" s="433"/>
      <c r="AN7" s="1046" t="s">
        <v>513</v>
      </c>
      <c r="AO7" s="1047" t="s">
        <v>467</v>
      </c>
      <c r="AP7" s="192"/>
      <c r="AQ7" s="192"/>
      <c r="AR7" s="192"/>
      <c r="AS7" s="193"/>
      <c r="AT7" s="1047">
        <f>SUM(AT3:AT6)</f>
        <v>0</v>
      </c>
      <c r="AU7" s="433"/>
    </row>
    <row r="8" ht="20.4" customHeight="1" spans="1:47">
      <c r="A8" s="1037" t="s">
        <v>499</v>
      </c>
      <c r="B8" s="1060" t="s">
        <v>514</v>
      </c>
      <c r="C8" s="1038"/>
      <c r="D8" s="1060"/>
      <c r="E8" s="1039"/>
      <c r="F8" s="1039">
        <f t="shared" si="0"/>
        <v>0</v>
      </c>
      <c r="G8" s="1039"/>
      <c r="H8" s="1039">
        <f t="shared" si="1"/>
        <v>0</v>
      </c>
      <c r="I8" s="1061"/>
      <c r="K8" s="1068"/>
      <c r="L8" s="1068"/>
      <c r="M8" s="1068"/>
      <c r="N8" s="1068"/>
      <c r="O8" s="1068"/>
      <c r="P8" s="1068"/>
      <c r="Q8" s="1068"/>
      <c r="R8" s="1068"/>
      <c r="S8" s="1068"/>
      <c r="T8" s="1068"/>
      <c r="U8" s="1068"/>
      <c r="V8" s="1068"/>
      <c r="W8" s="1068"/>
      <c r="X8" s="1068"/>
      <c r="Y8" s="1068"/>
      <c r="Z8" s="1068"/>
      <c r="AA8" s="1068"/>
      <c r="AB8" s="1068"/>
      <c r="AC8" s="1068"/>
      <c r="AD8" s="1068"/>
      <c r="AE8" s="433"/>
      <c r="AH8" s="195"/>
      <c r="AI8" s="1070" t="s">
        <v>501</v>
      </c>
      <c r="AJ8" s="1071" t="s">
        <v>502</v>
      </c>
      <c r="AK8" s="1071" t="s">
        <v>503</v>
      </c>
      <c r="AL8" s="1072" t="s">
        <v>504</v>
      </c>
      <c r="AM8" s="433"/>
      <c r="AN8" s="433"/>
      <c r="AO8" s="433"/>
      <c r="AP8" s="452"/>
      <c r="AQ8" s="452"/>
      <c r="AR8" s="452"/>
      <c r="AS8" s="452"/>
      <c r="AT8" s="452"/>
      <c r="AU8" s="433"/>
    </row>
    <row r="9" ht="20.4" customHeight="1" spans="1:47">
      <c r="A9" s="1037" t="s">
        <v>499</v>
      </c>
      <c r="B9" s="1060" t="s">
        <v>469</v>
      </c>
      <c r="C9" s="1038"/>
      <c r="D9" s="1060"/>
      <c r="E9" s="1039"/>
      <c r="F9" s="1039">
        <f t="shared" si="0"/>
        <v>0</v>
      </c>
      <c r="G9" s="1039"/>
      <c r="H9" s="1039">
        <f t="shared" si="1"/>
        <v>0</v>
      </c>
      <c r="I9" s="1061"/>
      <c r="K9" s="1068"/>
      <c r="L9" s="1068"/>
      <c r="M9" s="1068"/>
      <c r="N9" s="1068"/>
      <c r="O9" s="1068"/>
      <c r="P9" s="1068"/>
      <c r="Q9" s="1068"/>
      <c r="R9" s="1068"/>
      <c r="S9" s="1068"/>
      <c r="T9" s="1068"/>
      <c r="U9" s="1068"/>
      <c r="V9" s="1068"/>
      <c r="W9" s="1068"/>
      <c r="X9" s="1068"/>
      <c r="Y9" s="1068"/>
      <c r="Z9" s="1068"/>
      <c r="AA9" s="1068"/>
      <c r="AB9" s="1068"/>
      <c r="AC9" s="1068"/>
      <c r="AD9" s="1068"/>
      <c r="AE9" s="433"/>
      <c r="AH9" s="1073" t="s">
        <v>515</v>
      </c>
      <c r="AI9" s="1073"/>
      <c r="AJ9" s="1073"/>
      <c r="AK9" s="1073"/>
      <c r="AL9" s="1073"/>
      <c r="AM9" s="1073"/>
      <c r="AN9" s="1046" t="s">
        <v>516</v>
      </c>
      <c r="AO9" s="1046" t="s">
        <v>488</v>
      </c>
      <c r="AP9" s="1047" t="s">
        <v>489</v>
      </c>
      <c r="AQ9" s="1047" t="s">
        <v>490</v>
      </c>
      <c r="AR9" s="1047" t="s">
        <v>491</v>
      </c>
      <c r="AS9" s="1047" t="s">
        <v>492</v>
      </c>
      <c r="AT9" s="1047" t="s">
        <v>493</v>
      </c>
      <c r="AU9" s="433"/>
    </row>
    <row r="10" ht="20.4" customHeight="1" spans="1:47">
      <c r="A10" s="1037" t="s">
        <v>517</v>
      </c>
      <c r="B10" s="1060" t="s">
        <v>518</v>
      </c>
      <c r="C10" s="1038"/>
      <c r="D10" s="1060"/>
      <c r="E10" s="1039"/>
      <c r="F10" s="1039">
        <f t="shared" si="0"/>
        <v>0</v>
      </c>
      <c r="G10" s="1039"/>
      <c r="H10" s="1039">
        <f t="shared" si="1"/>
        <v>0</v>
      </c>
      <c r="I10" s="1061" t="s">
        <v>519</v>
      </c>
      <c r="K10" s="1068"/>
      <c r="L10" s="1068"/>
      <c r="M10" s="1068"/>
      <c r="N10" s="1068"/>
      <c r="O10" s="1068"/>
      <c r="P10" s="1068"/>
      <c r="Q10" s="1068"/>
      <c r="R10" s="1068"/>
      <c r="S10" s="1068"/>
      <c r="T10" s="1068"/>
      <c r="U10" s="1068"/>
      <c r="V10" s="1068"/>
      <c r="W10" s="1068"/>
      <c r="X10" s="1068"/>
      <c r="Y10" s="1068"/>
      <c r="Z10" s="1068"/>
      <c r="AA10" s="1068"/>
      <c r="AB10" s="1068"/>
      <c r="AC10" s="1068"/>
      <c r="AD10" s="1068"/>
      <c r="AE10" s="433"/>
      <c r="AH10" s="1074" t="s">
        <v>520</v>
      </c>
      <c r="AM10" s="1075"/>
      <c r="AN10" s="1046" t="s">
        <v>498</v>
      </c>
      <c r="AO10" s="1046"/>
      <c r="AP10" s="1047"/>
      <c r="AQ10" s="1047"/>
      <c r="AR10" s="1047"/>
      <c r="AS10" s="1047"/>
      <c r="AT10" s="1047"/>
      <c r="AU10" s="433"/>
    </row>
    <row r="11" ht="20.4" customHeight="1" spans="1:47">
      <c r="A11" s="1037" t="s">
        <v>499</v>
      </c>
      <c r="B11" s="1060" t="s">
        <v>521</v>
      </c>
      <c r="C11" s="1038"/>
      <c r="D11" s="1060"/>
      <c r="E11" s="1039"/>
      <c r="F11" s="1039">
        <f t="shared" si="0"/>
        <v>0</v>
      </c>
      <c r="G11" s="1039"/>
      <c r="H11" s="1039">
        <f t="shared" si="1"/>
        <v>0</v>
      </c>
      <c r="I11" s="1061"/>
      <c r="K11" s="1068"/>
      <c r="L11" s="1068"/>
      <c r="M11" s="1068"/>
      <c r="N11" s="1068"/>
      <c r="O11" s="1068"/>
      <c r="P11" s="1068"/>
      <c r="Q11" s="1068"/>
      <c r="R11" s="1068"/>
      <c r="S11" s="1068"/>
      <c r="T11" s="1068"/>
      <c r="U11" s="1068"/>
      <c r="V11" s="1068"/>
      <c r="W11" s="1068"/>
      <c r="X11" s="1068"/>
      <c r="Y11" s="1068"/>
      <c r="Z11" s="1068"/>
      <c r="AA11" s="1068"/>
      <c r="AB11" s="1068"/>
      <c r="AC11" s="1068"/>
      <c r="AD11" s="1068"/>
      <c r="AE11" s="433"/>
      <c r="AH11" s="433"/>
      <c r="AI11" s="433"/>
      <c r="AJ11" s="433"/>
      <c r="AK11" s="433"/>
      <c r="AL11" s="433"/>
      <c r="AM11" s="433"/>
      <c r="AN11" s="1046" t="s">
        <v>505</v>
      </c>
      <c r="AO11" s="1065"/>
      <c r="AP11" s="1066"/>
      <c r="AQ11" s="1066">
        <f>+AP11-AO11</f>
        <v>0</v>
      </c>
      <c r="AR11" s="1047"/>
      <c r="AS11" s="1047">
        <f>+IF(AQ11&lt;1%,20,IF(AQ11&lt;3%,30,40))</f>
        <v>20</v>
      </c>
      <c r="AT11" s="1047">
        <f>AR11*AS11</f>
        <v>0</v>
      </c>
      <c r="AU11" s="433"/>
    </row>
    <row r="12" ht="20.4" customHeight="1" spans="1:47">
      <c r="A12" s="1076" t="s">
        <v>499</v>
      </c>
      <c r="B12" s="1077" t="s">
        <v>522</v>
      </c>
      <c r="C12" s="1078"/>
      <c r="D12" s="1060"/>
      <c r="E12" s="1039"/>
      <c r="F12" s="1039">
        <f t="shared" si="0"/>
        <v>0</v>
      </c>
      <c r="G12" s="1039"/>
      <c r="H12" s="1039">
        <f t="shared" si="1"/>
        <v>0</v>
      </c>
      <c r="I12" s="1061"/>
      <c r="K12" s="1068"/>
      <c r="L12" s="1068"/>
      <c r="M12" s="1068"/>
      <c r="N12" s="1068"/>
      <c r="O12" s="1068"/>
      <c r="P12" s="1068"/>
      <c r="Q12" s="1068"/>
      <c r="R12" s="1068"/>
      <c r="S12" s="1068"/>
      <c r="T12" s="1068"/>
      <c r="U12" s="1068"/>
      <c r="V12" s="1068"/>
      <c r="W12" s="1068"/>
      <c r="X12" s="1068"/>
      <c r="Y12" s="1068"/>
      <c r="Z12" s="1068"/>
      <c r="AA12" s="1068"/>
      <c r="AB12" s="1068"/>
      <c r="AC12" s="1068"/>
      <c r="AD12" s="1068"/>
      <c r="AE12" s="433"/>
      <c r="AH12" s="433"/>
      <c r="AI12" s="433"/>
      <c r="AJ12" s="433"/>
      <c r="AK12" s="433"/>
      <c r="AL12" s="433"/>
      <c r="AM12" s="433"/>
      <c r="AN12" s="1046" t="s">
        <v>509</v>
      </c>
      <c r="AO12" s="1065" t="s">
        <v>523</v>
      </c>
      <c r="AP12" s="1069"/>
      <c r="AQ12" s="1066"/>
      <c r="AR12" s="1047"/>
      <c r="AS12" s="1047">
        <f>+IF(AQ12&gt;=3%,50,IF(AQ12&gt;=1%,40,30))</f>
        <v>30</v>
      </c>
      <c r="AT12" s="1047">
        <f>AR12*AS12</f>
        <v>0</v>
      </c>
      <c r="AU12" s="433"/>
    </row>
    <row r="13" ht="20.4" customHeight="1" spans="1:47">
      <c r="A13" s="1076" t="s">
        <v>499</v>
      </c>
      <c r="B13" s="1077" t="s">
        <v>482</v>
      </c>
      <c r="C13" s="1078"/>
      <c r="D13" s="1060"/>
      <c r="E13" s="1039"/>
      <c r="F13" s="1039">
        <f t="shared" si="0"/>
        <v>0</v>
      </c>
      <c r="G13" s="1039"/>
      <c r="H13" s="1039">
        <f t="shared" si="1"/>
        <v>0</v>
      </c>
      <c r="I13" s="1061"/>
      <c r="K13" s="1068"/>
      <c r="L13" s="1068"/>
      <c r="M13" s="1068"/>
      <c r="N13" s="1068"/>
      <c r="O13" s="1068"/>
      <c r="P13" s="1068"/>
      <c r="Q13" s="1068"/>
      <c r="R13" s="1068"/>
      <c r="S13" s="1068"/>
      <c r="T13" s="1068"/>
      <c r="U13" s="1068"/>
      <c r="V13" s="1068"/>
      <c r="W13" s="1068"/>
      <c r="X13" s="1068"/>
      <c r="Y13" s="1068"/>
      <c r="Z13" s="1068"/>
      <c r="AA13" s="1068"/>
      <c r="AB13" s="1068"/>
      <c r="AC13" s="1068"/>
      <c r="AD13" s="1068"/>
      <c r="AE13" s="433"/>
      <c r="AH13" s="433"/>
      <c r="AI13" s="433"/>
      <c r="AJ13" s="433"/>
      <c r="AK13" s="433"/>
      <c r="AL13" s="433"/>
      <c r="AM13" s="433"/>
      <c r="AN13" s="1046" t="s">
        <v>511</v>
      </c>
      <c r="AO13" s="1065"/>
      <c r="AP13" s="1066"/>
      <c r="AQ13" s="1066">
        <f>+AP13-AO13</f>
        <v>0</v>
      </c>
      <c r="AR13" s="1047"/>
      <c r="AS13" s="1047">
        <f>+IF(AQ13&lt;1%,10,IF(AQ13&lt;3%,20,30))</f>
        <v>10</v>
      </c>
      <c r="AT13" s="1047">
        <f>AR13*AS13</f>
        <v>0</v>
      </c>
      <c r="AU13" s="433"/>
    </row>
    <row r="14" ht="20.4" customHeight="1" spans="1:47">
      <c r="A14" s="1076" t="s">
        <v>499</v>
      </c>
      <c r="B14" s="1077" t="s">
        <v>524</v>
      </c>
      <c r="C14" s="1078"/>
      <c r="D14" s="1060"/>
      <c r="E14" s="1039"/>
      <c r="F14" s="1039">
        <f t="shared" si="0"/>
        <v>0</v>
      </c>
      <c r="G14" s="1039"/>
      <c r="H14" s="1039">
        <f t="shared" si="1"/>
        <v>0</v>
      </c>
      <c r="I14" s="1061"/>
      <c r="K14" s="1068"/>
      <c r="L14" s="1068"/>
      <c r="M14" s="1068"/>
      <c r="N14" s="1068"/>
      <c r="O14" s="1068"/>
      <c r="P14" s="1068"/>
      <c r="Q14" s="1068"/>
      <c r="R14" s="1068"/>
      <c r="S14" s="1068"/>
      <c r="T14" s="1068"/>
      <c r="U14" s="1068"/>
      <c r="V14" s="1068"/>
      <c r="W14" s="1068"/>
      <c r="X14" s="1068"/>
      <c r="Y14" s="1068"/>
      <c r="Z14" s="1068"/>
      <c r="AA14" s="1068"/>
      <c r="AB14" s="1068"/>
      <c r="AC14" s="1068"/>
      <c r="AD14" s="1068"/>
      <c r="AE14" s="433"/>
      <c r="AH14" s="433"/>
      <c r="AI14" s="433"/>
      <c r="AJ14" s="433"/>
      <c r="AK14" s="433"/>
      <c r="AL14" s="433"/>
      <c r="AM14" s="433"/>
      <c r="AN14" s="1046" t="s">
        <v>513</v>
      </c>
      <c r="AO14" s="1047" t="s">
        <v>525</v>
      </c>
      <c r="AP14" s="192"/>
      <c r="AQ14" s="192"/>
      <c r="AR14" s="192"/>
      <c r="AS14" s="193"/>
      <c r="AT14" s="1047">
        <f>SUM(AT10:AT13)</f>
        <v>0</v>
      </c>
      <c r="AU14" s="433"/>
    </row>
    <row r="15" ht="20.4" customHeight="1" spans="1:47">
      <c r="A15" s="1076" t="s">
        <v>517</v>
      </c>
      <c r="B15" s="1077" t="s">
        <v>526</v>
      </c>
      <c r="C15" s="1078"/>
      <c r="D15" s="1060"/>
      <c r="E15" s="1039"/>
      <c r="F15" s="1039">
        <f t="shared" si="0"/>
        <v>0</v>
      </c>
      <c r="G15" s="1039"/>
      <c r="H15" s="1039">
        <f t="shared" si="1"/>
        <v>0</v>
      </c>
      <c r="I15" s="1061" t="s">
        <v>527</v>
      </c>
      <c r="K15" s="1068"/>
      <c r="L15" s="1068"/>
      <c r="M15" s="1068"/>
      <c r="N15" s="1068"/>
      <c r="O15" s="1068"/>
      <c r="P15" s="1068"/>
      <c r="Q15" s="1068"/>
      <c r="R15" s="1068"/>
      <c r="S15" s="1068"/>
      <c r="T15" s="1068"/>
      <c r="U15" s="1068"/>
      <c r="V15" s="1068"/>
      <c r="W15" s="1068"/>
      <c r="X15" s="1068"/>
      <c r="Y15" s="1068"/>
      <c r="Z15" s="1068"/>
      <c r="AA15" s="1068"/>
      <c r="AB15" s="1068"/>
      <c r="AC15" s="1068"/>
      <c r="AD15" s="1068"/>
      <c r="AE15" s="433"/>
      <c r="AH15" s="433"/>
      <c r="AI15" s="433"/>
      <c r="AJ15" s="433"/>
      <c r="AK15" s="433"/>
      <c r="AL15" s="433"/>
      <c r="AM15" s="433"/>
      <c r="AN15" s="433"/>
      <c r="AO15" s="433"/>
      <c r="AP15" s="452"/>
      <c r="AQ15" s="452"/>
      <c r="AR15" s="452"/>
      <c r="AS15" s="452"/>
      <c r="AT15" s="452"/>
      <c r="AU15" s="433"/>
    </row>
    <row r="16" ht="36.75" customHeight="1" spans="1:47">
      <c r="A16" s="1076" t="s">
        <v>528</v>
      </c>
      <c r="B16" s="1077" t="s">
        <v>529</v>
      </c>
      <c r="C16" s="1078"/>
      <c r="D16" s="1060"/>
      <c r="E16" s="1039"/>
      <c r="F16" s="1039">
        <f t="shared" si="0"/>
        <v>0</v>
      </c>
      <c r="G16" s="1039"/>
      <c r="H16" s="1039">
        <f t="shared" si="1"/>
        <v>0</v>
      </c>
      <c r="I16" s="1061"/>
      <c r="K16" s="1068"/>
      <c r="L16" s="1068"/>
      <c r="M16" s="1068"/>
      <c r="N16" s="1068"/>
      <c r="O16" s="1068"/>
      <c r="P16" s="1068"/>
      <c r="Q16" s="1068"/>
      <c r="R16" s="1068"/>
      <c r="S16" s="1068"/>
      <c r="T16" s="1068"/>
      <c r="U16" s="1068"/>
      <c r="V16" s="1068"/>
      <c r="W16" s="1068"/>
      <c r="X16" s="1068"/>
      <c r="Y16" s="1068"/>
      <c r="Z16" s="1068"/>
      <c r="AA16" s="1068"/>
      <c r="AB16" s="1068"/>
      <c r="AC16" s="1068"/>
      <c r="AD16" s="1068"/>
      <c r="AE16" s="433"/>
      <c r="AH16" s="433"/>
      <c r="AI16" s="433"/>
      <c r="AJ16" s="433"/>
      <c r="AK16" s="433"/>
      <c r="AL16" s="433"/>
      <c r="AM16" s="433"/>
      <c r="AN16" s="433"/>
      <c r="AO16" s="433"/>
      <c r="AP16" s="452"/>
      <c r="AQ16" s="452"/>
      <c r="AR16" s="452"/>
      <c r="AS16" s="452"/>
      <c r="AT16" s="452"/>
      <c r="AU16" s="433"/>
    </row>
    <row r="17" ht="20.4" customHeight="1" spans="1:47">
      <c r="A17" s="1076" t="s">
        <v>528</v>
      </c>
      <c r="B17" s="1077" t="s">
        <v>530</v>
      </c>
      <c r="C17" s="1078"/>
      <c r="D17" s="1060"/>
      <c r="E17" s="1039"/>
      <c r="F17" s="1039">
        <f t="shared" si="0"/>
        <v>0</v>
      </c>
      <c r="G17" s="1039"/>
      <c r="H17" s="1039">
        <f t="shared" si="1"/>
        <v>0</v>
      </c>
      <c r="I17" s="1061"/>
      <c r="K17" s="1068"/>
      <c r="L17" s="1068"/>
      <c r="M17" s="1068"/>
      <c r="N17" s="1068"/>
      <c r="O17" s="1068"/>
      <c r="P17" s="1068"/>
      <c r="Q17" s="1068"/>
      <c r="R17" s="1068"/>
      <c r="S17" s="1068"/>
      <c r="T17" s="1068"/>
      <c r="U17" s="1068"/>
      <c r="V17" s="1068"/>
      <c r="W17" s="1068"/>
      <c r="X17" s="1068"/>
      <c r="Y17" s="1068"/>
      <c r="Z17" s="1068"/>
      <c r="AA17" s="1068"/>
      <c r="AB17" s="1068"/>
      <c r="AC17" s="1068"/>
      <c r="AD17" s="1068"/>
      <c r="AE17" s="433"/>
      <c r="AH17" s="433"/>
      <c r="AI17" s="433"/>
      <c r="AJ17" s="433"/>
      <c r="AK17" s="433"/>
      <c r="AL17" s="433"/>
      <c r="AM17" s="433"/>
      <c r="AN17" s="1046" t="s">
        <v>531</v>
      </c>
      <c r="AO17" s="1046" t="s">
        <v>488</v>
      </c>
      <c r="AP17" s="1047" t="s">
        <v>489</v>
      </c>
      <c r="AQ17" s="1047" t="s">
        <v>490</v>
      </c>
      <c r="AR17" s="1047" t="s">
        <v>491</v>
      </c>
      <c r="AS17" s="1047" t="s">
        <v>492</v>
      </c>
      <c r="AT17" s="1047" t="s">
        <v>493</v>
      </c>
      <c r="AU17" s="433"/>
    </row>
    <row r="18" ht="20.4" customHeight="1" spans="1:47">
      <c r="A18" s="1076" t="s">
        <v>528</v>
      </c>
      <c r="B18" s="1060" t="s">
        <v>532</v>
      </c>
      <c r="C18" s="1038"/>
      <c r="D18" s="1039"/>
      <c r="E18" s="1039"/>
      <c r="F18" s="1039">
        <f t="shared" si="0"/>
        <v>0</v>
      </c>
      <c r="G18" s="1039"/>
      <c r="H18" s="1039">
        <f t="shared" si="1"/>
        <v>0</v>
      </c>
      <c r="I18" s="1061"/>
      <c r="K18" s="1068"/>
      <c r="L18" s="1068"/>
      <c r="M18" s="1068"/>
      <c r="N18" s="1068"/>
      <c r="O18" s="1068"/>
      <c r="P18" s="1068"/>
      <c r="Q18" s="1068"/>
      <c r="R18" s="1068"/>
      <c r="S18" s="1068"/>
      <c r="T18" s="1068"/>
      <c r="U18" s="1068"/>
      <c r="V18" s="1068"/>
      <c r="W18" s="1068"/>
      <c r="X18" s="1068"/>
      <c r="Y18" s="1068"/>
      <c r="Z18" s="1068"/>
      <c r="AA18" s="1068"/>
      <c r="AB18" s="1068"/>
      <c r="AC18" s="1068"/>
      <c r="AD18" s="1068"/>
      <c r="AE18" s="433"/>
      <c r="AH18" s="433"/>
      <c r="AI18" s="433"/>
      <c r="AJ18" s="433"/>
      <c r="AK18" s="433"/>
      <c r="AL18" s="433"/>
      <c r="AM18" s="433"/>
      <c r="AN18" s="1046" t="s">
        <v>498</v>
      </c>
      <c r="AO18" s="1046"/>
      <c r="AP18" s="1047"/>
      <c r="AQ18" s="1047"/>
      <c r="AR18" s="1047"/>
      <c r="AS18" s="1047"/>
      <c r="AT18" s="1047"/>
      <c r="AU18" s="433"/>
    </row>
    <row r="19" ht="20.4" customHeight="1" spans="1:47">
      <c r="A19" s="1076" t="s">
        <v>528</v>
      </c>
      <c r="B19" s="1060" t="s">
        <v>533</v>
      </c>
      <c r="C19" s="1038"/>
      <c r="D19" s="1039"/>
      <c r="E19" s="1039"/>
      <c r="F19" s="1039">
        <f t="shared" si="0"/>
        <v>0</v>
      </c>
      <c r="G19" s="1039"/>
      <c r="H19" s="1039">
        <f t="shared" si="1"/>
        <v>0</v>
      </c>
      <c r="I19" s="1061"/>
      <c r="K19" s="1058"/>
      <c r="L19" s="1058"/>
      <c r="M19" s="1058"/>
      <c r="N19" s="1058"/>
      <c r="O19" s="1058"/>
      <c r="P19" s="1058"/>
      <c r="Q19" s="1058"/>
      <c r="R19" s="1058"/>
      <c r="S19" s="1058"/>
      <c r="T19" s="1058"/>
      <c r="U19" s="1058"/>
      <c r="V19" s="1058"/>
      <c r="W19" s="1058"/>
      <c r="X19" s="1058"/>
      <c r="Y19" s="1058"/>
      <c r="Z19" s="1058"/>
      <c r="AA19" s="1058"/>
      <c r="AB19" s="1058"/>
      <c r="AC19" s="1058"/>
      <c r="AD19" s="1058"/>
      <c r="AH19" s="433"/>
      <c r="AI19" s="433"/>
      <c r="AJ19" s="433"/>
      <c r="AK19" s="433"/>
      <c r="AL19" s="433"/>
      <c r="AM19" s="433"/>
      <c r="AN19" s="1046" t="s">
        <v>505</v>
      </c>
      <c r="AO19" s="1065"/>
      <c r="AP19" s="1066"/>
      <c r="AQ19" s="1066">
        <f>+AP19-AO19</f>
        <v>0</v>
      </c>
      <c r="AR19" s="1047"/>
      <c r="AS19" s="1047">
        <f>+IF(AQ19&lt;1%,20,IF(AQ19&lt;3%,30,40))</f>
        <v>20</v>
      </c>
      <c r="AT19" s="1047">
        <f>AR19*AS19</f>
        <v>0</v>
      </c>
      <c r="AU19" s="433"/>
    </row>
    <row r="20" ht="20.4" customHeight="1" spans="1:47">
      <c r="A20" s="1076" t="s">
        <v>528</v>
      </c>
      <c r="B20" s="1060" t="s">
        <v>534</v>
      </c>
      <c r="C20" s="1038"/>
      <c r="D20" s="1039"/>
      <c r="E20" s="1039"/>
      <c r="F20" s="1039">
        <f t="shared" si="0"/>
        <v>0</v>
      </c>
      <c r="G20" s="1039"/>
      <c r="H20" s="1039">
        <f t="shared" si="1"/>
        <v>0</v>
      </c>
      <c r="I20" s="1061"/>
      <c r="AH20" s="433"/>
      <c r="AI20" s="433"/>
      <c r="AJ20" s="433"/>
      <c r="AK20" s="433"/>
      <c r="AL20" s="433"/>
      <c r="AM20" s="433"/>
      <c r="AN20" s="1046" t="s">
        <v>509</v>
      </c>
      <c r="AO20" s="1065" t="s">
        <v>523</v>
      </c>
      <c r="AP20" s="1069"/>
      <c r="AQ20" s="1066"/>
      <c r="AR20" s="1047"/>
      <c r="AS20" s="1047">
        <f>+IF(AQ20&gt;=3%,50,IF(AQ20&gt;=1%,40,30))</f>
        <v>30</v>
      </c>
      <c r="AT20" s="1047">
        <f>AR20*AS20</f>
        <v>0</v>
      </c>
      <c r="AU20" s="433"/>
    </row>
    <row r="21" ht="20.4" customHeight="1" spans="1:47">
      <c r="A21" s="1076" t="s">
        <v>528</v>
      </c>
      <c r="B21" s="1077" t="s">
        <v>535</v>
      </c>
      <c r="C21" s="1078"/>
      <c r="D21" s="1039"/>
      <c r="E21" s="1039"/>
      <c r="F21" s="1039">
        <f t="shared" si="0"/>
        <v>0</v>
      </c>
      <c r="G21" s="1039"/>
      <c r="H21" s="1039">
        <f t="shared" si="1"/>
        <v>0</v>
      </c>
      <c r="I21" s="1061"/>
      <c r="AH21" s="433"/>
      <c r="AI21" s="433"/>
      <c r="AJ21" s="433"/>
      <c r="AK21" s="433"/>
      <c r="AL21" s="433"/>
      <c r="AM21" s="433"/>
      <c r="AN21" s="1046" t="s">
        <v>511</v>
      </c>
      <c r="AO21" s="1065"/>
      <c r="AP21" s="1066"/>
      <c r="AQ21" s="1066">
        <f>+AP21-AO21</f>
        <v>0</v>
      </c>
      <c r="AR21" s="1047"/>
      <c r="AS21" s="1047">
        <f>+IF(AQ21&lt;1%,10,IF(AQ21&lt;3%,20,30))</f>
        <v>10</v>
      </c>
      <c r="AT21" s="1047">
        <f>AR21*AS21</f>
        <v>0</v>
      </c>
      <c r="AU21" s="433"/>
    </row>
    <row r="22" ht="20.4" customHeight="1" spans="1:47">
      <c r="A22" s="1076" t="s">
        <v>528</v>
      </c>
      <c r="B22" s="1077" t="s">
        <v>536</v>
      </c>
      <c r="C22" s="1078"/>
      <c r="D22" s="1039"/>
      <c r="E22" s="1039"/>
      <c r="F22" s="1039">
        <f t="shared" si="0"/>
        <v>0</v>
      </c>
      <c r="G22" s="1039"/>
      <c r="H22" s="1039">
        <f t="shared" si="1"/>
        <v>0</v>
      </c>
      <c r="I22" s="1061"/>
      <c r="AH22" s="433"/>
      <c r="AI22" s="433"/>
      <c r="AJ22" s="433"/>
      <c r="AK22" s="433"/>
      <c r="AL22" s="433"/>
      <c r="AM22" s="433"/>
      <c r="AN22" s="1046" t="s">
        <v>513</v>
      </c>
      <c r="AO22" s="1047" t="s">
        <v>537</v>
      </c>
      <c r="AP22" s="192"/>
      <c r="AQ22" s="192"/>
      <c r="AR22" s="192"/>
      <c r="AS22" s="193"/>
      <c r="AT22" s="1047">
        <f>SUM(AT18:AT21)</f>
        <v>0</v>
      </c>
      <c r="AU22" s="433"/>
    </row>
    <row r="23" ht="20.4" customHeight="1" spans="1:47">
      <c r="A23" s="1076" t="s">
        <v>528</v>
      </c>
      <c r="B23" s="1077" t="s">
        <v>538</v>
      </c>
      <c r="C23" s="1078"/>
      <c r="D23" s="1039"/>
      <c r="E23" s="1039"/>
      <c r="F23" s="1039">
        <f t="shared" si="0"/>
        <v>0</v>
      </c>
      <c r="G23" s="1039"/>
      <c r="H23" s="1039">
        <f t="shared" si="1"/>
        <v>0</v>
      </c>
      <c r="I23" s="1061"/>
      <c r="AH23" s="433"/>
      <c r="AI23" s="433"/>
      <c r="AJ23" s="433"/>
      <c r="AK23" s="433"/>
      <c r="AL23" s="433"/>
      <c r="AM23" s="433"/>
      <c r="AN23" s="433"/>
      <c r="AO23" s="433"/>
      <c r="AP23" s="452"/>
      <c r="AQ23" s="452"/>
      <c r="AR23" s="452"/>
      <c r="AS23" s="452"/>
      <c r="AT23" s="452"/>
      <c r="AU23" s="433"/>
    </row>
    <row r="24" ht="20.4" customHeight="1" spans="1:47">
      <c r="A24" s="1076" t="s">
        <v>528</v>
      </c>
      <c r="B24" s="1077" t="s">
        <v>539</v>
      </c>
      <c r="C24" s="1078"/>
      <c r="D24" s="1039"/>
      <c r="E24" s="1039"/>
      <c r="F24" s="1039">
        <f t="shared" si="0"/>
        <v>0</v>
      </c>
      <c r="G24" s="1039"/>
      <c r="H24" s="1039">
        <f t="shared" si="1"/>
        <v>0</v>
      </c>
      <c r="I24" s="1061"/>
      <c r="AH24" s="433"/>
      <c r="AI24" s="433"/>
      <c r="AJ24" s="433"/>
      <c r="AK24" s="433"/>
      <c r="AL24" s="433"/>
      <c r="AM24" s="433"/>
      <c r="AN24" s="433"/>
      <c r="AO24" s="433"/>
      <c r="AP24" s="452"/>
      <c r="AQ24" s="452"/>
      <c r="AR24" s="452"/>
      <c r="AS24" s="452"/>
      <c r="AT24" s="452"/>
      <c r="AU24" s="433"/>
    </row>
    <row r="25" ht="20.4" customHeight="1" spans="1:47">
      <c r="A25" s="1076" t="s">
        <v>528</v>
      </c>
      <c r="B25" s="1077" t="s">
        <v>540</v>
      </c>
      <c r="C25" s="1078"/>
      <c r="D25" s="1039"/>
      <c r="E25" s="1039"/>
      <c r="F25" s="1039">
        <f t="shared" si="0"/>
        <v>0</v>
      </c>
      <c r="G25" s="1039"/>
      <c r="H25" s="1039">
        <f t="shared" si="1"/>
        <v>0</v>
      </c>
      <c r="I25" s="1061"/>
      <c r="AH25" s="433"/>
      <c r="AI25" s="433"/>
      <c r="AJ25" s="433"/>
      <c r="AK25" s="433"/>
      <c r="AL25" s="433"/>
      <c r="AM25" s="433"/>
      <c r="AN25" s="1046" t="s">
        <v>541</v>
      </c>
      <c r="AO25" s="1046" t="s">
        <v>488</v>
      </c>
      <c r="AP25" s="1047" t="s">
        <v>489</v>
      </c>
      <c r="AQ25" s="1047" t="s">
        <v>490</v>
      </c>
      <c r="AR25" s="1047" t="s">
        <v>491</v>
      </c>
      <c r="AS25" s="1047" t="s">
        <v>492</v>
      </c>
      <c r="AT25" s="1047" t="s">
        <v>493</v>
      </c>
      <c r="AU25" s="433"/>
    </row>
    <row r="26" ht="20.4" customHeight="1" spans="1:47">
      <c r="A26" s="1076" t="s">
        <v>528</v>
      </c>
      <c r="B26" s="1077" t="s">
        <v>542</v>
      </c>
      <c r="C26" s="1078"/>
      <c r="D26" s="1039"/>
      <c r="E26" s="1039"/>
      <c r="F26" s="1039">
        <f t="shared" si="0"/>
        <v>0</v>
      </c>
      <c r="G26" s="1039"/>
      <c r="H26" s="1039">
        <f t="shared" si="1"/>
        <v>0</v>
      </c>
      <c r="I26" s="1061"/>
      <c r="AH26" s="433"/>
      <c r="AI26" s="433"/>
      <c r="AJ26" s="433"/>
      <c r="AK26" s="433"/>
      <c r="AL26" s="433"/>
      <c r="AM26" s="433"/>
      <c r="AN26" s="1046" t="s">
        <v>498</v>
      </c>
      <c r="AO26" s="1046"/>
      <c r="AP26" s="1047"/>
      <c r="AQ26" s="1047"/>
      <c r="AR26" s="1047"/>
      <c r="AS26" s="1047"/>
      <c r="AT26" s="1047"/>
      <c r="AU26" s="433"/>
    </row>
    <row r="27" ht="20.4" customHeight="1" spans="1:47">
      <c r="A27" s="1076" t="s">
        <v>528</v>
      </c>
      <c r="B27" s="1077" t="s">
        <v>543</v>
      </c>
      <c r="C27" s="1078"/>
      <c r="D27" s="1060"/>
      <c r="E27" s="1039"/>
      <c r="F27" s="1039">
        <f t="shared" si="0"/>
        <v>0</v>
      </c>
      <c r="G27" s="1039"/>
      <c r="H27" s="1039">
        <f t="shared" si="1"/>
        <v>0</v>
      </c>
      <c r="I27" s="1061"/>
      <c r="AH27" s="433"/>
      <c r="AI27" s="433"/>
      <c r="AJ27" s="433"/>
      <c r="AK27" s="433"/>
      <c r="AL27" s="433"/>
      <c r="AM27" s="433"/>
      <c r="AN27" s="1046" t="s">
        <v>505</v>
      </c>
      <c r="AO27" s="1065"/>
      <c r="AP27" s="1066"/>
      <c r="AQ27" s="1066">
        <f>+AP27-AO27</f>
        <v>0</v>
      </c>
      <c r="AR27" s="1047"/>
      <c r="AS27" s="1047">
        <f>+IF(AQ27&lt;1%,20,IF(AQ27&lt;3%,30,40))</f>
        <v>20</v>
      </c>
      <c r="AT27" s="1047">
        <f>AR27*AS27</f>
        <v>0</v>
      </c>
      <c r="AU27" s="433"/>
    </row>
    <row r="28" ht="20.4" customHeight="1" spans="1:47">
      <c r="A28" s="1076" t="s">
        <v>528</v>
      </c>
      <c r="B28" s="1077" t="s">
        <v>544</v>
      </c>
      <c r="C28" s="1078"/>
      <c r="D28" s="1060"/>
      <c r="E28" s="1039"/>
      <c r="F28" s="1039">
        <f t="shared" si="0"/>
        <v>0</v>
      </c>
      <c r="G28" s="1039"/>
      <c r="H28" s="1039">
        <f t="shared" si="1"/>
        <v>0</v>
      </c>
      <c r="I28" s="1061"/>
      <c r="AH28" s="433"/>
      <c r="AI28" s="433"/>
      <c r="AJ28" s="433"/>
      <c r="AK28" s="433"/>
      <c r="AL28" s="433"/>
      <c r="AM28" s="433"/>
      <c r="AN28" s="1046" t="s">
        <v>509</v>
      </c>
      <c r="AO28" s="1065" t="s">
        <v>523</v>
      </c>
      <c r="AP28" s="1069"/>
      <c r="AQ28" s="1066"/>
      <c r="AR28" s="1047"/>
      <c r="AS28" s="1047">
        <f>+IF(AQ28&gt;=3%,50,IF(AQ28&gt;=1%,40,30))</f>
        <v>30</v>
      </c>
      <c r="AT28" s="1047">
        <f>AR28*AS28</f>
        <v>0</v>
      </c>
      <c r="AU28" s="433"/>
    </row>
    <row r="29" ht="20.4" customHeight="1" spans="1:47">
      <c r="A29" s="1076" t="s">
        <v>528</v>
      </c>
      <c r="B29" s="1077" t="s">
        <v>545</v>
      </c>
      <c r="C29" s="1078"/>
      <c r="D29" s="1060"/>
      <c r="E29" s="1039"/>
      <c r="F29" s="1039">
        <f t="shared" si="0"/>
        <v>0</v>
      </c>
      <c r="G29" s="1039"/>
      <c r="H29" s="1039">
        <f t="shared" si="1"/>
        <v>0</v>
      </c>
      <c r="I29" s="1061"/>
      <c r="AH29" s="433"/>
      <c r="AI29" s="433"/>
      <c r="AJ29" s="433"/>
      <c r="AK29" s="433"/>
      <c r="AL29" s="433"/>
      <c r="AM29" s="433"/>
      <c r="AN29" s="1046" t="s">
        <v>511</v>
      </c>
      <c r="AO29" s="1065"/>
      <c r="AP29" s="1066"/>
      <c r="AQ29" s="1066">
        <f>+AP29-AO29</f>
        <v>0</v>
      </c>
      <c r="AR29" s="1047"/>
      <c r="AS29" s="1047">
        <f>+IF(AQ29&lt;1%,10,IF(AQ29&lt;3%,20,30))</f>
        <v>10</v>
      </c>
      <c r="AT29" s="1047">
        <f>AR29*AS29</f>
        <v>0</v>
      </c>
      <c r="AU29" s="433"/>
    </row>
    <row r="30" ht="20.4" customHeight="1" spans="1:47">
      <c r="A30" s="1076" t="s">
        <v>528</v>
      </c>
      <c r="B30" s="1077" t="s">
        <v>546</v>
      </c>
      <c r="C30" s="1078"/>
      <c r="D30" s="1060"/>
      <c r="E30" s="1039"/>
      <c r="F30" s="1039">
        <f t="shared" si="0"/>
        <v>0</v>
      </c>
      <c r="G30" s="1039"/>
      <c r="H30" s="1039">
        <f t="shared" si="1"/>
        <v>0</v>
      </c>
      <c r="I30" s="1061"/>
      <c r="AH30" s="433"/>
      <c r="AI30" s="433"/>
      <c r="AJ30" s="433"/>
      <c r="AK30" s="433"/>
      <c r="AL30" s="433"/>
      <c r="AM30" s="433"/>
      <c r="AN30" s="1046" t="s">
        <v>513</v>
      </c>
      <c r="AO30" s="1047" t="s">
        <v>547</v>
      </c>
      <c r="AP30" s="192"/>
      <c r="AQ30" s="192"/>
      <c r="AR30" s="192"/>
      <c r="AS30" s="193"/>
      <c r="AT30" s="1047">
        <f>SUM(AT26:AT29)</f>
        <v>0</v>
      </c>
      <c r="AU30" s="433"/>
    </row>
    <row r="31" ht="20.4" customHeight="1" spans="1:47">
      <c r="A31" s="1076" t="s">
        <v>528</v>
      </c>
      <c r="B31" s="1077" t="s">
        <v>548</v>
      </c>
      <c r="C31" s="1078"/>
      <c r="D31" s="1060"/>
      <c r="E31" s="1039"/>
      <c r="F31" s="1039">
        <f t="shared" si="0"/>
        <v>0</v>
      </c>
      <c r="G31" s="1039"/>
      <c r="H31" s="1039">
        <f t="shared" si="1"/>
        <v>0</v>
      </c>
      <c r="I31" s="1061"/>
      <c r="AH31" s="433"/>
      <c r="AI31" s="433"/>
      <c r="AJ31" s="433"/>
      <c r="AK31" s="433"/>
      <c r="AL31" s="433"/>
      <c r="AM31" s="433"/>
      <c r="AN31" s="433"/>
      <c r="AO31" s="433"/>
      <c r="AP31" s="452"/>
      <c r="AQ31" s="452"/>
      <c r="AR31" s="452"/>
      <c r="AS31" s="452"/>
      <c r="AT31" s="452"/>
      <c r="AU31" s="433"/>
    </row>
    <row r="32" ht="20.4" customHeight="1" spans="1:47">
      <c r="A32" s="1076" t="s">
        <v>528</v>
      </c>
      <c r="B32" s="1077" t="s">
        <v>549</v>
      </c>
      <c r="C32" s="1078"/>
      <c r="D32" s="1060"/>
      <c r="E32" s="1039"/>
      <c r="F32" s="1039">
        <f t="shared" si="0"/>
        <v>0</v>
      </c>
      <c r="G32" s="1039"/>
      <c r="H32" s="1039">
        <f t="shared" si="1"/>
        <v>0</v>
      </c>
      <c r="I32" s="1061" t="s">
        <v>550</v>
      </c>
      <c r="AH32" s="433"/>
      <c r="AI32" s="433"/>
      <c r="AJ32" s="433"/>
      <c r="AK32" s="433"/>
      <c r="AL32" s="433"/>
      <c r="AM32" s="433"/>
      <c r="AN32" s="433"/>
      <c r="AO32" s="433"/>
      <c r="AP32" s="452"/>
      <c r="AQ32" s="452"/>
      <c r="AR32" s="452"/>
      <c r="AS32" s="452"/>
      <c r="AT32" s="452"/>
      <c r="AU32" s="433"/>
    </row>
    <row r="33" ht="20.4" customHeight="1" spans="1:47">
      <c r="A33" s="1076" t="s">
        <v>528</v>
      </c>
      <c r="B33" s="1077" t="s">
        <v>551</v>
      </c>
      <c r="C33" s="1078"/>
      <c r="D33" s="1060"/>
      <c r="E33" s="1039"/>
      <c r="F33" s="1039">
        <f t="shared" si="0"/>
        <v>0</v>
      </c>
      <c r="G33" s="1039"/>
      <c r="H33" s="1039">
        <f t="shared" si="1"/>
        <v>0</v>
      </c>
      <c r="I33" s="1061"/>
      <c r="AH33" s="433"/>
      <c r="AI33" s="433"/>
      <c r="AJ33" s="433"/>
      <c r="AK33" s="433"/>
      <c r="AL33" s="433"/>
      <c r="AM33" s="433"/>
      <c r="AN33" s="1046" t="s">
        <v>552</v>
      </c>
      <c r="AO33" s="1046" t="s">
        <v>488</v>
      </c>
      <c r="AP33" s="1047" t="s">
        <v>489</v>
      </c>
      <c r="AQ33" s="1047" t="s">
        <v>490</v>
      </c>
      <c r="AR33" s="1047" t="s">
        <v>491</v>
      </c>
      <c r="AS33" s="1047" t="s">
        <v>492</v>
      </c>
      <c r="AT33" s="1047" t="s">
        <v>493</v>
      </c>
      <c r="AU33" s="433"/>
    </row>
    <row r="34" ht="20.4" customHeight="1" spans="1:47">
      <c r="A34" s="1076" t="s">
        <v>528</v>
      </c>
      <c r="B34" s="1077" t="s">
        <v>553</v>
      </c>
      <c r="C34" s="1078"/>
      <c r="D34" s="1060"/>
      <c r="E34" s="1039"/>
      <c r="F34" s="1039">
        <f t="shared" si="0"/>
        <v>0</v>
      </c>
      <c r="G34" s="1039"/>
      <c r="H34" s="1039">
        <f t="shared" si="1"/>
        <v>0</v>
      </c>
      <c r="I34" s="1061"/>
      <c r="AH34" s="433"/>
      <c r="AI34" s="433"/>
      <c r="AJ34" s="433"/>
      <c r="AK34" s="433"/>
      <c r="AL34" s="433"/>
      <c r="AM34" s="433"/>
      <c r="AN34" s="1046" t="s">
        <v>498</v>
      </c>
      <c r="AO34" s="1046"/>
      <c r="AP34" s="1047"/>
      <c r="AQ34" s="1047"/>
      <c r="AR34" s="1047"/>
      <c r="AS34" s="1047"/>
      <c r="AT34" s="1047"/>
      <c r="AU34" s="433"/>
    </row>
    <row r="35" ht="20.4" customHeight="1" spans="1:47">
      <c r="A35" s="1076" t="s">
        <v>528</v>
      </c>
      <c r="B35" s="1077" t="s">
        <v>554</v>
      </c>
      <c r="C35" s="1078"/>
      <c r="D35" s="1060"/>
      <c r="E35" s="1039"/>
      <c r="F35" s="1039">
        <f t="shared" si="0"/>
        <v>0</v>
      </c>
      <c r="G35" s="1039"/>
      <c r="H35" s="1039">
        <f t="shared" si="1"/>
        <v>0</v>
      </c>
      <c r="I35" s="1061"/>
      <c r="AH35" s="433"/>
      <c r="AI35" s="433"/>
      <c r="AJ35" s="433"/>
      <c r="AK35" s="433"/>
      <c r="AL35" s="433"/>
      <c r="AM35" s="433"/>
      <c r="AN35" s="1046" t="s">
        <v>505</v>
      </c>
      <c r="AO35" s="1065"/>
      <c r="AP35" s="1066"/>
      <c r="AQ35" s="1066">
        <f>+AP35-AO35</f>
        <v>0</v>
      </c>
      <c r="AR35" s="1047"/>
      <c r="AS35" s="1047">
        <f>+IF(AQ35&lt;1%,20,IF(AQ35&lt;3%,30,40))</f>
        <v>20</v>
      </c>
      <c r="AT35" s="1047">
        <f>AR35*AS35</f>
        <v>0</v>
      </c>
      <c r="AU35" s="433"/>
    </row>
    <row r="36" ht="20.4" customHeight="1" spans="1:47">
      <c r="A36" s="1076" t="s">
        <v>528</v>
      </c>
      <c r="B36" s="1077" t="s">
        <v>555</v>
      </c>
      <c r="C36" s="1078"/>
      <c r="D36" s="1060"/>
      <c r="E36" s="1039"/>
      <c r="F36" s="1039">
        <f t="shared" si="0"/>
        <v>0</v>
      </c>
      <c r="G36" s="1039"/>
      <c r="H36" s="1039">
        <f t="shared" si="1"/>
        <v>0</v>
      </c>
      <c r="I36" s="1061"/>
      <c r="AH36" s="433"/>
      <c r="AI36" s="433"/>
      <c r="AJ36" s="433"/>
      <c r="AK36" s="433"/>
      <c r="AL36" s="433"/>
      <c r="AM36" s="433"/>
      <c r="AN36" s="1046" t="s">
        <v>509</v>
      </c>
      <c r="AO36" s="1065" t="s">
        <v>523</v>
      </c>
      <c r="AP36" s="1069"/>
      <c r="AQ36" s="1066"/>
      <c r="AR36" s="1047"/>
      <c r="AS36" s="1047">
        <f>+IF(AQ36&gt;=3%,50,IF(AQ36&gt;=1%,40,30))</f>
        <v>30</v>
      </c>
      <c r="AT36" s="1047">
        <f>AR36*AS36</f>
        <v>0</v>
      </c>
      <c r="AU36" s="433"/>
    </row>
    <row r="37" ht="20.4" customHeight="1" spans="1:47">
      <c r="A37" s="1076" t="s">
        <v>528</v>
      </c>
      <c r="B37" s="1077" t="s">
        <v>556</v>
      </c>
      <c r="C37" s="1078"/>
      <c r="D37" s="1060"/>
      <c r="E37" s="1039"/>
      <c r="F37" s="1039">
        <f t="shared" si="0"/>
        <v>0</v>
      </c>
      <c r="G37" s="1039"/>
      <c r="H37" s="1039">
        <f t="shared" si="1"/>
        <v>0</v>
      </c>
      <c r="I37" s="1061"/>
      <c r="AH37" s="433"/>
      <c r="AI37" s="433"/>
      <c r="AJ37" s="433"/>
      <c r="AK37" s="433"/>
      <c r="AL37" s="433"/>
      <c r="AM37" s="433"/>
      <c r="AN37" s="1046" t="s">
        <v>511</v>
      </c>
      <c r="AO37" s="1065"/>
      <c r="AP37" s="1066"/>
      <c r="AQ37" s="1066">
        <f>+AP37-AO37</f>
        <v>0</v>
      </c>
      <c r="AR37" s="1047"/>
      <c r="AS37" s="1047">
        <f>+IF(AQ37&lt;1%,10,IF(AQ37&lt;3%,20,30))</f>
        <v>10</v>
      </c>
      <c r="AT37" s="1047">
        <f>AR37*AS37</f>
        <v>0</v>
      </c>
      <c r="AU37" s="433"/>
    </row>
    <row r="38" ht="20.4" customHeight="1" spans="1:47">
      <c r="A38" s="1076" t="s">
        <v>528</v>
      </c>
      <c r="B38" s="1077" t="s">
        <v>557</v>
      </c>
      <c r="C38" s="1078"/>
      <c r="D38" s="1060"/>
      <c r="E38" s="1039"/>
      <c r="F38" s="1039">
        <f t="shared" si="0"/>
        <v>0</v>
      </c>
      <c r="G38" s="1039"/>
      <c r="H38" s="1039">
        <f t="shared" si="1"/>
        <v>0</v>
      </c>
      <c r="I38" s="1061"/>
      <c r="AH38" s="433"/>
      <c r="AI38" s="433"/>
      <c r="AJ38" s="433"/>
      <c r="AK38" s="433"/>
      <c r="AL38" s="433"/>
      <c r="AM38" s="433"/>
      <c r="AN38" s="1046" t="s">
        <v>513</v>
      </c>
      <c r="AO38" s="1047" t="s">
        <v>495</v>
      </c>
      <c r="AP38" s="192"/>
      <c r="AQ38" s="192"/>
      <c r="AR38" s="192"/>
      <c r="AS38" s="193"/>
      <c r="AT38" s="1047">
        <f>SUM(AT34:AT37)</f>
        <v>0</v>
      </c>
      <c r="AU38" s="433"/>
    </row>
    <row r="39" ht="20.4" customHeight="1" spans="1:47">
      <c r="A39" s="1076" t="s">
        <v>528</v>
      </c>
      <c r="B39" s="1077" t="s">
        <v>558</v>
      </c>
      <c r="C39" s="1078"/>
      <c r="D39" s="1079"/>
      <c r="E39" s="1080"/>
      <c r="F39" s="1039">
        <f t="shared" si="0"/>
        <v>0</v>
      </c>
      <c r="G39" s="1039"/>
      <c r="H39" s="1039">
        <f t="shared" si="1"/>
        <v>0</v>
      </c>
      <c r="I39" s="1061"/>
      <c r="AH39" s="433"/>
      <c r="AI39" s="433"/>
      <c r="AJ39" s="433"/>
      <c r="AK39" s="433"/>
      <c r="AL39" s="433"/>
      <c r="AM39" s="433"/>
      <c r="AN39" s="433"/>
      <c r="AO39" s="433"/>
      <c r="AP39" s="452"/>
      <c r="AQ39" s="452"/>
      <c r="AR39" s="452"/>
      <c r="AS39" s="452"/>
      <c r="AT39" s="452"/>
      <c r="AU39" s="433"/>
    </row>
    <row r="40" ht="20.4" customHeight="1" spans="1:47">
      <c r="A40" s="1076" t="s">
        <v>528</v>
      </c>
      <c r="B40" s="1077" t="s">
        <v>559</v>
      </c>
      <c r="C40" s="1078"/>
      <c r="D40" s="1060"/>
      <c r="E40" s="1039"/>
      <c r="F40" s="1039">
        <f t="shared" si="0"/>
        <v>0</v>
      </c>
      <c r="G40" s="1039"/>
      <c r="H40" s="1039">
        <f t="shared" si="1"/>
        <v>0</v>
      </c>
      <c r="I40" s="1061"/>
      <c r="AH40" s="433"/>
      <c r="AI40" s="433"/>
      <c r="AJ40" s="433"/>
      <c r="AK40" s="433"/>
      <c r="AL40" s="433"/>
      <c r="AM40" s="433"/>
      <c r="AN40" s="433"/>
      <c r="AO40" s="433"/>
      <c r="AP40" s="452"/>
      <c r="AQ40" s="452"/>
      <c r="AR40" s="452"/>
      <c r="AS40" s="452"/>
      <c r="AT40" s="452"/>
      <c r="AU40" s="433"/>
    </row>
    <row r="41" ht="20.4" customHeight="1" spans="1:47">
      <c r="A41" s="1076" t="s">
        <v>528</v>
      </c>
      <c r="B41" s="1077" t="s">
        <v>560</v>
      </c>
      <c r="C41" s="1078"/>
      <c r="D41" s="1060"/>
      <c r="E41" s="1039"/>
      <c r="F41" s="1039">
        <f t="shared" si="0"/>
        <v>0</v>
      </c>
      <c r="G41" s="1039"/>
      <c r="H41" s="1039">
        <f t="shared" si="1"/>
        <v>0</v>
      </c>
      <c r="I41" s="1061"/>
      <c r="AH41" s="433"/>
      <c r="AI41" s="433"/>
      <c r="AJ41" s="433"/>
      <c r="AK41" s="433"/>
      <c r="AL41" s="433"/>
      <c r="AM41" s="433"/>
      <c r="AN41" s="433"/>
      <c r="AO41" s="433"/>
      <c r="AP41" s="452"/>
      <c r="AQ41" s="452"/>
      <c r="AR41" s="452"/>
      <c r="AS41" s="452"/>
      <c r="AT41" s="452"/>
      <c r="AU41" s="433"/>
    </row>
    <row r="42" ht="20.4" customHeight="1" spans="1:47">
      <c r="A42" s="1076" t="s">
        <v>513</v>
      </c>
      <c r="B42" s="1077" t="s">
        <v>513</v>
      </c>
      <c r="C42" s="192"/>
      <c r="D42" s="193"/>
      <c r="E42" s="1039"/>
      <c r="F42" s="1039">
        <f>SUM(F4:F41)</f>
        <v>0</v>
      </c>
      <c r="G42" s="1039">
        <f>SUM(G4:G41)</f>
        <v>0</v>
      </c>
      <c r="H42" s="1039">
        <f>SUM(H4:H41)</f>
        <v>0</v>
      </c>
      <c r="I42" s="1061"/>
      <c r="AH42" s="433"/>
      <c r="AI42" s="433"/>
      <c r="AJ42" s="433"/>
      <c r="AK42" s="433"/>
      <c r="AL42" s="433"/>
      <c r="AM42" s="433"/>
      <c r="AN42" s="433"/>
      <c r="AO42" s="433"/>
      <c r="AP42" s="452"/>
      <c r="AQ42" s="452"/>
      <c r="AR42" s="452"/>
      <c r="AS42" s="452"/>
      <c r="AT42" s="452"/>
      <c r="AU42" s="433"/>
    </row>
    <row r="43" ht="20.4" customHeight="1" spans="1:47">
      <c r="A43" s="1081" t="s">
        <v>561</v>
      </c>
      <c r="B43" s="1082"/>
      <c r="C43" s="1083"/>
      <c r="D43" s="1084"/>
      <c r="E43" s="1081"/>
      <c r="F43" s="1085"/>
      <c r="G43" s="1081"/>
      <c r="H43" s="1086"/>
      <c r="I43" s="1087"/>
      <c r="AH43" s="433"/>
      <c r="AI43" s="433"/>
      <c r="AJ43" s="433"/>
      <c r="AK43" s="433"/>
      <c r="AL43" s="433"/>
      <c r="AM43" s="433"/>
      <c r="AN43" s="433"/>
      <c r="AO43" s="433"/>
      <c r="AP43" s="452"/>
      <c r="AQ43" s="452"/>
      <c r="AR43" s="452"/>
      <c r="AS43" s="452"/>
      <c r="AT43" s="452"/>
      <c r="AU43" s="433"/>
    </row>
    <row r="44" spans="1:47">
      <c r="A44" s="1081"/>
      <c r="B44" s="1088"/>
      <c r="D44" s="1084"/>
      <c r="E44" s="1081"/>
      <c r="F44" s="1085"/>
      <c r="G44" s="1085"/>
      <c r="H44" s="1085"/>
      <c r="I44" s="1081"/>
      <c r="AH44" s="433"/>
      <c r="AI44" s="433"/>
      <c r="AJ44" s="433"/>
      <c r="AK44" s="433"/>
      <c r="AL44" s="433"/>
      <c r="AM44" s="433"/>
      <c r="AN44" s="433"/>
      <c r="AO44" s="433"/>
      <c r="AP44" s="452"/>
      <c r="AQ44" s="452"/>
      <c r="AR44" s="452"/>
      <c r="AS44" s="452"/>
      <c r="AT44" s="452"/>
      <c r="AU44" s="433"/>
    </row>
    <row r="45" spans="1:47">
      <c r="A45" s="1081"/>
      <c r="B45" s="1081"/>
      <c r="C45" s="1089"/>
      <c r="D45" s="1081"/>
      <c r="E45" s="1090"/>
      <c r="F45" s="1085"/>
      <c r="G45" s="1085"/>
      <c r="H45" s="1085"/>
      <c r="I45" s="1085"/>
      <c r="AH45" s="433"/>
      <c r="AI45" s="433"/>
      <c r="AJ45" s="433"/>
      <c r="AK45" s="433"/>
      <c r="AL45" s="433"/>
      <c r="AM45" s="433"/>
      <c r="AN45" s="433"/>
      <c r="AO45" s="433"/>
      <c r="AP45" s="452"/>
      <c r="AQ45" s="452"/>
      <c r="AR45" s="452"/>
      <c r="AS45" s="452"/>
      <c r="AT45" s="452"/>
      <c r="AU45" s="433"/>
    </row>
    <row r="46" spans="1:47">
      <c r="A46" s="1081"/>
      <c r="B46" s="1081"/>
      <c r="C46" s="1089"/>
      <c r="D46" s="1081"/>
      <c r="E46" s="1090"/>
      <c r="F46" s="1085"/>
      <c r="G46" s="1085"/>
      <c r="H46" s="1085"/>
      <c r="I46" s="1085"/>
      <c r="AH46" s="433"/>
      <c r="AI46" s="433"/>
      <c r="AJ46" s="433"/>
      <c r="AK46" s="433"/>
      <c r="AL46" s="433"/>
      <c r="AM46" s="433"/>
      <c r="AN46" s="433"/>
      <c r="AO46" s="433"/>
      <c r="AP46" s="452"/>
      <c r="AQ46" s="452"/>
      <c r="AR46" s="452"/>
      <c r="AS46" s="452"/>
      <c r="AT46" s="452"/>
      <c r="AU46" s="433"/>
    </row>
    <row r="47" spans="1:47">
      <c r="A47" s="1091" t="s">
        <v>562</v>
      </c>
      <c r="C47" s="1092"/>
      <c r="E47" s="1093"/>
      <c r="F47" s="1085"/>
      <c r="G47" s="1093"/>
      <c r="H47" s="1093"/>
      <c r="I47" s="1093"/>
      <c r="AH47" s="433"/>
      <c r="AI47" s="433"/>
      <c r="AJ47" s="433"/>
      <c r="AK47" s="433"/>
      <c r="AL47" s="433"/>
      <c r="AM47" s="433"/>
      <c r="AN47" s="433"/>
      <c r="AO47" s="433"/>
      <c r="AP47" s="452"/>
      <c r="AQ47" s="452"/>
      <c r="AR47" s="452"/>
      <c r="AS47" s="452"/>
      <c r="AT47" s="452"/>
      <c r="AU47" s="433"/>
    </row>
    <row r="48" spans="1:47">
      <c r="A48" s="1091" t="s">
        <v>563</v>
      </c>
      <c r="C48" s="1092"/>
      <c r="E48" s="1093"/>
      <c r="F48" s="1085"/>
      <c r="G48" s="1093"/>
      <c r="H48" s="1093"/>
      <c r="I48" s="1093"/>
      <c r="AH48" s="433"/>
      <c r="AI48" s="433"/>
      <c r="AJ48" s="433"/>
      <c r="AK48" s="433"/>
      <c r="AL48" s="433"/>
      <c r="AM48" s="433"/>
      <c r="AN48" s="433"/>
      <c r="AO48" s="433"/>
      <c r="AP48" s="452"/>
      <c r="AQ48" s="452"/>
      <c r="AR48" s="452"/>
      <c r="AS48" s="452"/>
      <c r="AT48" s="452"/>
      <c r="AU48" s="433"/>
    </row>
    <row r="49" spans="1:47">
      <c r="A49" s="1091" t="s">
        <v>564</v>
      </c>
      <c r="C49" s="1092"/>
      <c r="E49" s="1093"/>
      <c r="F49" s="1085"/>
      <c r="G49" s="1093"/>
      <c r="H49" s="1093"/>
      <c r="I49" s="1093"/>
      <c r="AH49" s="433"/>
      <c r="AI49" s="433"/>
      <c r="AJ49" s="433"/>
      <c r="AK49" s="433"/>
      <c r="AL49" s="433"/>
      <c r="AM49" s="433"/>
      <c r="AN49" s="433"/>
      <c r="AO49" s="433"/>
      <c r="AP49" s="452"/>
      <c r="AQ49" s="452"/>
      <c r="AR49" s="452"/>
      <c r="AS49" s="452"/>
      <c r="AT49" s="452"/>
      <c r="AU49" s="433"/>
    </row>
    <row r="50" spans="1:47">
      <c r="A50" s="1091" t="s">
        <v>565</v>
      </c>
      <c r="C50" s="1092"/>
      <c r="E50" s="1093"/>
      <c r="F50" s="1085"/>
      <c r="G50" s="1093"/>
      <c r="H50" s="1093"/>
      <c r="I50" s="1093"/>
      <c r="AH50" s="433"/>
      <c r="AI50" s="433"/>
      <c r="AJ50" s="433"/>
      <c r="AK50" s="433"/>
      <c r="AL50" s="433"/>
      <c r="AM50" s="433"/>
      <c r="AN50" s="433"/>
      <c r="AO50" s="433"/>
      <c r="AP50" s="452"/>
      <c r="AQ50" s="452"/>
      <c r="AR50" s="452"/>
      <c r="AS50" s="452"/>
      <c r="AT50" s="452"/>
      <c r="AU50" s="433"/>
    </row>
    <row r="51" spans="1:47">
      <c r="A51" s="1091" t="s">
        <v>566</v>
      </c>
      <c r="C51" s="1092"/>
      <c r="E51" s="1093"/>
      <c r="F51" s="1085"/>
      <c r="G51" s="1093"/>
      <c r="H51" s="1093"/>
      <c r="I51" s="1093"/>
      <c r="AH51" s="433"/>
      <c r="AI51" s="433"/>
      <c r="AJ51" s="433"/>
      <c r="AK51" s="433"/>
      <c r="AL51" s="433"/>
      <c r="AM51" s="433"/>
      <c r="AN51" s="433"/>
      <c r="AO51" s="433"/>
      <c r="AP51" s="452"/>
      <c r="AQ51" s="452"/>
      <c r="AR51" s="452"/>
      <c r="AS51" s="452"/>
      <c r="AT51" s="452"/>
      <c r="AU51" s="433"/>
    </row>
    <row r="52" spans="1:47">
      <c r="A52" s="1091" t="s">
        <v>567</v>
      </c>
      <c r="C52" s="1092"/>
      <c r="E52" s="1093"/>
      <c r="F52" s="1085"/>
      <c r="G52" s="1093"/>
      <c r="H52" s="1093"/>
      <c r="I52" s="1093"/>
      <c r="AH52" s="433"/>
      <c r="AI52" s="433"/>
      <c r="AJ52" s="433"/>
      <c r="AK52" s="433"/>
      <c r="AL52" s="433"/>
      <c r="AM52" s="433"/>
      <c r="AN52" s="433"/>
      <c r="AO52" s="433"/>
      <c r="AP52" s="452"/>
      <c r="AQ52" s="452"/>
      <c r="AR52" s="452"/>
      <c r="AS52" s="452"/>
      <c r="AT52" s="452"/>
      <c r="AU52" s="433"/>
    </row>
    <row r="53" spans="1:47">
      <c r="A53" s="1091" t="s">
        <v>568</v>
      </c>
      <c r="C53" s="1092"/>
      <c r="E53" s="1093"/>
      <c r="F53" s="1085"/>
      <c r="G53" s="1093"/>
      <c r="H53" s="1093"/>
      <c r="I53" s="1093"/>
      <c r="AH53" s="433"/>
      <c r="AI53" s="433"/>
      <c r="AJ53" s="433"/>
      <c r="AK53" s="433"/>
      <c r="AL53" s="433"/>
      <c r="AM53" s="433"/>
      <c r="AN53" s="433"/>
      <c r="AO53" s="433"/>
      <c r="AP53" s="452"/>
      <c r="AQ53" s="452"/>
      <c r="AR53" s="452"/>
      <c r="AS53" s="452"/>
      <c r="AT53" s="452"/>
      <c r="AU53" s="433"/>
    </row>
    <row r="54" spans="1:47">
      <c r="C54" s="1092"/>
      <c r="E54" s="1093"/>
      <c r="F54" s="1093"/>
      <c r="G54" s="1093"/>
      <c r="H54" s="1093"/>
      <c r="I54" s="1093"/>
      <c r="AH54" s="433"/>
      <c r="AI54" s="433"/>
      <c r="AJ54" s="433"/>
      <c r="AK54" s="433"/>
      <c r="AL54" s="433"/>
      <c r="AM54" s="433"/>
      <c r="AN54" s="433"/>
      <c r="AO54" s="433"/>
      <c r="AP54" s="452"/>
      <c r="AQ54" s="452"/>
      <c r="AR54" s="452"/>
      <c r="AS54" s="452"/>
      <c r="AT54" s="452"/>
      <c r="AU54" s="433"/>
    </row>
    <row r="55" spans="1:47">
      <c r="A55" s="1094" t="s">
        <v>569</v>
      </c>
      <c r="B55" s="1094" t="s">
        <v>570</v>
      </c>
      <c r="C55" s="1094" t="s">
        <v>571</v>
      </c>
      <c r="D55" s="193"/>
      <c r="E55" s="1094" t="s">
        <v>572</v>
      </c>
      <c r="F55" s="193"/>
      <c r="G55" s="1095" t="s">
        <v>573</v>
      </c>
      <c r="H55" s="1096"/>
      <c r="I55" s="1096"/>
      <c r="J55" s="1093"/>
      <c r="AH55" s="433"/>
      <c r="AI55" s="433"/>
      <c r="AJ55" s="433"/>
      <c r="AK55" s="433"/>
      <c r="AL55" s="433"/>
      <c r="AM55" s="433"/>
      <c r="AN55" s="433"/>
      <c r="AO55" s="433"/>
      <c r="AP55" s="452"/>
      <c r="AQ55" s="452"/>
      <c r="AR55" s="452"/>
      <c r="AS55" s="452"/>
      <c r="AT55" s="452"/>
      <c r="AU55" s="433"/>
    </row>
    <row r="56" ht="17.6" spans="1:47">
      <c r="A56" s="195"/>
      <c r="B56" s="195"/>
      <c r="C56" s="1094" t="s">
        <v>574</v>
      </c>
      <c r="D56" s="1094" t="s">
        <v>575</v>
      </c>
      <c r="E56" s="1094" t="s">
        <v>574</v>
      </c>
      <c r="F56" s="1094" t="s">
        <v>575</v>
      </c>
      <c r="G56" s="1096"/>
      <c r="H56" s="1096"/>
      <c r="I56" s="1096"/>
      <c r="J56" s="1097"/>
    </row>
    <row r="57" ht="17.6" spans="1:47">
      <c r="A57" s="1094" t="s">
        <v>576</v>
      </c>
      <c r="B57" s="1094" t="s">
        <v>457</v>
      </c>
      <c r="C57" s="1094" t="s">
        <v>577</v>
      </c>
      <c r="D57" s="1098"/>
      <c r="E57" s="1094" t="s">
        <v>578</v>
      </c>
      <c r="F57" s="1098"/>
      <c r="G57" s="1096"/>
      <c r="H57" s="1096"/>
      <c r="I57" s="1096"/>
      <c r="J57" s="1097"/>
    </row>
    <row r="58" ht="17.6" spans="1:47">
      <c r="A58" s="317"/>
      <c r="B58" s="1094" t="s">
        <v>458</v>
      </c>
      <c r="C58" s="1094" t="s">
        <v>579</v>
      </c>
      <c r="D58" s="1098"/>
      <c r="E58" s="1094" t="s">
        <v>580</v>
      </c>
      <c r="F58" s="1098"/>
      <c r="G58" s="1096"/>
      <c r="H58" s="1096"/>
      <c r="I58" s="1096"/>
      <c r="J58" s="1097"/>
    </row>
    <row r="59" ht="17.6" spans="1:47">
      <c r="A59" s="317"/>
      <c r="B59" s="1094" t="s">
        <v>581</v>
      </c>
      <c r="C59" s="1094" t="s">
        <v>580</v>
      </c>
      <c r="D59" s="1098"/>
      <c r="E59" s="1094" t="s">
        <v>582</v>
      </c>
      <c r="F59" s="1098"/>
      <c r="G59" s="1096"/>
      <c r="H59" s="1096"/>
      <c r="I59" s="1096"/>
      <c r="J59" s="1097"/>
    </row>
    <row r="60" ht="17.6" spans="1:47">
      <c r="A60" s="195"/>
      <c r="B60" s="1094" t="s">
        <v>460</v>
      </c>
      <c r="C60" s="1094" t="s">
        <v>583</v>
      </c>
      <c r="D60" s="1098"/>
      <c r="E60" s="1094" t="s">
        <v>584</v>
      </c>
      <c r="F60" s="1098"/>
      <c r="G60" s="1096"/>
      <c r="H60" s="1096"/>
      <c r="I60" s="1096"/>
      <c r="J60" s="1097"/>
    </row>
    <row r="61" ht="17.6" spans="1:47">
      <c r="A61" s="1096"/>
      <c r="B61" s="1096"/>
      <c r="C61" s="1096"/>
      <c r="D61" s="1096"/>
      <c r="E61" s="1096"/>
      <c r="F61" s="1096"/>
      <c r="G61" s="1096"/>
      <c r="H61" s="1096"/>
      <c r="I61" s="1096"/>
      <c r="J61" s="1097"/>
    </row>
    <row r="62" ht="17.6" spans="1:47">
      <c r="A62" s="1096"/>
      <c r="B62" s="1096"/>
      <c r="C62" s="1096"/>
      <c r="D62" s="1096"/>
      <c r="E62" s="1096"/>
      <c r="F62" s="1096"/>
      <c r="G62" s="1096"/>
      <c r="H62" s="1096"/>
      <c r="I62" s="1096"/>
      <c r="J62" s="1097"/>
    </row>
    <row r="63" ht="17.6" spans="1:47">
      <c r="A63" s="1094" t="s">
        <v>569</v>
      </c>
      <c r="B63" s="1094" t="s">
        <v>570</v>
      </c>
      <c r="C63" s="1094" t="s">
        <v>585</v>
      </c>
      <c r="D63" s="193"/>
      <c r="E63" s="1094" t="s">
        <v>586</v>
      </c>
      <c r="F63" s="193"/>
      <c r="G63" s="1095" t="s">
        <v>587</v>
      </c>
      <c r="H63" s="1096"/>
      <c r="I63" s="1096"/>
      <c r="J63" s="1097"/>
    </row>
    <row r="64" ht="17.6" spans="1:47">
      <c r="A64" s="195"/>
      <c r="B64" s="195"/>
      <c r="C64" s="1094" t="s">
        <v>574</v>
      </c>
      <c r="D64" s="1094" t="s">
        <v>575</v>
      </c>
      <c r="E64" s="1094" t="s">
        <v>574</v>
      </c>
      <c r="F64" s="1094" t="s">
        <v>575</v>
      </c>
      <c r="G64" s="1096"/>
      <c r="H64" s="1096"/>
      <c r="I64" s="1096"/>
      <c r="J64" s="1097"/>
    </row>
    <row r="65" ht="17.6" spans="1:10">
      <c r="A65" s="1094" t="s">
        <v>588</v>
      </c>
      <c r="B65" s="1094" t="s">
        <v>457</v>
      </c>
      <c r="C65" s="1094" t="s">
        <v>589</v>
      </c>
      <c r="D65" s="1098"/>
      <c r="E65" s="1094" t="s">
        <v>590</v>
      </c>
      <c r="F65" s="1098"/>
      <c r="G65" s="1096"/>
      <c r="H65" s="1096"/>
      <c r="I65" s="1096"/>
      <c r="J65" s="1097"/>
    </row>
    <row r="66" ht="17.6" spans="1:10">
      <c r="A66" s="317"/>
      <c r="B66" s="1094" t="s">
        <v>458</v>
      </c>
      <c r="C66" s="1094" t="s">
        <v>591</v>
      </c>
      <c r="D66" s="1098"/>
      <c r="E66" s="1094" t="s">
        <v>592</v>
      </c>
      <c r="F66" s="1098"/>
      <c r="G66" s="1096"/>
      <c r="H66" s="1096"/>
      <c r="I66" s="1096"/>
      <c r="J66" s="1097"/>
    </row>
    <row r="67" ht="17.6" spans="1:10">
      <c r="A67" s="317"/>
      <c r="B67" s="1094" t="s">
        <v>581</v>
      </c>
      <c r="C67" s="1094" t="s">
        <v>593</v>
      </c>
      <c r="D67" s="1098"/>
      <c r="E67" s="1094" t="s">
        <v>594</v>
      </c>
      <c r="F67" s="1098"/>
      <c r="G67" s="1096"/>
      <c r="H67" s="1096"/>
      <c r="I67" s="1096"/>
      <c r="J67" s="1097"/>
    </row>
    <row r="68" ht="17.6" spans="1:10">
      <c r="A68" s="195"/>
      <c r="B68" s="1094" t="s">
        <v>460</v>
      </c>
      <c r="C68" s="1094" t="s">
        <v>595</v>
      </c>
      <c r="D68" s="1098"/>
      <c r="E68" s="1094" t="s">
        <v>596</v>
      </c>
      <c r="F68" s="1098"/>
      <c r="G68" s="1096"/>
      <c r="H68" s="1096"/>
      <c r="I68" s="1096"/>
      <c r="J68" s="1097"/>
    </row>
    <row r="69" ht="17.6" spans="1:10">
      <c r="A69" s="1094" t="s">
        <v>569</v>
      </c>
      <c r="B69" s="1094" t="s">
        <v>570</v>
      </c>
      <c r="C69" s="1094" t="s">
        <v>585</v>
      </c>
      <c r="D69" s="193"/>
      <c r="E69" s="1094" t="s">
        <v>586</v>
      </c>
      <c r="F69" s="193"/>
      <c r="G69" s="1095" t="s">
        <v>597</v>
      </c>
      <c r="H69" s="1096"/>
      <c r="I69" s="1096"/>
      <c r="J69" s="1097"/>
    </row>
    <row r="70" ht="17.6" spans="1:10">
      <c r="A70" s="195"/>
      <c r="B70" s="195"/>
      <c r="C70" s="1094" t="s">
        <v>574</v>
      </c>
      <c r="D70" s="1094" t="s">
        <v>575</v>
      </c>
      <c r="E70" s="1094" t="s">
        <v>574</v>
      </c>
      <c r="F70" s="1094" t="s">
        <v>575</v>
      </c>
      <c r="G70" s="1096"/>
      <c r="H70" s="1096"/>
      <c r="I70" s="1096"/>
      <c r="J70" s="1097"/>
    </row>
    <row r="71" ht="17.6" spans="1:10">
      <c r="A71" s="1094" t="s">
        <v>598</v>
      </c>
      <c r="B71" s="1094" t="s">
        <v>457</v>
      </c>
      <c r="C71" s="1094" t="s">
        <v>599</v>
      </c>
      <c r="D71" s="1098"/>
      <c r="E71" s="1094" t="s">
        <v>600</v>
      </c>
      <c r="F71" s="1098"/>
      <c r="G71" s="1096"/>
      <c r="H71" s="1096"/>
      <c r="I71" s="1096"/>
      <c r="J71" s="1097"/>
    </row>
    <row r="72" ht="17.6" spans="1:10">
      <c r="A72" s="317"/>
      <c r="B72" s="1094" t="s">
        <v>458</v>
      </c>
      <c r="C72" s="1094" t="s">
        <v>601</v>
      </c>
      <c r="D72" s="1098"/>
      <c r="E72" s="1094" t="s">
        <v>602</v>
      </c>
      <c r="F72" s="1098"/>
      <c r="G72" s="1096"/>
      <c r="H72" s="1096"/>
      <c r="I72" s="1096"/>
      <c r="J72" s="1097"/>
    </row>
    <row r="73" ht="17.6" spans="1:10">
      <c r="A73" s="317"/>
      <c r="B73" s="1094" t="s">
        <v>581</v>
      </c>
      <c r="C73" s="1094" t="s">
        <v>603</v>
      </c>
      <c r="D73" s="1098"/>
      <c r="E73" s="1094" t="s">
        <v>604</v>
      </c>
      <c r="F73" s="1098"/>
      <c r="G73" s="1096"/>
      <c r="H73" s="1096"/>
      <c r="I73" s="1096"/>
      <c r="J73" s="1097"/>
    </row>
    <row r="74" ht="17.6" spans="1:10">
      <c r="A74" s="195"/>
      <c r="B74" s="1094" t="s">
        <v>460</v>
      </c>
      <c r="C74" s="1094" t="s">
        <v>605</v>
      </c>
      <c r="D74" s="1098"/>
      <c r="E74" s="1094" t="s">
        <v>606</v>
      </c>
      <c r="F74" s="1098"/>
      <c r="G74" s="1096"/>
      <c r="H74" s="1096"/>
      <c r="I74" s="1096"/>
      <c r="J74" s="1097"/>
    </row>
    <row r="75" ht="17.6" spans="1:10">
      <c r="A75" s="1094" t="s">
        <v>569</v>
      </c>
      <c r="B75" s="1094" t="s">
        <v>570</v>
      </c>
      <c r="C75" s="1094" t="s">
        <v>585</v>
      </c>
      <c r="D75" s="193"/>
      <c r="E75" s="1094" t="s">
        <v>586</v>
      </c>
      <c r="F75" s="193"/>
      <c r="G75" s="1096"/>
      <c r="H75" s="1096"/>
      <c r="I75" s="1096"/>
      <c r="J75" s="1097"/>
    </row>
    <row r="76" ht="17.6" spans="1:10">
      <c r="A76" s="195"/>
      <c r="B76" s="195"/>
      <c r="C76" s="1094" t="s">
        <v>574</v>
      </c>
      <c r="D76" s="1094" t="s">
        <v>575</v>
      </c>
      <c r="E76" s="1094" t="s">
        <v>574</v>
      </c>
      <c r="F76" s="1094" t="s">
        <v>575</v>
      </c>
      <c r="G76" s="1096"/>
      <c r="H76" s="1096"/>
      <c r="I76" s="1096"/>
      <c r="J76" s="1097"/>
    </row>
    <row r="77" ht="17.6" spans="1:10">
      <c r="A77" s="1094" t="s">
        <v>607</v>
      </c>
      <c r="B77" s="1094" t="s">
        <v>457</v>
      </c>
      <c r="C77" s="1094" t="s">
        <v>608</v>
      </c>
      <c r="D77" s="1098"/>
      <c r="E77" s="1094" t="s">
        <v>589</v>
      </c>
      <c r="F77" s="1098"/>
      <c r="G77" s="1096"/>
      <c r="H77" s="1096"/>
      <c r="I77" s="1096"/>
      <c r="J77" s="1097"/>
    </row>
    <row r="78" ht="17.6" spans="1:10">
      <c r="A78" s="317"/>
      <c r="B78" s="1094" t="s">
        <v>458</v>
      </c>
      <c r="C78" s="1094" t="s">
        <v>609</v>
      </c>
      <c r="D78" s="1098"/>
      <c r="E78" s="1094" t="s">
        <v>591</v>
      </c>
      <c r="F78" s="1098"/>
      <c r="G78" s="1096"/>
      <c r="H78" s="1096"/>
      <c r="I78" s="1096"/>
      <c r="J78" s="1097"/>
    </row>
    <row r="79" ht="17.6" spans="1:10">
      <c r="A79" s="317"/>
      <c r="B79" s="1094" t="s">
        <v>581</v>
      </c>
      <c r="C79" s="1094" t="s">
        <v>610</v>
      </c>
      <c r="D79" s="1098"/>
      <c r="E79" s="1094" t="s">
        <v>593</v>
      </c>
      <c r="F79" s="1098"/>
      <c r="G79" s="1096"/>
      <c r="H79" s="1096"/>
      <c r="I79" s="1096"/>
      <c r="J79" s="1097"/>
    </row>
    <row r="80" ht="17.6" spans="1:10">
      <c r="A80" s="195"/>
      <c r="B80" s="1094" t="s">
        <v>460</v>
      </c>
      <c r="C80" s="1094" t="s">
        <v>611</v>
      </c>
      <c r="D80" s="1098"/>
      <c r="E80" s="1094" t="s">
        <v>612</v>
      </c>
      <c r="F80" s="1098"/>
      <c r="G80" s="1096"/>
      <c r="H80" s="1096"/>
      <c r="I80" s="1096"/>
      <c r="J80" s="1097"/>
    </row>
    <row r="81" ht="17.6" spans="1:13">
      <c r="A81" s="1096"/>
      <c r="B81" s="1096"/>
      <c r="C81" s="1096"/>
      <c r="D81" s="1096"/>
      <c r="E81" s="1096"/>
      <c r="F81" s="1096"/>
      <c r="G81" s="1096"/>
      <c r="J81" s="1097"/>
    </row>
    <row r="82" spans="1:13">
      <c r="A82" s="1096"/>
      <c r="B82" s="1096"/>
      <c r="C82" s="1099"/>
      <c r="D82" s="1096"/>
      <c r="E82" s="1096"/>
      <c r="F82" s="1096"/>
      <c r="G82" s="1096"/>
    </row>
    <row r="83" spans="1:13">
      <c r="A83" s="1096"/>
      <c r="B83" s="1096"/>
      <c r="C83" s="1099"/>
      <c r="D83" s="1096"/>
      <c r="E83" s="1096"/>
      <c r="F83" s="1096"/>
      <c r="G83" s="1096"/>
    </row>
    <row r="84" spans="1:13">
      <c r="A84" s="1096" t="s">
        <v>613</v>
      </c>
      <c r="B84" s="1095" t="s">
        <v>614</v>
      </c>
      <c r="C84" s="1099"/>
      <c r="D84" s="1096"/>
      <c r="E84" s="1096"/>
      <c r="F84" s="1096"/>
      <c r="G84" s="1096"/>
    </row>
    <row r="85" spans="1:13">
      <c r="A85" s="1096"/>
      <c r="B85" s="1095" t="s">
        <v>615</v>
      </c>
      <c r="C85" s="1099"/>
      <c r="D85" s="1096"/>
      <c r="E85" s="1096"/>
      <c r="F85" s="1096"/>
      <c r="G85" s="1096"/>
    </row>
    <row r="86" spans="1:13">
      <c r="A86" s="1096"/>
      <c r="B86" s="1095" t="s">
        <v>616</v>
      </c>
      <c r="C86" s="1099"/>
      <c r="D86" s="1096"/>
      <c r="E86" s="1096"/>
      <c r="F86" s="1096"/>
      <c r="G86" s="1096"/>
    </row>
    <row r="89" ht="17.55" spans="1:13">
      <c r="A89" s="433"/>
      <c r="B89" s="433"/>
      <c r="C89" s="433"/>
      <c r="D89" s="433"/>
      <c r="E89" s="433"/>
      <c r="F89" s="433"/>
      <c r="G89" s="433"/>
      <c r="H89" s="433" t="s">
        <v>457</v>
      </c>
      <c r="I89" s="452" t="s">
        <v>458</v>
      </c>
      <c r="J89" s="452" t="s">
        <v>459</v>
      </c>
      <c r="K89" s="452" t="s">
        <v>460</v>
      </c>
      <c r="L89" s="452" t="s">
        <v>461</v>
      </c>
      <c r="M89" s="452" t="s">
        <v>462</v>
      </c>
    </row>
    <row r="90" ht="71" spans="1:13">
      <c r="A90" s="1043" t="s">
        <v>486</v>
      </c>
      <c r="B90" s="1044"/>
      <c r="C90" s="1044"/>
      <c r="D90" s="1044"/>
      <c r="E90" s="1045"/>
      <c r="F90" s="433"/>
      <c r="G90" s="1046" t="s">
        <v>487</v>
      </c>
      <c r="H90" s="1046" t="s">
        <v>488</v>
      </c>
      <c r="I90" s="1047" t="s">
        <v>617</v>
      </c>
      <c r="J90" s="1047" t="s">
        <v>490</v>
      </c>
      <c r="K90" s="1047" t="s">
        <v>491</v>
      </c>
      <c r="L90" s="1047" t="s">
        <v>492</v>
      </c>
      <c r="M90" s="1047" t="s">
        <v>493</v>
      </c>
    </row>
    <row r="91" ht="36" spans="1:13">
      <c r="A91" s="1047" t="s">
        <v>496</v>
      </c>
      <c r="B91" s="1046" t="s">
        <v>497</v>
      </c>
      <c r="C91" s="1047"/>
      <c r="D91" s="1047"/>
      <c r="E91" s="1059"/>
      <c r="F91" s="433"/>
      <c r="G91" s="1046" t="s">
        <v>498</v>
      </c>
      <c r="H91" s="1046"/>
      <c r="I91" s="1047"/>
      <c r="J91" s="1047"/>
      <c r="K91" s="1047"/>
      <c r="L91" s="1047"/>
      <c r="M91" s="1047">
        <f>K91*L91</f>
        <v>0</v>
      </c>
    </row>
    <row r="92" ht="53" spans="1:13">
      <c r="A92" s="195"/>
      <c r="B92" s="1046" t="s">
        <v>501</v>
      </c>
      <c r="C92" s="1047" t="s">
        <v>502</v>
      </c>
      <c r="D92" s="1047" t="s">
        <v>503</v>
      </c>
      <c r="E92" s="1059" t="s">
        <v>504</v>
      </c>
      <c r="F92" s="433"/>
      <c r="G92" s="1046" t="s">
        <v>505</v>
      </c>
      <c r="H92" s="1065"/>
      <c r="I92" s="1066"/>
      <c r="J92" s="1066">
        <f>+I92-H92</f>
        <v>0</v>
      </c>
      <c r="K92" s="1047"/>
      <c r="L92" s="1047">
        <f>+IF(J92&lt;1%,20,IF(J92&lt;3%,30,40))</f>
        <v>20</v>
      </c>
      <c r="M92" s="1047">
        <f>K92*L92</f>
        <v>0</v>
      </c>
    </row>
    <row r="93" ht="53" spans="1:13">
      <c r="A93" s="1047" t="s">
        <v>508</v>
      </c>
      <c r="B93" s="1046" t="s">
        <v>497</v>
      </c>
      <c r="C93" s="1047"/>
      <c r="D93" s="1047"/>
      <c r="E93" s="1059"/>
      <c r="F93" s="433"/>
      <c r="G93" s="1046" t="s">
        <v>509</v>
      </c>
      <c r="H93" s="1065" t="s">
        <v>523</v>
      </c>
      <c r="I93" s="1069"/>
      <c r="J93" s="1066" t="s">
        <v>618</v>
      </c>
      <c r="K93" s="1047"/>
      <c r="L93" s="1047"/>
      <c r="M93" s="1047"/>
    </row>
    <row r="94" ht="36" spans="1:13">
      <c r="A94" s="195"/>
      <c r="B94" s="1046" t="s">
        <v>501</v>
      </c>
      <c r="C94" s="1047" t="s">
        <v>502</v>
      </c>
      <c r="D94" s="1047" t="s">
        <v>503</v>
      </c>
      <c r="E94" s="1059" t="s">
        <v>504</v>
      </c>
      <c r="F94" s="433"/>
      <c r="G94" s="1046" t="s">
        <v>511</v>
      </c>
      <c r="H94" s="1065"/>
      <c r="I94" s="1066"/>
      <c r="J94" s="1066">
        <f>+I94-H94</f>
        <v>0</v>
      </c>
      <c r="K94" s="1047"/>
      <c r="L94" s="1047">
        <f>+IF(J94&lt;1%,10,IF(J94&lt;3%,20,30))</f>
        <v>10</v>
      </c>
      <c r="M94" s="1047">
        <f>K94*L94</f>
        <v>0</v>
      </c>
    </row>
    <row r="95" ht="36" spans="1:13">
      <c r="A95" s="1047" t="s">
        <v>511</v>
      </c>
      <c r="B95" s="1046" t="s">
        <v>497</v>
      </c>
      <c r="C95" s="1047"/>
      <c r="D95" s="1047"/>
      <c r="E95" s="1059"/>
      <c r="F95" s="433"/>
      <c r="G95" s="1046" t="s">
        <v>513</v>
      </c>
      <c r="H95" s="1047" t="s">
        <v>468</v>
      </c>
      <c r="I95" s="192"/>
      <c r="J95" s="192"/>
      <c r="K95" s="192"/>
      <c r="L95" s="193"/>
      <c r="M95" s="1047">
        <f>SUM(M91:M94)</f>
        <v>0</v>
      </c>
    </row>
    <row r="96" ht="36.75" spans="1:13">
      <c r="A96" s="195"/>
      <c r="B96" s="1070" t="s">
        <v>501</v>
      </c>
      <c r="C96" s="1071" t="s">
        <v>502</v>
      </c>
      <c r="D96" s="1071" t="s">
        <v>503</v>
      </c>
      <c r="E96" s="1072" t="s">
        <v>504</v>
      </c>
      <c r="F96" s="433"/>
      <c r="G96" s="433"/>
      <c r="H96" s="433"/>
      <c r="I96" s="452"/>
      <c r="J96" s="452"/>
      <c r="K96" s="452"/>
      <c r="L96" s="452"/>
      <c r="M96" s="452"/>
    </row>
    <row r="97" ht="71" spans="1:13">
      <c r="A97" s="1073" t="s">
        <v>515</v>
      </c>
      <c r="B97" s="1073"/>
      <c r="C97" s="1073"/>
      <c r="D97" s="1073"/>
      <c r="E97" s="1073"/>
      <c r="F97" s="1073"/>
      <c r="G97" s="1046" t="s">
        <v>516</v>
      </c>
      <c r="H97" s="1046" t="s">
        <v>488</v>
      </c>
      <c r="I97" s="1047" t="s">
        <v>617</v>
      </c>
      <c r="J97" s="1047" t="s">
        <v>490</v>
      </c>
      <c r="K97" s="1047" t="s">
        <v>491</v>
      </c>
      <c r="L97" s="1047" t="s">
        <v>492</v>
      </c>
      <c r="M97" s="1047" t="s">
        <v>493</v>
      </c>
    </row>
    <row r="98" ht="36" spans="1:13">
      <c r="A98" s="1074" t="s">
        <v>520</v>
      </c>
      <c r="F98" s="1075"/>
      <c r="G98" s="1046" t="s">
        <v>498</v>
      </c>
      <c r="H98" s="1046"/>
      <c r="I98" s="1047"/>
      <c r="J98" s="1047"/>
      <c r="K98" s="1047"/>
      <c r="L98" s="1047"/>
      <c r="M98" s="1047">
        <f>K98*L98</f>
        <v>0</v>
      </c>
    </row>
    <row r="99" ht="53" spans="1:13">
      <c r="A99" s="433"/>
      <c r="B99" s="433"/>
      <c r="C99" s="433"/>
      <c r="D99" s="433"/>
      <c r="E99" s="433"/>
      <c r="F99" s="433"/>
      <c r="G99" s="1046" t="s">
        <v>505</v>
      </c>
      <c r="H99" s="1065"/>
      <c r="I99" s="1066"/>
      <c r="J99" s="1066">
        <f>+I99-H99</f>
        <v>0</v>
      </c>
      <c r="K99" s="1047"/>
      <c r="L99" s="1047">
        <f>+IF(J99&lt;1%,20,IF(J99&lt;3%,30,40))</f>
        <v>20</v>
      </c>
      <c r="M99" s="1047">
        <f>K99*L99</f>
        <v>0</v>
      </c>
    </row>
    <row r="100" ht="53" spans="1:13">
      <c r="A100" s="433"/>
      <c r="B100" s="433"/>
      <c r="C100" s="433"/>
      <c r="D100" s="433"/>
      <c r="E100" s="433"/>
      <c r="F100" s="433"/>
      <c r="G100" s="1046" t="s">
        <v>509</v>
      </c>
      <c r="H100" s="1065" t="s">
        <v>523</v>
      </c>
      <c r="I100" s="1069"/>
      <c r="J100" s="1066" t="s">
        <v>618</v>
      </c>
      <c r="K100" s="1047"/>
      <c r="L100" s="1047"/>
      <c r="M100" s="1047"/>
    </row>
    <row r="101" ht="36" spans="1:13">
      <c r="A101" s="433"/>
      <c r="B101" s="433"/>
      <c r="C101" s="433"/>
      <c r="D101" s="433"/>
      <c r="E101" s="433"/>
      <c r="F101" s="433"/>
      <c r="G101" s="1046" t="s">
        <v>511</v>
      </c>
      <c r="H101" s="1065"/>
      <c r="I101" s="1066"/>
      <c r="J101" s="1066">
        <f>+I101-H101</f>
        <v>0</v>
      </c>
      <c r="K101" s="1047"/>
      <c r="L101" s="1047">
        <f>+IF(J101&lt;1%,10,IF(J101&lt;3%,20,30))</f>
        <v>10</v>
      </c>
      <c r="M101" s="1047">
        <f>K101*L101</f>
        <v>0</v>
      </c>
    </row>
    <row r="102" ht="36" spans="1:13">
      <c r="A102" s="433"/>
      <c r="B102" s="433"/>
      <c r="C102" s="433"/>
      <c r="D102" s="433"/>
      <c r="E102" s="433"/>
      <c r="F102" s="433"/>
      <c r="G102" s="1046" t="s">
        <v>513</v>
      </c>
      <c r="H102" s="1047" t="s">
        <v>525</v>
      </c>
      <c r="I102" s="192"/>
      <c r="J102" s="192"/>
      <c r="K102" s="192"/>
      <c r="L102" s="193"/>
      <c r="M102" s="1047">
        <f>SUM(M98:M101)</f>
        <v>0</v>
      </c>
    </row>
    <row r="103" spans="1:13">
      <c r="A103" s="433"/>
      <c r="B103" s="433"/>
      <c r="C103" s="433"/>
      <c r="D103" s="433"/>
      <c r="E103" s="433"/>
      <c r="F103" s="433"/>
      <c r="G103" s="433"/>
      <c r="H103" s="433"/>
      <c r="I103" s="452"/>
      <c r="J103" s="452"/>
      <c r="K103" s="452"/>
      <c r="L103" s="452"/>
      <c r="M103" s="452"/>
    </row>
    <row r="104" spans="1:13">
      <c r="A104" s="433"/>
      <c r="B104" s="433"/>
      <c r="C104" s="433"/>
      <c r="D104" s="433"/>
      <c r="E104" s="433"/>
      <c r="F104" s="433"/>
      <c r="G104" s="433"/>
      <c r="H104" s="433"/>
      <c r="I104" s="452"/>
      <c r="J104" s="452"/>
      <c r="K104" s="452"/>
      <c r="L104" s="452"/>
      <c r="M104" s="452"/>
    </row>
    <row r="105" ht="71" spans="1:13">
      <c r="A105" s="433"/>
      <c r="B105" s="433"/>
      <c r="C105" s="433"/>
      <c r="D105" s="433"/>
      <c r="E105" s="433"/>
      <c r="F105" s="433"/>
      <c r="G105" s="1046" t="s">
        <v>531</v>
      </c>
      <c r="H105" s="1046" t="s">
        <v>488</v>
      </c>
      <c r="I105" s="1047" t="s">
        <v>617</v>
      </c>
      <c r="J105" s="1047" t="s">
        <v>490</v>
      </c>
      <c r="K105" s="1047" t="s">
        <v>491</v>
      </c>
      <c r="L105" s="1047" t="s">
        <v>492</v>
      </c>
      <c r="M105" s="1047" t="s">
        <v>493</v>
      </c>
    </row>
    <row r="106" ht="36" spans="1:13">
      <c r="A106" s="433"/>
      <c r="B106" s="433"/>
      <c r="C106" s="433"/>
      <c r="D106" s="433"/>
      <c r="E106" s="433"/>
      <c r="F106" s="433"/>
      <c r="G106" s="1046" t="s">
        <v>498</v>
      </c>
      <c r="H106" s="1046"/>
      <c r="I106" s="1047"/>
      <c r="J106" s="1047"/>
      <c r="K106" s="1047"/>
      <c r="L106" s="1047"/>
      <c r="M106" s="1047">
        <f>K106*L106</f>
        <v>0</v>
      </c>
    </row>
    <row r="107" ht="53" spans="1:13">
      <c r="A107" s="433"/>
      <c r="B107" s="433"/>
      <c r="C107" s="433"/>
      <c r="D107" s="433"/>
      <c r="E107" s="433"/>
      <c r="F107" s="433"/>
      <c r="G107" s="1046" t="s">
        <v>505</v>
      </c>
      <c r="H107" s="1065"/>
      <c r="I107" s="1066"/>
      <c r="J107" s="1066">
        <f>+I107-H107</f>
        <v>0</v>
      </c>
      <c r="K107" s="1047"/>
      <c r="L107" s="1047">
        <f>+IF(J107&lt;1%,20,IF(J107&lt;3%,30,40))</f>
        <v>20</v>
      </c>
      <c r="M107" s="1047">
        <f>K107*L107</f>
        <v>0</v>
      </c>
    </row>
    <row r="108" ht="53" spans="1:13">
      <c r="A108" s="433"/>
      <c r="B108" s="433"/>
      <c r="C108" s="433"/>
      <c r="D108" s="433"/>
      <c r="E108" s="433"/>
      <c r="F108" s="433"/>
      <c r="G108" s="1046" t="s">
        <v>509</v>
      </c>
      <c r="H108" s="1065" t="s">
        <v>523</v>
      </c>
      <c r="I108" s="1069"/>
      <c r="J108" s="1066" t="s">
        <v>618</v>
      </c>
      <c r="K108" s="1047"/>
      <c r="L108" s="1047"/>
      <c r="M108" s="1047"/>
    </row>
    <row r="109" ht="36" spans="1:13">
      <c r="A109" s="433"/>
      <c r="B109" s="433"/>
      <c r="C109" s="433"/>
      <c r="D109" s="433"/>
      <c r="E109" s="433"/>
      <c r="F109" s="433"/>
      <c r="G109" s="1046" t="s">
        <v>511</v>
      </c>
      <c r="H109" s="1065"/>
      <c r="I109" s="1066"/>
      <c r="J109" s="1066">
        <f>+I109-H109</f>
        <v>0</v>
      </c>
      <c r="K109" s="1047"/>
      <c r="L109" s="1047">
        <f>+IF(J109&lt;1%,10,IF(J109&lt;3%,20,30))</f>
        <v>10</v>
      </c>
      <c r="M109" s="1047">
        <f>K109*L109</f>
        <v>0</v>
      </c>
    </row>
    <row r="110" ht="36" spans="1:13">
      <c r="A110" s="433"/>
      <c r="B110" s="433"/>
      <c r="C110" s="433"/>
      <c r="D110" s="433"/>
      <c r="E110" s="433"/>
      <c r="F110" s="433"/>
      <c r="G110" s="1046" t="s">
        <v>513</v>
      </c>
      <c r="H110" s="1047" t="s">
        <v>537</v>
      </c>
      <c r="I110" s="192"/>
      <c r="J110" s="192"/>
      <c r="K110" s="192"/>
      <c r="L110" s="193"/>
      <c r="M110" s="1047">
        <f>SUM(M106:M109)</f>
        <v>0</v>
      </c>
    </row>
  </sheetData>
  <mergeCells count="48">
    <mergeCell ref="A1:I1"/>
    <mergeCell ref="E2:F2"/>
    <mergeCell ref="G2:H2"/>
    <mergeCell ref="AH2:AL2"/>
    <mergeCell ref="AO7:AS7"/>
    <mergeCell ref="AH10:AL10"/>
    <mergeCell ref="AO14:AS14"/>
    <mergeCell ref="AO22:AS22"/>
    <mergeCell ref="AO30:AS30"/>
    <mergeCell ref="AO38:AS38"/>
    <mergeCell ref="B42:D42"/>
    <mergeCell ref="C55:D55"/>
    <mergeCell ref="E55:F55"/>
    <mergeCell ref="C63:D63"/>
    <mergeCell ref="E63:F63"/>
    <mergeCell ref="C69:D69"/>
    <mergeCell ref="E69:F69"/>
    <mergeCell ref="C75:D75"/>
    <mergeCell ref="E75:F75"/>
    <mergeCell ref="A90:E90"/>
    <mergeCell ref="H95:L95"/>
    <mergeCell ref="A98:E98"/>
    <mergeCell ref="H102:L102"/>
    <mergeCell ref="H110:L110"/>
    <mergeCell ref="A2:A3"/>
    <mergeCell ref="A55:A56"/>
    <mergeCell ref="A57:A60"/>
    <mergeCell ref="A63:A64"/>
    <mergeCell ref="A65:A68"/>
    <mergeCell ref="A69:A70"/>
    <mergeCell ref="A71:A74"/>
    <mergeCell ref="A75:A76"/>
    <mergeCell ref="A77:A80"/>
    <mergeCell ref="A91:A92"/>
    <mergeCell ref="A93:A94"/>
    <mergeCell ref="A95:A96"/>
    <mergeCell ref="B2:B3"/>
    <mergeCell ref="B55:B56"/>
    <mergeCell ref="B63:B64"/>
    <mergeCell ref="B69:B70"/>
    <mergeCell ref="B75:B76"/>
    <mergeCell ref="C2:C3"/>
    <mergeCell ref="D2:D3"/>
    <mergeCell ref="I2:I3"/>
    <mergeCell ref="AH3:AH4"/>
    <mergeCell ref="AH5:AH6"/>
    <mergeCell ref="AH7:AH8"/>
    <mergeCell ref="K5:AD1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55"/>
  <sheetViews>
    <sheetView workbookViewId="0">
      <pane xSplit="10" ySplit="2" topLeftCell="K3" activePane="bottomRight" state="frozen"/>
      <selection/>
      <selection pane="topRight"/>
      <selection pane="bottomLeft"/>
      <selection pane="bottomRight" activeCell="A1" sqref="A1"/>
    </sheetView>
  </sheetViews>
  <sheetFormatPr defaultColWidth="9" defaultRowHeight="16.8"/>
  <cols>
    <col min="1" max="1" width="10.8846153846154" customWidth="1"/>
    <col min="2" max="2" width="20.8846153846154" customWidth="1"/>
    <col min="3" max="3" width="19.1153846153846" customWidth="1"/>
    <col min="4" max="4" width="14" customWidth="1"/>
    <col min="5" max="5" width="20.4423076923077" customWidth="1"/>
    <col min="6" max="6" width="11" customWidth="1"/>
    <col min="7" max="7" width="17.4423076923077" customWidth="1"/>
    <col min="9" max="9" width="18.4423076923077" customWidth="1"/>
    <col min="10" max="10" width="15" customWidth="1"/>
    <col min="11" max="11" width="20.4423076923077" customWidth="1"/>
    <col min="12" max="12" width="14.4423076923077" customWidth="1"/>
    <col min="13" max="14" width="16.4423076923077" customWidth="1"/>
    <col min="15" max="15" width="22.4423076923077" customWidth="1"/>
    <col min="16" max="16" width="22.1153846153846" customWidth="1"/>
    <col min="17" max="17" width="17.8846153846154" customWidth="1"/>
    <col min="18" max="18" width="22.1153846153846" customWidth="1"/>
    <col min="21" max="21" width="21.4423076923077" customWidth="1"/>
    <col min="22" max="22" width="17.4423076923077" customWidth="1"/>
    <col min="23" max="23" width="21.4423076923077" customWidth="1"/>
    <col min="24" max="24" width="16.4423076923077" customWidth="1"/>
    <col min="26" max="26" width="15.4423076923077" customWidth="1"/>
    <col min="27" max="28" width="11" customWidth="1"/>
    <col min="29" max="29" width="9.11538461538461" customWidth="1"/>
    <col min="43" max="43" width="28.1153846153846" customWidth="1"/>
    <col min="44" max="44" width="9.11538461538461" customWidth="1"/>
    <col min="46" max="46" width="12.4423076923077" customWidth="1"/>
    <col min="47" max="47" width="11.4423076923077" customWidth="1"/>
    <col min="48" max="48" width="9.11538461538461" customWidth="1"/>
    <col min="60" max="60" width="13.4423076923077" customWidth="1"/>
    <col min="61" max="61" width="22.4423076923077" customWidth="1"/>
    <col min="62" max="62" width="9.11538461538461" customWidth="1"/>
    <col min="16384" max="16384" width="9.11538461538461" customWidth="1"/>
  </cols>
  <sheetData>
    <row r="1" ht="21.45" customHeight="1" spans="1:62">
      <c r="D1" s="972" t="s">
        <v>619</v>
      </c>
      <c r="J1" s="972" t="s">
        <v>620</v>
      </c>
    </row>
    <row r="2" ht="50.25" customHeight="1" spans="1:62">
      <c r="B2" s="973" t="s">
        <v>621</v>
      </c>
      <c r="C2" s="973" t="s">
        <v>622</v>
      </c>
      <c r="D2" s="973" t="s">
        <v>623</v>
      </c>
      <c r="E2" s="973" t="s">
        <v>624</v>
      </c>
      <c r="F2" s="973" t="s">
        <v>157</v>
      </c>
      <c r="G2" s="973" t="s">
        <v>625</v>
      </c>
      <c r="H2" s="974" t="s">
        <v>626</v>
      </c>
      <c r="I2" s="973" t="s">
        <v>627</v>
      </c>
      <c r="J2" s="973" t="s">
        <v>628</v>
      </c>
      <c r="K2" s="973" t="s">
        <v>629</v>
      </c>
      <c r="L2" s="973" t="s">
        <v>157</v>
      </c>
      <c r="M2" s="973" t="s">
        <v>625</v>
      </c>
      <c r="N2" s="974" t="s">
        <v>626</v>
      </c>
      <c r="O2" s="973" t="s">
        <v>630</v>
      </c>
      <c r="P2" s="973" t="s">
        <v>631</v>
      </c>
      <c r="Q2" s="974" t="s">
        <v>632</v>
      </c>
      <c r="R2" s="973" t="s">
        <v>633</v>
      </c>
      <c r="S2" s="975" t="s">
        <v>634</v>
      </c>
      <c r="T2" s="975" t="s">
        <v>415</v>
      </c>
      <c r="U2" s="975"/>
      <c r="V2" s="975"/>
      <c r="W2" s="975"/>
      <c r="X2" s="975"/>
      <c r="Y2" s="941"/>
      <c r="Z2" s="941"/>
      <c r="AA2" s="941"/>
      <c r="AN2" s="976" t="s">
        <v>303</v>
      </c>
      <c r="AO2" s="977" t="s">
        <v>635</v>
      </c>
      <c r="AP2" s="978" t="s">
        <v>636</v>
      </c>
      <c r="AQ2" s="978" t="s">
        <v>637</v>
      </c>
      <c r="AR2" s="979" t="s">
        <v>638</v>
      </c>
      <c r="AS2" s="980"/>
      <c r="AT2" s="980"/>
      <c r="AU2" s="980"/>
      <c r="AV2" s="980"/>
      <c r="AW2" s="980"/>
      <c r="AX2" s="980"/>
      <c r="AY2" s="980"/>
      <c r="AZ2" s="981"/>
      <c r="BA2" s="982" t="s">
        <v>639</v>
      </c>
      <c r="BB2" s="980"/>
      <c r="BC2" s="980"/>
      <c r="BD2" s="980"/>
      <c r="BE2" s="980"/>
      <c r="BF2" s="978" t="s">
        <v>640</v>
      </c>
      <c r="BG2" s="978" t="s">
        <v>641</v>
      </c>
      <c r="BH2" s="983" t="s">
        <v>642</v>
      </c>
      <c r="BI2" s="978" t="s">
        <v>643</v>
      </c>
      <c r="BJ2" s="978" t="s">
        <v>644</v>
      </c>
    </row>
    <row r="3" ht="21.75" customHeight="1" spans="1:62">
      <c r="B3" s="984" t="s">
        <v>645</v>
      </c>
      <c r="C3" s="984"/>
      <c r="D3" s="984"/>
      <c r="E3" s="984"/>
      <c r="F3" s="984">
        <f t="shared" ref="F3:F8" si="0">IF(C3&lt;&gt;0,IF(D3/C3&gt;110%,110%,D3/C3),0)</f>
        <v>0</v>
      </c>
      <c r="G3" s="984"/>
      <c r="H3" s="985">
        <f t="shared" ref="H3:H8" si="1">D3*F3*G3+E3*G3</f>
        <v>0</v>
      </c>
      <c r="I3" s="984"/>
      <c r="J3" s="984"/>
      <c r="K3" s="984"/>
      <c r="L3" s="984">
        <f t="shared" ref="L3:L8" si="2">IF(I3&lt;&gt;0,IF(J3/I3&gt;110%,110%,J3/I3),0)</f>
        <v>0</v>
      </c>
      <c r="M3" s="984"/>
      <c r="N3" s="985">
        <f t="shared" ref="N3:N8" si="3">L3*M3*J3+K3*M3</f>
        <v>0</v>
      </c>
      <c r="O3" s="984">
        <f t="shared" ref="O3:O8" si="4">H3+N3</f>
        <v>0</v>
      </c>
      <c r="P3" s="984">
        <f t="shared" ref="P3:P8" si="5">V13</f>
        <v>0</v>
      </c>
      <c r="Q3" s="985">
        <f>2500</f>
        <v>2500</v>
      </c>
      <c r="R3" s="984">
        <f t="shared" ref="R3:R8" si="6">SUM(O3:Q3)+V3</f>
        <v>2500</v>
      </c>
      <c r="S3" s="986"/>
      <c r="T3" s="986"/>
      <c r="U3" s="987"/>
      <c r="V3" s="987"/>
      <c r="W3" s="987"/>
      <c r="X3" s="987"/>
      <c r="Y3" s="941"/>
      <c r="Z3" s="941"/>
      <c r="AA3" s="941"/>
      <c r="AN3" s="988"/>
      <c r="AO3" s="989"/>
      <c r="AP3" s="195"/>
      <c r="AQ3" s="195"/>
      <c r="AR3" s="990" t="s">
        <v>646</v>
      </c>
      <c r="AS3" s="990" t="s">
        <v>647</v>
      </c>
      <c r="AT3" s="990" t="s">
        <v>648</v>
      </c>
      <c r="AU3" s="990" t="s">
        <v>649</v>
      </c>
      <c r="AV3" s="990" t="s">
        <v>650</v>
      </c>
      <c r="AW3" s="990" t="s">
        <v>651</v>
      </c>
      <c r="AX3" s="991" t="s">
        <v>652</v>
      </c>
      <c r="AY3" s="992" t="s">
        <v>653</v>
      </c>
      <c r="AZ3" s="992" t="s">
        <v>654</v>
      </c>
      <c r="BA3" s="993" t="s">
        <v>655</v>
      </c>
      <c r="BB3" s="990" t="s">
        <v>656</v>
      </c>
      <c r="BC3" s="994" t="s">
        <v>657</v>
      </c>
      <c r="BD3" s="990" t="s">
        <v>658</v>
      </c>
      <c r="BE3" s="990" t="s">
        <v>659</v>
      </c>
      <c r="BF3" s="195"/>
      <c r="BG3" s="195"/>
      <c r="BH3" s="995"/>
      <c r="BI3" s="195"/>
      <c r="BJ3" s="195"/>
    </row>
    <row r="4" ht="21.15" customHeight="1" spans="1:62">
      <c r="B4" s="984" t="s">
        <v>660</v>
      </c>
      <c r="C4" s="984"/>
      <c r="D4" s="984"/>
      <c r="E4" s="984"/>
      <c r="F4" s="984">
        <f t="shared" si="0"/>
        <v>0</v>
      </c>
      <c r="G4" s="984"/>
      <c r="H4" s="985">
        <f t="shared" si="1"/>
        <v>0</v>
      </c>
      <c r="I4" s="984"/>
      <c r="J4" s="984"/>
      <c r="K4" s="984"/>
      <c r="L4" s="984">
        <f t="shared" si="2"/>
        <v>0</v>
      </c>
      <c r="M4" s="984"/>
      <c r="N4" s="985">
        <f t="shared" si="3"/>
        <v>0</v>
      </c>
      <c r="O4" s="984">
        <f t="shared" si="4"/>
        <v>0</v>
      </c>
      <c r="P4" s="984">
        <f t="shared" si="5"/>
        <v>0</v>
      </c>
      <c r="Q4" s="985">
        <f>2500</f>
        <v>2500</v>
      </c>
      <c r="R4" s="984">
        <f t="shared" si="6"/>
        <v>2500</v>
      </c>
      <c r="S4" s="986"/>
      <c r="T4" s="986"/>
      <c r="U4" s="987"/>
      <c r="V4" s="987"/>
      <c r="W4" s="987"/>
      <c r="X4" s="987"/>
      <c r="Y4" s="941"/>
      <c r="Z4" s="941"/>
      <c r="AA4" s="941"/>
      <c r="AN4" s="996"/>
      <c r="AO4" s="997"/>
      <c r="AP4" s="996" t="s">
        <v>661</v>
      </c>
      <c r="AQ4" s="996"/>
      <c r="AR4" s="998"/>
      <c r="AS4" s="996"/>
      <c r="AT4" s="996" t="s">
        <v>662</v>
      </c>
      <c r="AU4" s="998"/>
      <c r="AV4" s="998"/>
      <c r="AW4" s="998"/>
      <c r="AX4" s="999"/>
      <c r="AY4" s="996" t="s">
        <v>663</v>
      </c>
      <c r="AZ4" s="996" t="s">
        <v>664</v>
      </c>
      <c r="BA4" s="996" t="s">
        <v>665</v>
      </c>
      <c r="BB4" s="998"/>
      <c r="BC4" s="998"/>
      <c r="BD4" s="998"/>
      <c r="BE4" s="998"/>
      <c r="BF4" s="996" t="s">
        <v>666</v>
      </c>
      <c r="BG4" s="996" t="s">
        <v>667</v>
      </c>
      <c r="BH4" s="996" t="s">
        <v>261</v>
      </c>
      <c r="BI4" s="996" t="s">
        <v>668</v>
      </c>
      <c r="BJ4" s="996"/>
    </row>
    <row r="5" ht="20.4" customHeight="1" spans="1:62">
      <c r="B5" s="984" t="s">
        <v>263</v>
      </c>
      <c r="C5" s="984"/>
      <c r="D5" s="984"/>
      <c r="E5" s="984"/>
      <c r="F5" s="984">
        <f t="shared" si="0"/>
        <v>0</v>
      </c>
      <c r="G5" s="984"/>
      <c r="H5" s="985">
        <f t="shared" si="1"/>
        <v>0</v>
      </c>
      <c r="I5" s="984"/>
      <c r="J5" s="984"/>
      <c r="K5" s="984"/>
      <c r="L5" s="984">
        <f t="shared" si="2"/>
        <v>0</v>
      </c>
      <c r="M5" s="984"/>
      <c r="N5" s="985">
        <f t="shared" si="3"/>
        <v>0</v>
      </c>
      <c r="O5" s="984">
        <f t="shared" si="4"/>
        <v>0</v>
      </c>
      <c r="P5" s="984">
        <f t="shared" si="5"/>
        <v>0</v>
      </c>
      <c r="Q5" s="985">
        <f>2500</f>
        <v>2500</v>
      </c>
      <c r="R5" s="984">
        <f t="shared" si="6"/>
        <v>2500</v>
      </c>
      <c r="S5" s="986"/>
      <c r="T5" s="986"/>
      <c r="U5" s="987"/>
      <c r="V5" s="987"/>
      <c r="W5" s="987"/>
      <c r="X5" s="987"/>
      <c r="Y5" s="941"/>
      <c r="Z5" s="941"/>
      <c r="AA5" s="941"/>
      <c r="AN5" s="996"/>
      <c r="AO5" s="997"/>
      <c r="AP5" s="996" t="s">
        <v>669</v>
      </c>
      <c r="AQ5" s="996"/>
      <c r="AR5" s="998"/>
      <c r="AS5" s="996"/>
      <c r="AT5" s="996" t="s">
        <v>670</v>
      </c>
      <c r="AU5" s="998"/>
      <c r="AV5" s="998"/>
      <c r="AW5" s="998"/>
      <c r="AX5" s="999"/>
      <c r="AY5" s="996" t="s">
        <v>671</v>
      </c>
      <c r="AZ5" s="996" t="s">
        <v>672</v>
      </c>
      <c r="BA5" s="996" t="s">
        <v>673</v>
      </c>
      <c r="BB5" s="998"/>
      <c r="BC5" s="998"/>
      <c r="BD5" s="998"/>
      <c r="BE5" s="998"/>
      <c r="BF5" s="996" t="s">
        <v>666</v>
      </c>
      <c r="BG5" s="996" t="s">
        <v>249</v>
      </c>
      <c r="BH5" s="996" t="s">
        <v>253</v>
      </c>
      <c r="BI5" s="996" t="s">
        <v>674</v>
      </c>
      <c r="BJ5" s="996"/>
    </row>
    <row r="6" ht="24.75" customHeight="1" spans="1:62">
      <c r="B6" s="984" t="s">
        <v>675</v>
      </c>
      <c r="C6" s="984"/>
      <c r="D6" s="984"/>
      <c r="E6" s="984"/>
      <c r="F6" s="984">
        <f t="shared" si="0"/>
        <v>0</v>
      </c>
      <c r="G6" s="984"/>
      <c r="H6" s="985">
        <f t="shared" si="1"/>
        <v>0</v>
      </c>
      <c r="I6" s="984"/>
      <c r="J6" s="984"/>
      <c r="K6" s="984"/>
      <c r="L6" s="984">
        <f t="shared" si="2"/>
        <v>0</v>
      </c>
      <c r="M6" s="984"/>
      <c r="N6" s="985">
        <f t="shared" si="3"/>
        <v>0</v>
      </c>
      <c r="O6" s="984">
        <f t="shared" si="4"/>
        <v>0</v>
      </c>
      <c r="P6" s="984">
        <f t="shared" si="5"/>
        <v>0</v>
      </c>
      <c r="Q6" s="985"/>
      <c r="R6" s="984">
        <f t="shared" si="6"/>
        <v>0</v>
      </c>
      <c r="S6" s="986"/>
      <c r="T6" s="986"/>
      <c r="U6" s="987"/>
      <c r="V6" s="987"/>
      <c r="W6" s="987"/>
      <c r="X6" s="987"/>
      <c r="Y6" s="941"/>
      <c r="Z6" s="941"/>
      <c r="AA6" s="941"/>
      <c r="AN6" s="996"/>
      <c r="AO6" s="997"/>
      <c r="AP6" s="996" t="s">
        <v>676</v>
      </c>
      <c r="AQ6" s="996"/>
      <c r="AR6" s="998"/>
      <c r="AS6" s="996"/>
      <c r="AT6" s="996" t="s">
        <v>677</v>
      </c>
      <c r="AU6" s="998"/>
      <c r="AV6" s="998"/>
      <c r="AW6" s="998"/>
      <c r="AX6" s="999"/>
      <c r="AY6" s="996" t="s">
        <v>678</v>
      </c>
      <c r="AZ6" s="996" t="s">
        <v>672</v>
      </c>
      <c r="BA6" s="996" t="s">
        <v>665</v>
      </c>
      <c r="BB6" s="998"/>
      <c r="BC6" s="998"/>
      <c r="BD6" s="998"/>
      <c r="BE6" s="998"/>
      <c r="BF6" s="996" t="s">
        <v>666</v>
      </c>
      <c r="BG6" s="996" t="s">
        <v>645</v>
      </c>
      <c r="BH6" s="996" t="s">
        <v>239</v>
      </c>
      <c r="BI6" s="996" t="s">
        <v>679</v>
      </c>
      <c r="BJ6" s="996"/>
    </row>
    <row r="7" ht="20.4" customHeight="1" spans="1:62">
      <c r="B7" s="984" t="s">
        <v>667</v>
      </c>
      <c r="C7" s="984"/>
      <c r="D7" s="984"/>
      <c r="E7" s="984"/>
      <c r="F7" s="984">
        <f t="shared" si="0"/>
        <v>0</v>
      </c>
      <c r="G7" s="984"/>
      <c r="H7" s="985">
        <f t="shared" si="1"/>
        <v>0</v>
      </c>
      <c r="I7" s="984"/>
      <c r="J7" s="984"/>
      <c r="K7" s="984"/>
      <c r="L7" s="984">
        <f t="shared" si="2"/>
        <v>0</v>
      </c>
      <c r="M7" s="984"/>
      <c r="N7" s="985">
        <f t="shared" si="3"/>
        <v>0</v>
      </c>
      <c r="O7" s="984">
        <f t="shared" si="4"/>
        <v>0</v>
      </c>
      <c r="P7" s="984">
        <f t="shared" si="5"/>
        <v>0</v>
      </c>
      <c r="Q7" s="985">
        <f>2500+750</f>
        <v>3250</v>
      </c>
      <c r="R7" s="984">
        <f t="shared" si="6"/>
        <v>3250</v>
      </c>
      <c r="S7" s="986"/>
      <c r="T7" s="986"/>
      <c r="U7" s="987"/>
      <c r="V7" s="987"/>
      <c r="W7" s="987"/>
      <c r="X7" s="987"/>
      <c r="Y7" s="941"/>
      <c r="Z7" s="941"/>
      <c r="AA7" s="941"/>
      <c r="AN7" s="996"/>
      <c r="AO7" s="997"/>
      <c r="AP7" s="996" t="s">
        <v>680</v>
      </c>
      <c r="AQ7" s="996"/>
      <c r="AR7" s="998"/>
      <c r="AS7" s="996"/>
      <c r="AT7" s="996" t="s">
        <v>677</v>
      </c>
      <c r="AU7" s="998"/>
      <c r="AV7" s="998"/>
      <c r="AW7" s="998"/>
      <c r="AX7" s="999"/>
      <c r="AY7" s="996" t="s">
        <v>681</v>
      </c>
      <c r="AZ7" s="996" t="s">
        <v>672</v>
      </c>
      <c r="BA7" s="996" t="s">
        <v>665</v>
      </c>
      <c r="BB7" s="998"/>
      <c r="BC7" s="998"/>
      <c r="BD7" s="998"/>
      <c r="BE7" s="998"/>
      <c r="BF7" s="996" t="s">
        <v>666</v>
      </c>
      <c r="BG7" s="996" t="s">
        <v>263</v>
      </c>
      <c r="BH7" s="996" t="s">
        <v>270</v>
      </c>
      <c r="BI7" s="996" t="s">
        <v>682</v>
      </c>
      <c r="BJ7" s="996"/>
    </row>
    <row r="8" ht="20.4" customHeight="1" spans="1:62">
      <c r="B8" s="984" t="s">
        <v>249</v>
      </c>
      <c r="C8" s="984"/>
      <c r="D8" s="984"/>
      <c r="E8" s="984"/>
      <c r="F8" s="984">
        <f t="shared" si="0"/>
        <v>0</v>
      </c>
      <c r="G8" s="984"/>
      <c r="H8" s="985">
        <f t="shared" si="1"/>
        <v>0</v>
      </c>
      <c r="I8" s="984"/>
      <c r="J8" s="984"/>
      <c r="K8" s="984"/>
      <c r="L8" s="984">
        <f t="shared" si="2"/>
        <v>0</v>
      </c>
      <c r="M8" s="984"/>
      <c r="N8" s="985">
        <f t="shared" si="3"/>
        <v>0</v>
      </c>
      <c r="O8" s="984">
        <f t="shared" si="4"/>
        <v>0</v>
      </c>
      <c r="P8" s="984">
        <f t="shared" si="5"/>
        <v>0</v>
      </c>
      <c r="Q8" s="985">
        <f>2500</f>
        <v>2500</v>
      </c>
      <c r="R8" s="984">
        <f t="shared" si="6"/>
        <v>2500</v>
      </c>
      <c r="S8" s="986"/>
      <c r="T8" s="986"/>
      <c r="U8" s="987"/>
      <c r="V8" s="987"/>
      <c r="W8" s="987"/>
      <c r="X8" s="987"/>
      <c r="Y8" s="941"/>
      <c r="Z8" s="941"/>
      <c r="AA8" s="941"/>
      <c r="AN8" s="996"/>
      <c r="AO8" s="997"/>
      <c r="AP8" s="996" t="s">
        <v>683</v>
      </c>
      <c r="AQ8" s="996"/>
      <c r="AR8" s="998"/>
      <c r="AS8" s="996"/>
      <c r="AT8" s="996" t="s">
        <v>677</v>
      </c>
      <c r="AU8" s="998"/>
      <c r="AV8" s="998"/>
      <c r="AW8" s="998"/>
      <c r="AX8" s="999"/>
      <c r="AY8" s="996" t="s">
        <v>663</v>
      </c>
      <c r="AZ8" s="996" t="s">
        <v>672</v>
      </c>
      <c r="BA8" s="996" t="s">
        <v>665</v>
      </c>
      <c r="BB8" s="998"/>
      <c r="BC8" s="998"/>
      <c r="BD8" s="998"/>
      <c r="BE8" s="998"/>
      <c r="BF8" s="996" t="s">
        <v>666</v>
      </c>
      <c r="BG8" s="996" t="s">
        <v>645</v>
      </c>
      <c r="BH8" s="996" t="s">
        <v>239</v>
      </c>
      <c r="BI8" s="996" t="s">
        <v>684</v>
      </c>
      <c r="BJ8" s="996"/>
    </row>
    <row r="9" ht="20.4" customHeight="1" spans="1:62">
      <c r="B9" s="984" t="s">
        <v>162</v>
      </c>
      <c r="C9" s="984">
        <f>SUM(C3:C8)</f>
        <v>0</v>
      </c>
      <c r="D9" s="984">
        <f>SUM(D3:D8)</f>
        <v>0</v>
      </c>
      <c r="E9" s="984">
        <f>SUM(E3:E8)</f>
        <v>0</v>
      </c>
      <c r="F9" s="984"/>
      <c r="G9" s="984"/>
      <c r="H9" s="984"/>
      <c r="I9" s="984">
        <f>SUM(I3:I8)</f>
        <v>0</v>
      </c>
      <c r="J9" s="984">
        <f>SUM(J3:J8)</f>
        <v>0</v>
      </c>
      <c r="K9" s="984"/>
      <c r="L9" s="984"/>
      <c r="M9" s="984"/>
      <c r="N9" s="984"/>
      <c r="O9" s="984">
        <f>SUM(O3:O8)</f>
        <v>0</v>
      </c>
      <c r="P9" s="984">
        <f>SUM(P3:P8)</f>
        <v>0</v>
      </c>
      <c r="Q9" s="985">
        <f>SUM(Q3:Q8)</f>
        <v>13250</v>
      </c>
      <c r="R9" s="984">
        <f>SUM(R3:R8)</f>
        <v>13250</v>
      </c>
      <c r="S9" s="986"/>
      <c r="T9" s="986"/>
      <c r="U9" s="987"/>
      <c r="V9" s="987"/>
      <c r="W9" s="987"/>
      <c r="X9" s="987"/>
      <c r="Y9" s="941"/>
      <c r="Z9" s="941"/>
      <c r="AA9" s="941"/>
      <c r="AN9" s="996"/>
      <c r="AO9" s="997"/>
      <c r="AP9" s="996" t="s">
        <v>685</v>
      </c>
      <c r="AQ9" s="996"/>
      <c r="AR9" s="998"/>
      <c r="AS9" s="996"/>
      <c r="AT9" s="996" t="s">
        <v>677</v>
      </c>
      <c r="AU9" s="998"/>
      <c r="AV9" s="998"/>
      <c r="AW9" s="998"/>
      <c r="AX9" s="999"/>
      <c r="AY9" s="996" t="s">
        <v>686</v>
      </c>
      <c r="AZ9" s="996" t="s">
        <v>672</v>
      </c>
      <c r="BA9" s="996" t="s">
        <v>665</v>
      </c>
      <c r="BB9" s="998"/>
      <c r="BC9" s="998"/>
      <c r="BD9" s="998"/>
      <c r="BE9" s="998"/>
      <c r="BF9" s="996" t="s">
        <v>666</v>
      </c>
      <c r="BG9" s="996" t="s">
        <v>645</v>
      </c>
      <c r="BH9" s="996" t="s">
        <v>239</v>
      </c>
      <c r="BI9" s="996" t="s">
        <v>687</v>
      </c>
      <c r="BJ9" s="996"/>
    </row>
    <row r="10" ht="29.25" customHeight="1" spans="1:62">
      <c r="B10" s="987"/>
      <c r="C10" s="987"/>
      <c r="D10" s="987"/>
      <c r="E10" s="987"/>
      <c r="F10" s="987"/>
      <c r="G10" s="987"/>
      <c r="H10" s="987"/>
      <c r="I10" s="987"/>
      <c r="J10" s="987"/>
      <c r="K10" s="987"/>
      <c r="L10" s="987"/>
      <c r="M10" s="1000"/>
      <c r="N10" s="987"/>
      <c r="O10" s="987"/>
      <c r="P10" s="987"/>
      <c r="Q10" s="987"/>
      <c r="R10" s="987"/>
      <c r="S10" s="987"/>
      <c r="T10" s="987"/>
      <c r="U10" s="987"/>
      <c r="V10" s="987"/>
      <c r="W10" s="987"/>
      <c r="X10" s="941"/>
      <c r="Y10" s="941"/>
      <c r="Z10" s="941"/>
      <c r="AM10" s="996"/>
      <c r="AN10" s="996"/>
      <c r="AO10" s="997"/>
      <c r="AP10" s="996" t="s">
        <v>688</v>
      </c>
      <c r="AQ10" s="996"/>
      <c r="AR10" s="998"/>
      <c r="AS10" s="996"/>
      <c r="AT10" s="996" t="s">
        <v>677</v>
      </c>
      <c r="AU10" s="998"/>
      <c r="AV10" s="998"/>
      <c r="AW10" s="998"/>
      <c r="AX10" s="999"/>
      <c r="AY10" s="996" t="s">
        <v>663</v>
      </c>
      <c r="AZ10" s="996" t="s">
        <v>672</v>
      </c>
      <c r="BA10" s="996" t="s">
        <v>665</v>
      </c>
      <c r="BB10" s="998"/>
      <c r="BC10" s="998"/>
      <c r="BD10" s="998"/>
      <c r="BE10" s="998"/>
      <c r="BF10" s="996" t="s">
        <v>666</v>
      </c>
      <c r="BG10" s="996" t="s">
        <v>263</v>
      </c>
      <c r="BH10" s="996" t="s">
        <v>270</v>
      </c>
      <c r="BI10" s="996" t="s">
        <v>689</v>
      </c>
      <c r="BJ10" s="996"/>
    </row>
    <row r="11" ht="42.45" customHeight="1" spans="1:62">
      <c r="B11" s="1000"/>
      <c r="C11" s="1000"/>
      <c r="D11" s="1000"/>
      <c r="E11" s="1000"/>
      <c r="F11" s="1000"/>
      <c r="G11" s="1000"/>
      <c r="H11" s="1000"/>
      <c r="I11" s="1000"/>
      <c r="J11" s="1000"/>
      <c r="K11" s="1000"/>
      <c r="L11" s="1000"/>
      <c r="M11" s="1000"/>
      <c r="N11" s="1000"/>
      <c r="O11" s="1000"/>
      <c r="P11" s="1000"/>
      <c r="Q11" s="1000"/>
      <c r="R11" s="987"/>
      <c r="S11" s="987"/>
      <c r="T11" s="987"/>
      <c r="U11" s="987"/>
      <c r="V11" s="987"/>
      <c r="W11" s="987"/>
      <c r="X11" s="941"/>
      <c r="Y11" s="941"/>
      <c r="Z11" s="941"/>
      <c r="AM11" s="996"/>
      <c r="AN11" s="996"/>
      <c r="AO11" s="997"/>
      <c r="AP11" s="996" t="s">
        <v>690</v>
      </c>
      <c r="AQ11" s="996"/>
      <c r="AR11" s="998"/>
      <c r="AS11" s="996"/>
      <c r="AT11" s="996" t="s">
        <v>670</v>
      </c>
      <c r="AU11" s="998"/>
      <c r="AV11" s="998"/>
      <c r="AW11" s="998"/>
      <c r="AX11" s="999"/>
      <c r="AY11" s="996" t="s">
        <v>686</v>
      </c>
      <c r="AZ11" s="996" t="s">
        <v>672</v>
      </c>
      <c r="BA11" s="996" t="s">
        <v>673</v>
      </c>
      <c r="BB11" s="998"/>
      <c r="BC11" s="998"/>
      <c r="BD11" s="998"/>
      <c r="BE11" s="998"/>
      <c r="BF11" s="996" t="s">
        <v>666</v>
      </c>
      <c r="BG11" s="996" t="s">
        <v>667</v>
      </c>
      <c r="BH11" s="996" t="s">
        <v>261</v>
      </c>
      <c r="BI11" s="996" t="s">
        <v>691</v>
      </c>
      <c r="BJ11" s="996"/>
    </row>
    <row r="12" ht="60.45" customHeight="1" spans="1:62">
      <c r="B12" s="1001" t="s">
        <v>621</v>
      </c>
      <c r="C12" s="1002" t="s">
        <v>692</v>
      </c>
      <c r="D12" s="1003" t="s">
        <v>623</v>
      </c>
      <c r="E12" s="1002" t="s">
        <v>693</v>
      </c>
      <c r="F12" s="1003" t="s">
        <v>628</v>
      </c>
      <c r="G12" s="1002" t="s">
        <v>694</v>
      </c>
      <c r="H12" s="1004" t="s">
        <v>695</v>
      </c>
      <c r="I12" s="1005" t="s">
        <v>696</v>
      </c>
      <c r="J12" s="1004" t="s">
        <v>697</v>
      </c>
      <c r="K12" s="1003" t="s">
        <v>698</v>
      </c>
      <c r="L12" s="1006" t="s">
        <v>699</v>
      </c>
      <c r="M12" s="1003" t="s">
        <v>700</v>
      </c>
      <c r="N12" s="1004" t="s">
        <v>701</v>
      </c>
      <c r="O12" s="1007" t="s">
        <v>702</v>
      </c>
      <c r="P12" s="1008" t="s">
        <v>703</v>
      </c>
      <c r="Q12" s="1008" t="s">
        <v>704</v>
      </c>
      <c r="R12" s="1008" t="s">
        <v>705</v>
      </c>
      <c r="S12" s="1008" t="s">
        <v>706</v>
      </c>
      <c r="T12" s="1008" t="s">
        <v>706</v>
      </c>
      <c r="U12" s="1009" t="s">
        <v>707</v>
      </c>
      <c r="V12" s="1010" t="s">
        <v>708</v>
      </c>
      <c r="W12" s="941"/>
      <c r="X12" s="941"/>
      <c r="Y12" s="941"/>
      <c r="AL12" s="996"/>
      <c r="AM12" s="997"/>
      <c r="AN12" s="996"/>
      <c r="AO12" s="997"/>
      <c r="AP12" s="996" t="s">
        <v>709</v>
      </c>
      <c r="AQ12" s="996"/>
      <c r="AR12" s="998"/>
      <c r="AS12" s="996"/>
      <c r="AT12" s="996" t="s">
        <v>677</v>
      </c>
      <c r="AU12" s="998"/>
      <c r="AV12" s="998"/>
      <c r="AW12" s="998"/>
      <c r="AX12" s="999"/>
      <c r="AY12" s="996" t="s">
        <v>681</v>
      </c>
      <c r="AZ12" s="996" t="s">
        <v>672</v>
      </c>
      <c r="BA12" s="996" t="s">
        <v>665</v>
      </c>
      <c r="BB12" s="998"/>
      <c r="BC12" s="998"/>
      <c r="BD12" s="998"/>
      <c r="BE12" s="998"/>
      <c r="BF12" s="996" t="s">
        <v>666</v>
      </c>
      <c r="BG12" s="996" t="s">
        <v>263</v>
      </c>
      <c r="BH12" s="996" t="s">
        <v>270</v>
      </c>
      <c r="BI12" s="996" t="s">
        <v>710</v>
      </c>
      <c r="BJ12" s="996"/>
    </row>
    <row r="13" ht="18.15" customHeight="1" spans="1:62">
      <c r="A13" s="1011" t="s">
        <v>239</v>
      </c>
      <c r="B13" s="1012" t="s">
        <v>645</v>
      </c>
      <c r="C13" s="1013"/>
      <c r="D13" s="1013">
        <f t="shared" ref="D13:D18" si="7">D3</f>
        <v>0</v>
      </c>
      <c r="E13" s="1013"/>
      <c r="F13" s="1013">
        <f t="shared" ref="F13:F18" si="8">J3</f>
        <v>0</v>
      </c>
      <c r="G13" s="1013"/>
      <c r="H13" s="1013">
        <f t="shared" ref="H13:H18" si="9">D13*0.55*283</f>
        <v>0</v>
      </c>
      <c r="I13" s="1013"/>
      <c r="J13" s="1013">
        <f t="shared" ref="J13:J18" si="10">F13*0.3*170</f>
        <v>0</v>
      </c>
      <c r="K13" s="1013"/>
      <c r="L13" s="1014">
        <f t="shared" ref="L13:L18" si="11">D13*0.3*1085</f>
        <v>0</v>
      </c>
      <c r="M13" s="1013"/>
      <c r="N13" s="1013">
        <f t="shared" ref="N13:N18" si="12">D13*552*1.06</f>
        <v>0</v>
      </c>
      <c r="O13" s="1015"/>
      <c r="P13" s="1016">
        <f t="shared" ref="P13:P19" si="13">G13+I13+K13+M13+O13</f>
        <v>0</v>
      </c>
      <c r="Q13" s="1016">
        <f t="shared" ref="Q13:Q19" si="14">H13+J13+L13+N13</f>
        <v>0</v>
      </c>
      <c r="R13" s="1016">
        <f>P13-Q13</f>
        <v>0</v>
      </c>
      <c r="S13" s="1017"/>
      <c r="T13" s="1017"/>
      <c r="U13" s="1018">
        <f t="shared" ref="U13:U18" si="15">IF(D13&gt;0,ROUND((IF(T13/S13&gt;110%,SUMIF(BH:BH,A13,BJ:BJ)*110%,SUMIF(BH:BH,A13,BJ:BJ)*(T13/S13))),2),0)</f>
        <v>0</v>
      </c>
      <c r="V13" s="1019">
        <f t="shared" ref="V13:V18" si="16">IF(R13&lt;=0,(P13+R13)*0.05,P13*0.05)+U13</f>
        <v>0</v>
      </c>
      <c r="W13" s="1020">
        <f t="shared" ref="W13:W18" si="17">P13-Q13</f>
        <v>0</v>
      </c>
      <c r="X13" s="972"/>
      <c r="AA13" s="1011"/>
      <c r="AL13" s="996"/>
      <c r="AM13" s="997"/>
      <c r="AN13" s="996"/>
      <c r="AO13" s="997"/>
      <c r="AP13" s="996" t="s">
        <v>711</v>
      </c>
      <c r="AQ13" s="996"/>
      <c r="AR13" s="998"/>
      <c r="AS13" s="996"/>
      <c r="AT13" s="996" t="s">
        <v>677</v>
      </c>
      <c r="AU13" s="998"/>
      <c r="AV13" s="998"/>
      <c r="AW13" s="998"/>
      <c r="AX13" s="999"/>
      <c r="AY13" s="996" t="s">
        <v>712</v>
      </c>
      <c r="AZ13" s="996" t="s">
        <v>672</v>
      </c>
      <c r="BA13" s="996" t="s">
        <v>665</v>
      </c>
      <c r="BB13" s="998"/>
      <c r="BC13" s="998"/>
      <c r="BD13" s="998"/>
      <c r="BE13" s="998"/>
      <c r="BF13" s="996" t="s">
        <v>666</v>
      </c>
      <c r="BG13" s="996" t="s">
        <v>667</v>
      </c>
      <c r="BH13" s="996" t="s">
        <v>261</v>
      </c>
      <c r="BI13" s="996" t="s">
        <v>713</v>
      </c>
      <c r="BJ13" s="996"/>
    </row>
    <row r="14" ht="17.4" customHeight="1" spans="1:62">
      <c r="A14" s="1011" t="s">
        <v>248</v>
      </c>
      <c r="B14" s="1021" t="s">
        <v>660</v>
      </c>
      <c r="C14" s="1014"/>
      <c r="D14" s="1022">
        <f t="shared" si="7"/>
        <v>0</v>
      </c>
      <c r="E14" s="1014"/>
      <c r="F14" s="1022">
        <f t="shared" si="8"/>
        <v>0</v>
      </c>
      <c r="G14" s="1014"/>
      <c r="H14" s="1014">
        <f t="shared" si="9"/>
        <v>0</v>
      </c>
      <c r="I14" s="1014"/>
      <c r="J14" s="1014">
        <f t="shared" si="10"/>
        <v>0</v>
      </c>
      <c r="K14" s="1014"/>
      <c r="L14" s="1014">
        <f t="shared" si="11"/>
        <v>0</v>
      </c>
      <c r="M14" s="1014"/>
      <c r="N14" s="1014">
        <f t="shared" si="12"/>
        <v>0</v>
      </c>
      <c r="O14" s="1023"/>
      <c r="P14" s="1024">
        <f t="shared" si="13"/>
        <v>0</v>
      </c>
      <c r="Q14" s="1024">
        <f t="shared" si="14"/>
        <v>0</v>
      </c>
      <c r="R14" s="1024">
        <f>P14-Q14</f>
        <v>0</v>
      </c>
      <c r="S14" s="1025"/>
      <c r="T14" s="1025"/>
      <c r="U14" s="1026">
        <f t="shared" si="15"/>
        <v>0</v>
      </c>
      <c r="V14" s="1019">
        <f t="shared" si="16"/>
        <v>0</v>
      </c>
      <c r="W14" s="1020">
        <f t="shared" si="17"/>
        <v>0</v>
      </c>
      <c r="X14" s="972"/>
      <c r="Z14" s="1011"/>
      <c r="AA14" s="1011"/>
      <c r="AL14" s="996"/>
      <c r="AM14" s="997"/>
      <c r="AN14" s="996"/>
      <c r="AO14" s="997"/>
      <c r="AP14" s="996" t="s">
        <v>714</v>
      </c>
      <c r="AQ14" s="996"/>
      <c r="AR14" s="998"/>
      <c r="AS14" s="996"/>
      <c r="AT14" s="996" t="s">
        <v>677</v>
      </c>
      <c r="AU14" s="998"/>
      <c r="AV14" s="998"/>
      <c r="AW14" s="998"/>
      <c r="AX14" s="999"/>
      <c r="AY14" s="996" t="s">
        <v>712</v>
      </c>
      <c r="AZ14" s="996" t="s">
        <v>672</v>
      </c>
      <c r="BA14" s="996" t="s">
        <v>665</v>
      </c>
      <c r="BB14" s="998"/>
      <c r="BC14" s="998"/>
      <c r="BD14" s="998"/>
      <c r="BE14" s="998"/>
      <c r="BF14" s="996" t="s">
        <v>666</v>
      </c>
      <c r="BG14" s="996" t="s">
        <v>249</v>
      </c>
      <c r="BH14" s="996" t="s">
        <v>253</v>
      </c>
      <c r="BI14" s="996" t="s">
        <v>715</v>
      </c>
      <c r="BJ14" s="996"/>
    </row>
    <row r="15" ht="17.4" customHeight="1" spans="1:62">
      <c r="A15" s="1011" t="s">
        <v>270</v>
      </c>
      <c r="B15" s="1021" t="s">
        <v>263</v>
      </c>
      <c r="C15" s="1014"/>
      <c r="D15" s="1022">
        <f t="shared" si="7"/>
        <v>0</v>
      </c>
      <c r="E15" s="1014"/>
      <c r="F15" s="1022">
        <f t="shared" si="8"/>
        <v>0</v>
      </c>
      <c r="G15" s="1014"/>
      <c r="H15" s="1014">
        <f t="shared" si="9"/>
        <v>0</v>
      </c>
      <c r="I15" s="1014"/>
      <c r="J15" s="1014">
        <f t="shared" si="10"/>
        <v>0</v>
      </c>
      <c r="K15" s="1014"/>
      <c r="L15" s="1014">
        <f t="shared" si="11"/>
        <v>0</v>
      </c>
      <c r="M15" s="1014"/>
      <c r="N15" s="1014">
        <f t="shared" si="12"/>
        <v>0</v>
      </c>
      <c r="O15" s="1023"/>
      <c r="P15" s="1024">
        <f t="shared" si="13"/>
        <v>0</v>
      </c>
      <c r="Q15" s="1024">
        <f t="shared" si="14"/>
        <v>0</v>
      </c>
      <c r="R15" s="1024">
        <f>P15-Q15</f>
        <v>0</v>
      </c>
      <c r="S15" s="1025"/>
      <c r="T15" s="1025"/>
      <c r="U15" s="1026">
        <f t="shared" si="15"/>
        <v>0</v>
      </c>
      <c r="V15" s="1019">
        <f t="shared" si="16"/>
        <v>0</v>
      </c>
      <c r="W15" s="1020">
        <f t="shared" si="17"/>
        <v>0</v>
      </c>
      <c r="X15" s="972"/>
      <c r="Z15" s="1011"/>
      <c r="AA15" s="1011"/>
      <c r="AL15" s="996"/>
      <c r="AM15" s="997"/>
      <c r="AN15" s="996"/>
      <c r="AO15" s="997"/>
      <c r="AP15" s="996"/>
      <c r="AQ15" s="996"/>
      <c r="AR15" s="998"/>
      <c r="AS15" s="996"/>
      <c r="AT15" s="996"/>
      <c r="AU15" s="998"/>
      <c r="AV15" s="998"/>
      <c r="AW15" s="998"/>
      <c r="AX15" s="999"/>
      <c r="AY15" s="996"/>
      <c r="AZ15" s="996"/>
      <c r="BA15" s="996"/>
      <c r="BB15" s="998"/>
      <c r="BC15" s="998"/>
      <c r="BD15" s="998"/>
      <c r="BE15" s="998"/>
      <c r="BF15" s="996"/>
      <c r="BG15" s="996"/>
      <c r="BH15" s="996"/>
      <c r="BI15" s="996"/>
      <c r="BJ15" s="996"/>
    </row>
    <row r="16" ht="17.4" customHeight="1" spans="1:62">
      <c r="B16" s="1021" t="s">
        <v>675</v>
      </c>
      <c r="C16" s="1014"/>
      <c r="D16" s="1022">
        <f t="shared" si="7"/>
        <v>0</v>
      </c>
      <c r="E16" s="1014"/>
      <c r="F16" s="1022">
        <f t="shared" si="8"/>
        <v>0</v>
      </c>
      <c r="G16" s="1014"/>
      <c r="H16" s="1014">
        <f t="shared" si="9"/>
        <v>0</v>
      </c>
      <c r="I16" s="1014"/>
      <c r="J16" s="1014">
        <f t="shared" si="10"/>
        <v>0</v>
      </c>
      <c r="K16" s="1014"/>
      <c r="L16" s="1014">
        <f t="shared" si="11"/>
        <v>0</v>
      </c>
      <c r="M16" s="1014"/>
      <c r="N16" s="1014">
        <f t="shared" si="12"/>
        <v>0</v>
      </c>
      <c r="O16" s="1023"/>
      <c r="P16" s="1024">
        <f t="shared" si="13"/>
        <v>0</v>
      </c>
      <c r="Q16" s="1024">
        <f t="shared" si="14"/>
        <v>0</v>
      </c>
      <c r="R16" s="1024"/>
      <c r="S16" s="1025"/>
      <c r="T16" s="1025"/>
      <c r="U16" s="1026">
        <f t="shared" si="15"/>
        <v>0</v>
      </c>
      <c r="V16" s="1019">
        <f t="shared" si="16"/>
        <v>0</v>
      </c>
      <c r="W16" s="1020">
        <f t="shared" si="17"/>
        <v>0</v>
      </c>
      <c r="X16" s="972"/>
      <c r="Z16" s="1011"/>
      <c r="AA16" s="1011"/>
      <c r="AL16" s="996"/>
      <c r="AM16" s="997"/>
      <c r="AN16" s="996"/>
      <c r="AO16" s="997"/>
      <c r="AP16" s="996"/>
      <c r="AQ16" s="996"/>
      <c r="AR16" s="998"/>
      <c r="AS16" s="996"/>
      <c r="AT16" s="996"/>
      <c r="AU16" s="998"/>
      <c r="AV16" s="998"/>
      <c r="AW16" s="998"/>
      <c r="AX16" s="999"/>
      <c r="AY16" s="996"/>
      <c r="AZ16" s="996"/>
      <c r="BA16" s="996"/>
      <c r="BB16" s="998"/>
      <c r="BC16" s="998"/>
      <c r="BD16" s="998"/>
      <c r="BE16" s="998"/>
      <c r="BF16" s="996"/>
      <c r="BG16" s="996"/>
      <c r="BH16" s="996"/>
      <c r="BI16" s="996"/>
      <c r="BJ16" s="996"/>
    </row>
    <row r="17" ht="17.4" customHeight="1" spans="1:62">
      <c r="A17" s="1011" t="s">
        <v>261</v>
      </c>
      <c r="B17" s="1021" t="s">
        <v>667</v>
      </c>
      <c r="C17" s="1014"/>
      <c r="D17" s="1022">
        <f t="shared" si="7"/>
        <v>0</v>
      </c>
      <c r="E17" s="1014"/>
      <c r="F17" s="1022">
        <f t="shared" si="8"/>
        <v>0</v>
      </c>
      <c r="G17" s="1014"/>
      <c r="H17" s="1014">
        <f t="shared" si="9"/>
        <v>0</v>
      </c>
      <c r="I17" s="1014"/>
      <c r="J17" s="1014">
        <f t="shared" si="10"/>
        <v>0</v>
      </c>
      <c r="K17" s="1014"/>
      <c r="L17" s="1014">
        <f t="shared" si="11"/>
        <v>0</v>
      </c>
      <c r="M17" s="1014"/>
      <c r="N17" s="1014">
        <f t="shared" si="12"/>
        <v>0</v>
      </c>
      <c r="O17" s="1023"/>
      <c r="P17" s="1024">
        <f t="shared" si="13"/>
        <v>0</v>
      </c>
      <c r="Q17" s="1024">
        <f t="shared" si="14"/>
        <v>0</v>
      </c>
      <c r="R17" s="1024">
        <f>P17-Q17</f>
        <v>0</v>
      </c>
      <c r="S17" s="1025"/>
      <c r="T17" s="1025"/>
      <c r="U17" s="1026">
        <f t="shared" si="15"/>
        <v>0</v>
      </c>
      <c r="V17" s="1019">
        <f t="shared" si="16"/>
        <v>0</v>
      </c>
      <c r="W17" s="1020">
        <f t="shared" si="17"/>
        <v>0</v>
      </c>
      <c r="X17" s="972"/>
      <c r="Z17" s="1011"/>
      <c r="AA17" s="1011"/>
      <c r="AL17" s="996"/>
      <c r="AM17" s="997"/>
      <c r="AN17" s="996"/>
      <c r="AO17" s="997"/>
      <c r="AP17" s="996"/>
      <c r="AQ17" s="996"/>
      <c r="AR17" s="998"/>
      <c r="AS17" s="996"/>
      <c r="AT17" s="996"/>
      <c r="AU17" s="998"/>
      <c r="AV17" s="998"/>
      <c r="AW17" s="998"/>
      <c r="AX17" s="999"/>
      <c r="AY17" s="996"/>
      <c r="AZ17" s="996"/>
      <c r="BA17" s="996"/>
      <c r="BB17" s="998"/>
      <c r="BC17" s="998"/>
      <c r="BD17" s="998"/>
      <c r="BE17" s="998"/>
      <c r="BF17" s="996"/>
      <c r="BG17" s="996"/>
      <c r="BH17" s="996"/>
      <c r="BI17" s="996"/>
      <c r="BJ17" s="996"/>
    </row>
    <row r="18" ht="17.4" customHeight="1" spans="1:62">
      <c r="A18" s="1011" t="s">
        <v>253</v>
      </c>
      <c r="B18" s="1021" t="s">
        <v>249</v>
      </c>
      <c r="C18" s="1014"/>
      <c r="D18" s="1022">
        <f t="shared" si="7"/>
        <v>0</v>
      </c>
      <c r="E18" s="1014"/>
      <c r="F18" s="1022">
        <f t="shared" si="8"/>
        <v>0</v>
      </c>
      <c r="G18" s="1014"/>
      <c r="H18" s="1014">
        <f t="shared" si="9"/>
        <v>0</v>
      </c>
      <c r="I18" s="1014"/>
      <c r="J18" s="1014">
        <f t="shared" si="10"/>
        <v>0</v>
      </c>
      <c r="K18" s="1014"/>
      <c r="L18" s="1014">
        <f t="shared" si="11"/>
        <v>0</v>
      </c>
      <c r="M18" s="1014"/>
      <c r="N18" s="1014">
        <f t="shared" si="12"/>
        <v>0</v>
      </c>
      <c r="O18" s="1023"/>
      <c r="P18" s="1024">
        <f t="shared" si="13"/>
        <v>0</v>
      </c>
      <c r="Q18" s="1024">
        <f t="shared" si="14"/>
        <v>0</v>
      </c>
      <c r="R18" s="1024">
        <f>P18-Q18</f>
        <v>0</v>
      </c>
      <c r="S18" s="1025"/>
      <c r="T18" s="1025"/>
      <c r="U18" s="1026">
        <f t="shared" si="15"/>
        <v>0</v>
      </c>
      <c r="V18" s="1019">
        <f t="shared" si="16"/>
        <v>0</v>
      </c>
      <c r="W18" s="1020">
        <f t="shared" si="17"/>
        <v>0</v>
      </c>
      <c r="X18" s="972"/>
      <c r="Z18" s="1011"/>
      <c r="AA18" s="1011"/>
      <c r="AL18" s="996"/>
      <c r="AM18" s="997"/>
      <c r="AN18" s="996"/>
      <c r="AO18" s="997"/>
      <c r="AP18" s="996"/>
      <c r="AQ18" s="996"/>
      <c r="AR18" s="998"/>
      <c r="AS18" s="996"/>
      <c r="AT18" s="996"/>
      <c r="AU18" s="998"/>
      <c r="AV18" s="998"/>
      <c r="AW18" s="998"/>
      <c r="AX18" s="999"/>
      <c r="AY18" s="996"/>
      <c r="AZ18" s="996"/>
      <c r="BA18" s="996"/>
      <c r="BB18" s="998"/>
      <c r="BC18" s="998"/>
      <c r="BD18" s="998"/>
      <c r="BE18" s="998"/>
      <c r="BF18" s="996"/>
      <c r="BG18" s="996"/>
      <c r="BH18" s="996"/>
      <c r="BI18" s="996"/>
      <c r="BJ18" s="996"/>
    </row>
    <row r="19" ht="18.15" customHeight="1" spans="1:62">
      <c r="B19" s="1027" t="s">
        <v>162</v>
      </c>
      <c r="C19" s="1028">
        <f t="shared" ref="C19:O19" si="18">SUM(C13:C18)</f>
        <v>0</v>
      </c>
      <c r="D19" s="1028">
        <f t="shared" si="18"/>
        <v>0</v>
      </c>
      <c r="E19" s="1028">
        <f t="shared" si="18"/>
        <v>0</v>
      </c>
      <c r="F19" s="1028">
        <f t="shared" si="18"/>
        <v>0</v>
      </c>
      <c r="G19" s="1028">
        <f t="shared" si="18"/>
        <v>0</v>
      </c>
      <c r="H19" s="1028">
        <f t="shared" si="18"/>
        <v>0</v>
      </c>
      <c r="I19" s="1028">
        <f t="shared" si="18"/>
        <v>0</v>
      </c>
      <c r="J19" s="1028">
        <f t="shared" si="18"/>
        <v>0</v>
      </c>
      <c r="K19" s="1028">
        <f t="shared" si="18"/>
        <v>0</v>
      </c>
      <c r="L19" s="1028">
        <f t="shared" si="18"/>
        <v>0</v>
      </c>
      <c r="M19" s="1028">
        <f t="shared" si="18"/>
        <v>0</v>
      </c>
      <c r="N19" s="1028">
        <f t="shared" si="18"/>
        <v>0</v>
      </c>
      <c r="O19" s="1028">
        <f t="shared" si="18"/>
        <v>0</v>
      </c>
      <c r="P19" s="1029">
        <f t="shared" si="13"/>
        <v>0</v>
      </c>
      <c r="Q19" s="1029">
        <f t="shared" si="14"/>
        <v>0</v>
      </c>
      <c r="R19" s="1028">
        <f>SUM(R13:R18)</f>
        <v>0</v>
      </c>
      <c r="S19" s="1028"/>
      <c r="T19" s="1028"/>
      <c r="U19" s="1028">
        <f>SUM(U13:U18)</f>
        <v>0</v>
      </c>
      <c r="V19" s="1028">
        <f>SUM(V13:V18)</f>
        <v>0</v>
      </c>
      <c r="W19" s="1030">
        <f>SUM(W13:W18)</f>
        <v>0</v>
      </c>
      <c r="X19" s="1030">
        <f>SUM(X13:X18)</f>
        <v>0</v>
      </c>
      <c r="Z19" s="1011"/>
      <c r="AA19" s="1011"/>
      <c r="AL19" s="996"/>
      <c r="AM19" s="997"/>
      <c r="AN19" s="996"/>
      <c r="AO19" s="997"/>
      <c r="AP19" s="996"/>
      <c r="AQ19" s="996"/>
      <c r="AR19" s="998"/>
      <c r="AS19" s="996"/>
      <c r="AT19" s="996"/>
      <c r="AU19" s="998"/>
      <c r="AV19" s="998"/>
      <c r="AW19" s="998"/>
      <c r="AX19" s="999"/>
      <c r="AY19" s="996"/>
      <c r="AZ19" s="996"/>
      <c r="BA19" s="996"/>
      <c r="BB19" s="998"/>
      <c r="BC19" s="998"/>
      <c r="BD19" s="998"/>
      <c r="BE19" s="998"/>
      <c r="BF19" s="996"/>
      <c r="BG19" s="996"/>
      <c r="BH19" s="996"/>
      <c r="BI19" s="996"/>
      <c r="BJ19" s="996"/>
    </row>
    <row r="20" ht="21.45" customHeight="1" spans="1:62">
      <c r="X20" s="1019">
        <f>IF(V20&lt;=0,(R20+V20)*0.05,R20*0.05)</f>
        <v>0</v>
      </c>
      <c r="AN20" s="996"/>
      <c r="AO20" s="997"/>
      <c r="AP20" s="996"/>
      <c r="AQ20" s="996"/>
      <c r="AR20" s="998"/>
      <c r="AS20" s="996"/>
      <c r="AT20" s="996"/>
      <c r="AU20" s="998"/>
      <c r="AV20" s="998"/>
      <c r="AW20" s="998"/>
      <c r="AX20" s="999"/>
      <c r="AY20" s="996"/>
      <c r="AZ20" s="996"/>
      <c r="BA20" s="996"/>
      <c r="BB20" s="998"/>
      <c r="BC20" s="998"/>
      <c r="BD20" s="998"/>
      <c r="BE20" s="998"/>
      <c r="BF20" s="996"/>
      <c r="BG20" s="996"/>
      <c r="BH20" s="996"/>
      <c r="BI20" s="996"/>
      <c r="BJ20" s="996"/>
    </row>
    <row r="21" ht="23.25" customHeight="1" spans="1:62">
      <c r="P21" s="1031"/>
      <c r="AN21" s="996"/>
      <c r="AO21" s="997"/>
      <c r="AP21" s="996"/>
      <c r="AQ21" s="996"/>
      <c r="AR21" s="998"/>
      <c r="AS21" s="996"/>
      <c r="AT21" s="996"/>
      <c r="AU21" s="998"/>
      <c r="AV21" s="998"/>
      <c r="AW21" s="998"/>
      <c r="AX21" s="999"/>
      <c r="AY21" s="996"/>
      <c r="AZ21" s="996"/>
      <c r="BA21" s="996"/>
      <c r="BB21" s="998"/>
      <c r="BC21" s="998"/>
      <c r="BD21" s="998"/>
      <c r="BE21" s="998"/>
      <c r="BF21" s="996"/>
      <c r="BG21" s="996"/>
      <c r="BH21" s="996"/>
      <c r="BI21" s="996"/>
      <c r="BJ21" s="996"/>
    </row>
    <row r="22" spans="1:62">
      <c r="AN22" s="996"/>
      <c r="AO22" s="997"/>
      <c r="AP22" s="996"/>
      <c r="AQ22" s="996"/>
      <c r="AR22" s="998"/>
      <c r="AS22" s="996"/>
      <c r="AT22" s="996"/>
      <c r="AU22" s="998"/>
      <c r="AV22" s="998"/>
      <c r="AW22" s="998"/>
      <c r="AX22" s="999"/>
      <c r="AY22" s="996"/>
      <c r="AZ22" s="996"/>
      <c r="BA22" s="996"/>
      <c r="BB22" s="998"/>
      <c r="BC22" s="998"/>
      <c r="BD22" s="998"/>
      <c r="BE22" s="998"/>
      <c r="BF22" s="996"/>
      <c r="BG22" s="996"/>
      <c r="BH22" s="996"/>
      <c r="BI22" s="996"/>
      <c r="BJ22" s="996"/>
    </row>
    <row r="23" ht="23.25" customHeight="1" spans="1:62">
      <c r="N23" s="972"/>
      <c r="AN23" s="996"/>
      <c r="AO23" s="997"/>
      <c r="AP23" s="996"/>
      <c r="AQ23" s="996"/>
      <c r="AR23" s="998"/>
      <c r="AS23" s="996"/>
      <c r="AT23" s="996"/>
      <c r="AU23" s="998"/>
      <c r="AV23" s="998"/>
      <c r="AW23" s="998"/>
      <c r="AX23" s="999"/>
      <c r="AY23" s="996"/>
      <c r="AZ23" s="996"/>
      <c r="BA23" s="996"/>
      <c r="BB23" s="998"/>
      <c r="BC23" s="998"/>
      <c r="BD23" s="998"/>
      <c r="BE23" s="998"/>
      <c r="BF23" s="996"/>
      <c r="BG23" s="996"/>
      <c r="BH23" s="996"/>
      <c r="BI23" s="996"/>
      <c r="BJ23" s="996"/>
    </row>
    <row r="24" spans="1:62">
      <c r="AN24" s="996"/>
      <c r="AO24" s="997"/>
      <c r="AP24" s="996"/>
      <c r="AQ24" s="996"/>
      <c r="AR24" s="998"/>
      <c r="AS24" s="996"/>
      <c r="AT24" s="996"/>
      <c r="AU24" s="998"/>
      <c r="AV24" s="998"/>
      <c r="AW24" s="998"/>
      <c r="AX24" s="999"/>
      <c r="AY24" s="996"/>
      <c r="AZ24" s="996"/>
      <c r="BA24" s="996"/>
      <c r="BB24" s="998"/>
      <c r="BC24" s="998"/>
      <c r="BD24" s="998"/>
      <c r="BE24" s="998"/>
      <c r="BF24" s="996"/>
      <c r="BG24" s="996"/>
      <c r="BH24" s="996"/>
      <c r="BI24" s="996"/>
      <c r="BJ24" s="996"/>
    </row>
    <row r="25" spans="1:62">
      <c r="AN25" s="996"/>
      <c r="AO25" s="997"/>
      <c r="AP25" s="996"/>
      <c r="AQ25" s="996"/>
      <c r="AR25" s="998"/>
      <c r="AS25" s="996"/>
      <c r="AT25" s="996"/>
      <c r="AU25" s="998"/>
      <c r="AV25" s="998"/>
      <c r="AW25" s="998"/>
      <c r="AX25" s="999"/>
      <c r="AY25" s="996"/>
      <c r="AZ25" s="996"/>
      <c r="BA25" s="996"/>
      <c r="BB25" s="998"/>
      <c r="BC25" s="998"/>
      <c r="BD25" s="998"/>
      <c r="BE25" s="998"/>
      <c r="BF25" s="996"/>
      <c r="BG25" s="996"/>
      <c r="BH25" s="996"/>
      <c r="BI25" s="996"/>
      <c r="BJ25" s="996"/>
    </row>
    <row r="26" spans="1:62">
      <c r="AN26" s="996"/>
      <c r="AO26" s="997"/>
      <c r="AP26" s="996"/>
      <c r="AQ26" s="996"/>
      <c r="AR26" s="998"/>
      <c r="AS26" s="996"/>
      <c r="AT26" s="996"/>
      <c r="AU26" s="998"/>
      <c r="AV26" s="998"/>
      <c r="AW26" s="998"/>
      <c r="AX26" s="999"/>
      <c r="AY26" s="996"/>
      <c r="AZ26" s="996"/>
      <c r="BA26" s="996"/>
      <c r="BB26" s="998"/>
      <c r="BC26" s="998"/>
      <c r="BD26" s="998"/>
      <c r="BE26" s="998"/>
      <c r="BF26" s="996"/>
      <c r="BG26" s="996"/>
      <c r="BH26" s="996"/>
      <c r="BI26" s="996"/>
      <c r="BJ26" s="996"/>
    </row>
    <row r="27" spans="1:62">
      <c r="AN27" s="996"/>
      <c r="AO27" s="997"/>
      <c r="AP27" s="996"/>
      <c r="AQ27" s="996"/>
      <c r="AR27" s="998"/>
      <c r="AS27" s="996"/>
      <c r="AT27" s="996"/>
      <c r="AU27" s="998"/>
      <c r="AV27" s="998"/>
      <c r="AW27" s="998"/>
      <c r="AX27" s="999"/>
      <c r="AY27" s="996"/>
      <c r="AZ27" s="996"/>
      <c r="BA27" s="996"/>
      <c r="BB27" s="998"/>
      <c r="BC27" s="998"/>
      <c r="BD27" s="998"/>
      <c r="BE27" s="998"/>
      <c r="BF27" s="996"/>
      <c r="BG27" s="996"/>
      <c r="BH27" s="996"/>
      <c r="BI27" s="996"/>
      <c r="BJ27" s="996"/>
    </row>
    <row r="28" spans="1:62">
      <c r="AN28" s="996"/>
      <c r="AO28" s="997"/>
      <c r="AP28" s="996"/>
      <c r="AQ28" s="996"/>
      <c r="AR28" s="998"/>
      <c r="AS28" s="996"/>
      <c r="AT28" s="996"/>
      <c r="AU28" s="998"/>
      <c r="AV28" s="998"/>
      <c r="AW28" s="998"/>
      <c r="AX28" s="999"/>
      <c r="AY28" s="996"/>
      <c r="AZ28" s="996"/>
      <c r="BA28" s="996"/>
      <c r="BB28" s="998"/>
      <c r="BC28" s="998"/>
      <c r="BD28" s="998"/>
      <c r="BE28" s="998"/>
      <c r="BF28" s="996"/>
      <c r="BG28" s="996"/>
      <c r="BH28" s="996"/>
      <c r="BI28" s="996"/>
      <c r="BJ28" s="996"/>
    </row>
    <row r="29" spans="1:62">
      <c r="AN29" s="996"/>
      <c r="AO29" s="997"/>
      <c r="AP29" s="996"/>
      <c r="AQ29" s="996"/>
      <c r="AR29" s="998"/>
      <c r="AS29" s="996"/>
      <c r="AT29" s="996"/>
      <c r="AU29" s="998"/>
      <c r="AV29" s="998"/>
      <c r="AW29" s="998"/>
      <c r="AX29" s="999"/>
      <c r="AY29" s="996"/>
      <c r="AZ29" s="996"/>
      <c r="BA29" s="996"/>
      <c r="BB29" s="998"/>
      <c r="BC29" s="998"/>
      <c r="BD29" s="998"/>
      <c r="BE29" s="998"/>
      <c r="BF29" s="996"/>
      <c r="BG29" s="996"/>
      <c r="BH29" s="996"/>
      <c r="BI29" s="996"/>
      <c r="BJ29" s="996"/>
    </row>
    <row r="30" spans="1:62">
      <c r="AN30" s="996"/>
      <c r="AO30" s="997"/>
      <c r="AP30" s="996"/>
      <c r="AQ30" s="996"/>
      <c r="AR30" s="998"/>
      <c r="AS30" s="996"/>
      <c r="AT30" s="996"/>
      <c r="AU30" s="998"/>
      <c r="AV30" s="998"/>
      <c r="AW30" s="998"/>
      <c r="AX30" s="999"/>
      <c r="AY30" s="996"/>
      <c r="AZ30" s="996"/>
      <c r="BA30" s="996"/>
      <c r="BB30" s="998"/>
      <c r="BC30" s="998"/>
      <c r="BD30" s="998"/>
      <c r="BE30" s="998"/>
      <c r="BF30" s="996"/>
      <c r="BG30" s="996"/>
      <c r="BH30" s="996"/>
      <c r="BI30" s="996"/>
      <c r="BJ30" s="996"/>
    </row>
    <row r="31" spans="1:62">
      <c r="AN31" s="996"/>
      <c r="AO31" s="997"/>
      <c r="AP31" s="996"/>
      <c r="AQ31" s="996"/>
      <c r="AR31" s="998"/>
      <c r="AS31" s="996"/>
      <c r="AT31" s="996"/>
      <c r="AU31" s="998"/>
      <c r="AV31" s="998"/>
      <c r="AW31" s="998"/>
      <c r="AX31" s="999"/>
      <c r="AY31" s="996"/>
      <c r="AZ31" s="996"/>
      <c r="BA31" s="996"/>
      <c r="BB31" s="998"/>
      <c r="BC31" s="998"/>
      <c r="BD31" s="998"/>
      <c r="BE31" s="998"/>
      <c r="BF31" s="996"/>
      <c r="BG31" s="996"/>
      <c r="BH31" s="996"/>
      <c r="BI31" s="996"/>
      <c r="BJ31" s="996"/>
    </row>
    <row r="32" spans="1:62">
      <c r="AN32" s="996"/>
      <c r="AO32" s="997"/>
      <c r="AP32" s="996"/>
      <c r="AQ32" s="996"/>
      <c r="AR32" s="998"/>
      <c r="AS32" s="996"/>
      <c r="AT32" s="996"/>
      <c r="AU32" s="998"/>
      <c r="AV32" s="998"/>
      <c r="AW32" s="998"/>
      <c r="AX32" s="999"/>
      <c r="AY32" s="996"/>
      <c r="AZ32" s="996"/>
      <c r="BA32" s="996"/>
      <c r="BB32" s="998"/>
      <c r="BC32" s="998"/>
      <c r="BD32" s="998"/>
      <c r="BE32" s="998"/>
      <c r="BF32" s="996"/>
      <c r="BG32" s="996"/>
      <c r="BH32" s="996"/>
      <c r="BI32" s="996"/>
      <c r="BJ32" s="996"/>
    </row>
    <row r="33" spans="40:62">
      <c r="AN33" s="996"/>
      <c r="AO33" s="997"/>
      <c r="AP33" s="996"/>
      <c r="AQ33" s="996"/>
      <c r="AR33" s="998"/>
      <c r="AS33" s="996"/>
      <c r="AT33" s="996"/>
      <c r="AU33" s="998"/>
      <c r="AV33" s="998"/>
      <c r="AW33" s="998"/>
      <c r="AX33" s="999"/>
      <c r="AY33" s="996"/>
      <c r="AZ33" s="996"/>
      <c r="BA33" s="996"/>
      <c r="BB33" s="998"/>
      <c r="BC33" s="998"/>
      <c r="BD33" s="998"/>
      <c r="BE33" s="998"/>
      <c r="BF33" s="996"/>
      <c r="BG33" s="996"/>
      <c r="BH33" s="996"/>
      <c r="BI33" s="996"/>
      <c r="BJ33" s="996"/>
    </row>
    <row r="34" spans="40:62">
      <c r="AN34" s="996"/>
      <c r="AO34" s="997"/>
      <c r="AP34" s="996"/>
      <c r="AQ34" s="996"/>
      <c r="AR34" s="998"/>
      <c r="AS34" s="996"/>
      <c r="AT34" s="996"/>
      <c r="AU34" s="998"/>
      <c r="AV34" s="998"/>
      <c r="AW34" s="998"/>
      <c r="AX34" s="999"/>
      <c r="AY34" s="996"/>
      <c r="AZ34" s="996"/>
      <c r="BA34" s="996"/>
      <c r="BB34" s="998"/>
      <c r="BC34" s="998"/>
      <c r="BD34" s="998"/>
      <c r="BE34" s="998"/>
      <c r="BF34" s="996"/>
      <c r="BG34" s="996"/>
      <c r="BH34" s="996"/>
      <c r="BI34" s="996"/>
      <c r="BJ34" s="996"/>
    </row>
    <row r="35" spans="40:62">
      <c r="AN35" s="996"/>
      <c r="AO35" s="997"/>
      <c r="AP35" s="996"/>
      <c r="AQ35" s="996"/>
      <c r="AR35" s="998"/>
      <c r="AS35" s="996"/>
      <c r="AT35" s="996"/>
      <c r="AU35" s="998"/>
      <c r="AV35" s="998"/>
      <c r="AW35" s="998"/>
      <c r="AX35" s="999"/>
      <c r="AY35" s="996"/>
      <c r="AZ35" s="996"/>
      <c r="BA35" s="996"/>
      <c r="BB35" s="998"/>
      <c r="BC35" s="998"/>
      <c r="BD35" s="998"/>
      <c r="BE35" s="998"/>
      <c r="BF35" s="996"/>
      <c r="BG35" s="996"/>
      <c r="BH35" s="996"/>
      <c r="BI35" s="996"/>
      <c r="BJ35" s="996"/>
    </row>
    <row r="36" spans="40:62">
      <c r="AN36" s="996"/>
      <c r="AO36" s="997"/>
      <c r="AP36" s="996"/>
      <c r="AQ36" s="996"/>
      <c r="AR36" s="998"/>
      <c r="AS36" s="996"/>
      <c r="AT36" s="996"/>
      <c r="AU36" s="998"/>
      <c r="AV36" s="998"/>
      <c r="AW36" s="998"/>
      <c r="AX36" s="999"/>
      <c r="AY36" s="996"/>
      <c r="AZ36" s="996"/>
      <c r="BA36" s="996"/>
      <c r="BB36" s="998"/>
      <c r="BC36" s="998"/>
      <c r="BD36" s="998"/>
      <c r="BE36" s="998"/>
      <c r="BF36" s="996"/>
      <c r="BG36" s="996"/>
      <c r="BH36" s="996"/>
      <c r="BI36" s="996"/>
      <c r="BJ36" s="996"/>
    </row>
    <row r="37" spans="40:62">
      <c r="AN37" s="996"/>
      <c r="AO37" s="997"/>
      <c r="AP37" s="996"/>
      <c r="AQ37" s="996"/>
      <c r="AR37" s="998"/>
      <c r="AS37" s="996"/>
      <c r="AT37" s="996"/>
      <c r="AU37" s="998"/>
      <c r="AV37" s="998"/>
      <c r="AW37" s="998"/>
      <c r="AX37" s="999"/>
      <c r="AY37" s="996"/>
      <c r="AZ37" s="996"/>
      <c r="BA37" s="996"/>
      <c r="BB37" s="998"/>
      <c r="BC37" s="998"/>
      <c r="BD37" s="998"/>
      <c r="BE37" s="998"/>
      <c r="BF37" s="996"/>
      <c r="BG37" s="996"/>
      <c r="BH37" s="996"/>
      <c r="BI37" s="996"/>
      <c r="BJ37" s="996"/>
    </row>
    <row r="38" spans="40:62">
      <c r="AN38" s="996"/>
      <c r="AO38" s="997"/>
      <c r="AP38" s="996"/>
      <c r="AQ38" s="996"/>
      <c r="AR38" s="998"/>
      <c r="AS38" s="996"/>
      <c r="AT38" s="996"/>
      <c r="AU38" s="998"/>
      <c r="AV38" s="998"/>
      <c r="AW38" s="998"/>
      <c r="AX38" s="999"/>
      <c r="AY38" s="996"/>
      <c r="AZ38" s="996"/>
      <c r="BA38" s="996"/>
      <c r="BB38" s="998"/>
      <c r="BC38" s="998"/>
      <c r="BD38" s="998"/>
      <c r="BE38" s="998"/>
      <c r="BF38" s="996"/>
      <c r="BG38" s="996"/>
      <c r="BH38" s="996"/>
      <c r="BI38" s="996"/>
      <c r="BJ38" s="996"/>
    </row>
    <row r="39" spans="40:62">
      <c r="AN39" s="996"/>
      <c r="AO39" s="997"/>
      <c r="AP39" s="996"/>
      <c r="AQ39" s="996"/>
      <c r="AR39" s="998"/>
      <c r="AS39" s="996"/>
      <c r="AT39" s="996"/>
      <c r="AU39" s="998"/>
      <c r="AV39" s="998"/>
      <c r="AW39" s="998"/>
      <c r="AX39" s="999"/>
      <c r="AY39" s="996"/>
      <c r="AZ39" s="996"/>
      <c r="BA39" s="996"/>
      <c r="BB39" s="998"/>
      <c r="BC39" s="998"/>
      <c r="BD39" s="998"/>
      <c r="BE39" s="998"/>
      <c r="BF39" s="996"/>
      <c r="BG39" s="996"/>
      <c r="BH39" s="996"/>
      <c r="BI39" s="996"/>
      <c r="BJ39" s="996"/>
    </row>
    <row r="40" spans="40:62">
      <c r="AN40" s="996"/>
      <c r="AO40" s="997"/>
      <c r="AP40" s="996"/>
      <c r="AQ40" s="996"/>
      <c r="AR40" s="998"/>
      <c r="AS40" s="996"/>
      <c r="AT40" s="996"/>
      <c r="AU40" s="998"/>
      <c r="AV40" s="998"/>
      <c r="AW40" s="998"/>
      <c r="AX40" s="999"/>
      <c r="AY40" s="996"/>
      <c r="AZ40" s="996"/>
      <c r="BA40" s="996"/>
      <c r="BB40" s="998"/>
      <c r="BC40" s="998"/>
      <c r="BD40" s="998"/>
      <c r="BE40" s="998"/>
      <c r="BF40" s="996"/>
      <c r="BG40" s="996"/>
      <c r="BH40" s="996"/>
      <c r="BI40" s="996"/>
      <c r="BJ40" s="996"/>
    </row>
    <row r="41" spans="40:62">
      <c r="AN41" s="996"/>
      <c r="AO41" s="997"/>
      <c r="AP41" s="996"/>
      <c r="AQ41" s="996"/>
      <c r="AR41" s="998"/>
      <c r="AS41" s="996"/>
      <c r="AT41" s="996"/>
      <c r="AU41" s="998"/>
      <c r="AV41" s="998"/>
      <c r="AW41" s="998"/>
      <c r="AX41" s="999"/>
      <c r="AY41" s="996"/>
      <c r="AZ41" s="996"/>
      <c r="BA41" s="996"/>
      <c r="BB41" s="998"/>
      <c r="BC41" s="998"/>
      <c r="BD41" s="998"/>
      <c r="BE41" s="998"/>
      <c r="BF41" s="996"/>
      <c r="BG41" s="996"/>
      <c r="BH41" s="996"/>
      <c r="BI41" s="996"/>
      <c r="BJ41" s="996"/>
    </row>
    <row r="42" spans="40:62">
      <c r="AN42" s="996"/>
      <c r="AO42" s="997"/>
      <c r="AP42" s="996"/>
      <c r="AQ42" s="996"/>
      <c r="AR42" s="998"/>
      <c r="AS42" s="996"/>
      <c r="AT42" s="996"/>
      <c r="AU42" s="998"/>
      <c r="AV42" s="998"/>
      <c r="AW42" s="998"/>
      <c r="AX42" s="999"/>
      <c r="AY42" s="996"/>
      <c r="AZ42" s="996"/>
      <c r="BA42" s="996"/>
      <c r="BB42" s="998"/>
      <c r="BC42" s="998"/>
      <c r="BD42" s="998"/>
      <c r="BE42" s="998"/>
      <c r="BF42" s="996"/>
      <c r="BG42" s="996"/>
      <c r="BH42" s="996"/>
      <c r="BI42" s="996"/>
      <c r="BJ42" s="996"/>
    </row>
    <row r="43" spans="40:62">
      <c r="AN43" s="996"/>
      <c r="AO43" s="997"/>
      <c r="AP43" s="996"/>
      <c r="AQ43" s="996"/>
      <c r="AR43" s="998"/>
      <c r="AS43" s="996"/>
      <c r="AT43" s="996"/>
      <c r="AU43" s="998"/>
      <c r="AV43" s="998"/>
      <c r="AW43" s="998"/>
      <c r="AX43" s="999"/>
      <c r="AY43" s="996"/>
      <c r="AZ43" s="996"/>
      <c r="BA43" s="996"/>
      <c r="BB43" s="998"/>
      <c r="BC43" s="998"/>
      <c r="BD43" s="998"/>
      <c r="BE43" s="998"/>
      <c r="BF43" s="996"/>
      <c r="BG43" s="996"/>
      <c r="BH43" s="996"/>
      <c r="BI43" s="996"/>
      <c r="BJ43" s="996"/>
    </row>
    <row r="44" spans="40:62">
      <c r="AN44" s="996"/>
      <c r="AO44" s="997"/>
      <c r="AP44" s="996"/>
      <c r="AQ44" s="996"/>
      <c r="AR44" s="998"/>
      <c r="AS44" s="996"/>
      <c r="AT44" s="996"/>
      <c r="AU44" s="998"/>
      <c r="AV44" s="998"/>
      <c r="AW44" s="998"/>
      <c r="AX44" s="999"/>
      <c r="AY44" s="996"/>
      <c r="AZ44" s="996"/>
      <c r="BA44" s="996"/>
      <c r="BB44" s="998"/>
      <c r="BC44" s="998"/>
      <c r="BD44" s="998"/>
      <c r="BE44" s="998"/>
      <c r="BF44" s="996"/>
      <c r="BG44" s="996"/>
      <c r="BH44" s="996"/>
      <c r="BI44" s="996"/>
      <c r="BJ44" s="996"/>
    </row>
    <row r="45" spans="40:62">
      <c r="AN45" s="996"/>
      <c r="AO45" s="997"/>
      <c r="AP45" s="996"/>
      <c r="AQ45" s="996"/>
      <c r="AR45" s="998"/>
      <c r="AS45" s="996"/>
      <c r="AT45" s="996"/>
      <c r="AU45" s="998"/>
      <c r="AV45" s="998"/>
      <c r="AW45" s="998"/>
      <c r="AX45" s="999"/>
      <c r="AY45" s="996"/>
      <c r="AZ45" s="996"/>
      <c r="BA45" s="996"/>
      <c r="BB45" s="998"/>
      <c r="BC45" s="998"/>
      <c r="BD45" s="998"/>
      <c r="BE45" s="998"/>
      <c r="BF45" s="996"/>
      <c r="BG45" s="996"/>
      <c r="BH45" s="996"/>
      <c r="BI45" s="996"/>
      <c r="BJ45" s="996"/>
    </row>
    <row r="46" spans="40:62">
      <c r="AN46" s="996"/>
      <c r="AO46" s="997"/>
      <c r="AP46" s="996"/>
      <c r="AQ46" s="996"/>
      <c r="AR46" s="998"/>
      <c r="AS46" s="996"/>
      <c r="AT46" s="996"/>
      <c r="AU46" s="998"/>
      <c r="AV46" s="998"/>
      <c r="AW46" s="998"/>
      <c r="AX46" s="999"/>
      <c r="AY46" s="996"/>
      <c r="AZ46" s="996"/>
      <c r="BA46" s="996"/>
      <c r="BB46" s="998"/>
      <c r="BC46" s="998"/>
      <c r="BD46" s="998"/>
      <c r="BE46" s="998"/>
      <c r="BF46" s="996"/>
      <c r="BG46" s="996"/>
      <c r="BH46" s="996"/>
      <c r="BI46" s="996"/>
      <c r="BJ46" s="996"/>
    </row>
    <row r="47" spans="40:62">
      <c r="AN47" s="996"/>
      <c r="AO47" s="997"/>
      <c r="AP47" s="996"/>
      <c r="AQ47" s="996"/>
      <c r="AR47" s="998"/>
      <c r="AS47" s="996"/>
      <c r="AT47" s="996"/>
      <c r="AU47" s="998"/>
      <c r="AV47" s="998"/>
      <c r="AW47" s="998"/>
      <c r="AX47" s="999"/>
      <c r="AY47" s="996"/>
      <c r="AZ47" s="996"/>
      <c r="BA47" s="996"/>
      <c r="BB47" s="998"/>
      <c r="BC47" s="998"/>
      <c r="BD47" s="998"/>
      <c r="BE47" s="998"/>
      <c r="BF47" s="996"/>
      <c r="BG47" s="996"/>
      <c r="BH47" s="996"/>
      <c r="BI47" s="996"/>
      <c r="BJ47" s="996"/>
    </row>
    <row r="48" spans="40:62">
      <c r="AN48" s="996"/>
      <c r="AO48" s="997"/>
      <c r="AP48" s="996"/>
      <c r="AQ48" s="996"/>
      <c r="AR48" s="998"/>
      <c r="AS48" s="996"/>
      <c r="AT48" s="996"/>
      <c r="AU48" s="998"/>
      <c r="AV48" s="998"/>
      <c r="AW48" s="998"/>
      <c r="AX48" s="999"/>
      <c r="AY48" s="996"/>
      <c r="AZ48" s="996"/>
      <c r="BA48" s="996"/>
      <c r="BB48" s="998"/>
      <c r="BC48" s="998"/>
      <c r="BD48" s="998"/>
      <c r="BE48" s="998"/>
      <c r="BF48" s="996"/>
      <c r="BG48" s="996"/>
      <c r="BH48" s="996"/>
      <c r="BI48" s="996"/>
      <c r="BJ48" s="996"/>
    </row>
    <row r="49" spans="40:62">
      <c r="AN49" s="996"/>
      <c r="AO49" s="997"/>
      <c r="AP49" s="996"/>
      <c r="AQ49" s="996"/>
      <c r="AR49" s="998"/>
      <c r="AS49" s="996"/>
      <c r="AT49" s="996"/>
      <c r="AU49" s="998"/>
      <c r="AV49" s="998"/>
      <c r="AW49" s="998"/>
      <c r="AX49" s="999"/>
      <c r="AY49" s="996"/>
      <c r="AZ49" s="996"/>
      <c r="BA49" s="996"/>
      <c r="BB49" s="998"/>
      <c r="BC49" s="998"/>
      <c r="BD49" s="998"/>
      <c r="BE49" s="998"/>
      <c r="BF49" s="996"/>
      <c r="BG49" s="996"/>
      <c r="BH49" s="996"/>
      <c r="BI49" s="996"/>
      <c r="BJ49" s="996"/>
    </row>
    <row r="50" spans="40:62">
      <c r="AN50" s="996"/>
      <c r="AO50" s="997"/>
      <c r="AP50" s="996"/>
      <c r="AQ50" s="996"/>
      <c r="AR50" s="998"/>
      <c r="AS50" s="996"/>
      <c r="AT50" s="996"/>
      <c r="AU50" s="998"/>
      <c r="AV50" s="998"/>
      <c r="AW50" s="998"/>
      <c r="AX50" s="999"/>
      <c r="AY50" s="996"/>
      <c r="AZ50" s="996"/>
      <c r="BA50" s="996"/>
      <c r="BB50" s="998"/>
      <c r="BC50" s="998"/>
      <c r="BD50" s="998"/>
      <c r="BE50" s="998"/>
      <c r="BF50" s="996"/>
      <c r="BG50" s="996"/>
      <c r="BH50" s="996"/>
      <c r="BI50" s="996"/>
      <c r="BJ50" s="996"/>
    </row>
    <row r="51" spans="40:62">
      <c r="AN51" s="996"/>
      <c r="AO51" s="997"/>
      <c r="AP51" s="996"/>
      <c r="AQ51" s="996"/>
      <c r="AR51" s="998"/>
      <c r="AS51" s="996"/>
      <c r="AT51" s="996"/>
      <c r="AU51" s="998"/>
      <c r="AV51" s="998"/>
      <c r="AW51" s="998"/>
      <c r="AX51" s="999"/>
      <c r="AY51" s="996"/>
      <c r="AZ51" s="996"/>
      <c r="BA51" s="996"/>
      <c r="BB51" s="998"/>
      <c r="BC51" s="998"/>
      <c r="BD51" s="998"/>
      <c r="BE51" s="998"/>
      <c r="BF51" s="996"/>
      <c r="BG51" s="996"/>
      <c r="BH51" s="996"/>
      <c r="BI51" s="996"/>
      <c r="BJ51" s="996"/>
    </row>
    <row r="52" spans="40:62">
      <c r="AN52" s="996"/>
      <c r="AO52" s="997"/>
      <c r="AP52" s="996"/>
      <c r="AQ52" s="996"/>
      <c r="AR52" s="998"/>
      <c r="AS52" s="996"/>
      <c r="AT52" s="996"/>
      <c r="AU52" s="998"/>
      <c r="AV52" s="998"/>
      <c r="AW52" s="998"/>
      <c r="AX52" s="999"/>
      <c r="AY52" s="996"/>
      <c r="AZ52" s="996"/>
      <c r="BA52" s="996"/>
      <c r="BB52" s="998"/>
      <c r="BC52" s="998"/>
      <c r="BD52" s="998"/>
      <c r="BE52" s="998"/>
      <c r="BF52" s="996"/>
      <c r="BG52" s="996"/>
      <c r="BH52" s="996"/>
      <c r="BI52" s="996"/>
      <c r="BJ52" s="996"/>
    </row>
    <row r="53" spans="40:62">
      <c r="AN53" s="996"/>
      <c r="AO53" s="997"/>
      <c r="AP53" s="996"/>
      <c r="AQ53" s="996"/>
      <c r="AR53" s="998"/>
      <c r="AS53" s="996"/>
      <c r="AT53" s="996"/>
      <c r="AU53" s="998"/>
      <c r="AV53" s="998"/>
      <c r="AW53" s="998"/>
      <c r="AX53" s="999"/>
      <c r="AY53" s="996"/>
      <c r="AZ53" s="996"/>
      <c r="BA53" s="996"/>
      <c r="BB53" s="998"/>
      <c r="BC53" s="998"/>
      <c r="BD53" s="998"/>
      <c r="BE53" s="998"/>
      <c r="BF53" s="996"/>
      <c r="BG53" s="996"/>
      <c r="BH53" s="996"/>
      <c r="BI53" s="996"/>
      <c r="BJ53" s="996"/>
    </row>
    <row r="54" spans="40:62">
      <c r="AN54" s="996"/>
      <c r="AO54" s="1032"/>
      <c r="AP54" s="1033"/>
      <c r="AQ54" s="1033"/>
      <c r="AR54" s="1034"/>
      <c r="AS54" s="1033"/>
      <c r="AT54" s="1033"/>
      <c r="AU54" s="1034"/>
      <c r="AV54" s="1034"/>
      <c r="AW54" s="1034"/>
      <c r="AX54" s="1035"/>
      <c r="AY54" s="1033"/>
      <c r="AZ54" s="1033"/>
      <c r="BA54" s="1033"/>
      <c r="BB54" s="1034"/>
      <c r="BC54" s="1034"/>
      <c r="BD54" s="1034"/>
      <c r="BE54" s="1034"/>
      <c r="BF54" s="1033"/>
      <c r="BG54" s="1033"/>
      <c r="BH54" s="996"/>
      <c r="BI54" s="1033"/>
      <c r="BJ54" s="1033"/>
    </row>
    <row r="55" spans="40:62">
      <c r="AN55" s="996"/>
      <c r="AO55" s="1032"/>
      <c r="AP55" s="1033"/>
      <c r="AQ55" s="1033"/>
      <c r="AR55" s="1034"/>
      <c r="AS55" s="1033"/>
      <c r="AT55" s="1033"/>
      <c r="AU55" s="1034"/>
      <c r="AV55" s="1034"/>
      <c r="AW55" s="1034"/>
      <c r="AX55" s="1035"/>
      <c r="AY55" s="1033"/>
      <c r="AZ55" s="1033"/>
      <c r="BA55" s="1033"/>
      <c r="BB55" s="1034"/>
      <c r="BC55" s="1034"/>
      <c r="BD55" s="1034"/>
      <c r="BE55" s="1034"/>
      <c r="BF55" s="1033"/>
      <c r="BG55" s="1033"/>
      <c r="BH55" s="996"/>
      <c r="BI55" s="1033"/>
      <c r="BJ55" s="996"/>
    </row>
  </sheetData>
  <mergeCells count="11">
    <mergeCell ref="AR2:AZ2"/>
    <mergeCell ref="BA2:BE2"/>
    <mergeCell ref="AN2:AN3"/>
    <mergeCell ref="AO2:AO3"/>
    <mergeCell ref="AP2:AP3"/>
    <mergeCell ref="AQ2:AQ3"/>
    <mergeCell ref="BF2:BF3"/>
    <mergeCell ref="BG2:BG3"/>
    <mergeCell ref="BH2:BH3"/>
    <mergeCell ref="BI2:BI3"/>
    <mergeCell ref="BJ2:BJ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8"/>
  <sheetViews>
    <sheetView workbookViewId="0">
      <selection activeCell="A1" sqref="A1:O1"/>
    </sheetView>
  </sheetViews>
  <sheetFormatPr defaultColWidth="9" defaultRowHeight="16.8"/>
  <cols>
    <col min="1" max="1" width="10.4423076923077" customWidth="1"/>
    <col min="2" max="2" width="14.1153846153846" customWidth="1"/>
    <col min="4" max="4" width="19.4423076923077" customWidth="1"/>
    <col min="5" max="5" width="14.1153846153846" customWidth="1"/>
    <col min="12" max="12" width="10.4423076923077" customWidth="1"/>
    <col min="13" max="13" width="21.1153846153846" customWidth="1"/>
    <col min="15" max="16" width="10.4423076923077" customWidth="1"/>
    <col min="17" max="17" width="17.8846153846154" customWidth="1"/>
    <col min="18" max="18" width="15.8846153846154" customWidth="1"/>
    <col min="19" max="19" width="14.8846153846154" customWidth="1"/>
    <col min="20" max="20" width="10.4423076923077" customWidth="1"/>
    <col min="21" max="21" width="28.4423076923077" customWidth="1"/>
    <col min="22" max="22" width="10.4423076923077" customWidth="1"/>
  </cols>
  <sheetData>
    <row r="1" ht="45.15" customHeight="1" spans="1:23">
      <c r="A1" s="957"/>
      <c r="P1" s="651"/>
    </row>
    <row r="2" ht="29.1" customHeight="1" spans="1:23">
      <c r="A2" s="957" t="s">
        <v>716</v>
      </c>
    </row>
    <row r="3" ht="18" customHeight="1" spans="1:23">
      <c r="A3" s="958" t="s">
        <v>303</v>
      </c>
      <c r="B3" s="958" t="s">
        <v>717</v>
      </c>
      <c r="C3" s="958" t="s">
        <v>718</v>
      </c>
      <c r="D3" s="958" t="s">
        <v>719</v>
      </c>
      <c r="E3" s="958" t="s">
        <v>720</v>
      </c>
      <c r="F3" s="958" t="s">
        <v>637</v>
      </c>
      <c r="G3" s="958" t="s">
        <v>721</v>
      </c>
      <c r="H3" s="958" t="s">
        <v>722</v>
      </c>
      <c r="I3" s="958" t="s">
        <v>723</v>
      </c>
      <c r="J3" s="958" t="s">
        <v>724</v>
      </c>
      <c r="K3" s="958" t="s">
        <v>725</v>
      </c>
      <c r="L3" s="958" t="s">
        <v>726</v>
      </c>
      <c r="M3" s="958" t="s">
        <v>727</v>
      </c>
      <c r="N3" s="958" t="s">
        <v>310</v>
      </c>
      <c r="O3" s="958" t="s">
        <v>310</v>
      </c>
      <c r="Q3" s="612" t="s">
        <v>143</v>
      </c>
      <c r="R3" s="612" t="s">
        <v>728</v>
      </c>
      <c r="S3" s="612" t="s">
        <v>729</v>
      </c>
      <c r="T3" s="612" t="s">
        <v>730</v>
      </c>
      <c r="U3" s="612" t="s">
        <v>158</v>
      </c>
      <c r="V3" s="612" t="s">
        <v>731</v>
      </c>
      <c r="W3" s="612" t="s">
        <v>158</v>
      </c>
    </row>
    <row r="4" ht="18" customHeight="1" spans="1:23">
      <c r="A4" s="958"/>
      <c r="B4" s="959" t="s">
        <v>732</v>
      </c>
      <c r="C4" s="959" t="s">
        <v>733</v>
      </c>
      <c r="D4" s="959" t="s">
        <v>734</v>
      </c>
      <c r="E4" s="959" t="s">
        <v>735</v>
      </c>
      <c r="F4" s="959"/>
      <c r="G4" s="959" t="s">
        <v>736</v>
      </c>
      <c r="H4" s="960" t="s">
        <v>737</v>
      </c>
      <c r="I4" s="959"/>
      <c r="J4" s="959"/>
      <c r="K4" s="958"/>
      <c r="L4" s="958"/>
      <c r="M4" s="961"/>
      <c r="N4" s="961"/>
      <c r="O4" s="958"/>
      <c r="Q4" s="612" t="s">
        <v>738</v>
      </c>
      <c r="R4" s="576"/>
      <c r="S4" s="576"/>
      <c r="T4" s="576"/>
      <c r="U4" s="576">
        <f>S4*T4</f>
        <v>0</v>
      </c>
      <c r="V4" s="612"/>
      <c r="W4" s="612">
        <f>$U$4*V4</f>
        <v>0</v>
      </c>
    </row>
    <row r="5" ht="18" customHeight="1" spans="1:23">
      <c r="A5" s="958"/>
      <c r="B5" s="959" t="s">
        <v>732</v>
      </c>
      <c r="C5" s="959" t="s">
        <v>733</v>
      </c>
      <c r="D5" s="959" t="s">
        <v>734</v>
      </c>
      <c r="E5" s="959" t="s">
        <v>739</v>
      </c>
      <c r="F5" s="959"/>
      <c r="G5" s="959" t="s">
        <v>736</v>
      </c>
      <c r="H5" s="960" t="s">
        <v>737</v>
      </c>
      <c r="I5" s="959"/>
      <c r="J5" s="959"/>
      <c r="K5" s="958"/>
      <c r="L5" s="958"/>
      <c r="M5" s="958"/>
      <c r="N5" s="958"/>
      <c r="O5" s="958"/>
      <c r="Q5" s="612" t="s">
        <v>740</v>
      </c>
      <c r="R5" s="317"/>
      <c r="S5" s="317"/>
      <c r="T5" s="317"/>
      <c r="U5" s="317"/>
      <c r="V5" s="612"/>
      <c r="W5" s="612">
        <f>$U$4*V5</f>
        <v>0</v>
      </c>
    </row>
    <row r="6" ht="18" customHeight="1" spans="1:23">
      <c r="A6" s="958"/>
      <c r="B6" s="959" t="s">
        <v>741</v>
      </c>
      <c r="C6" s="959" t="s">
        <v>742</v>
      </c>
      <c r="D6" s="959" t="s">
        <v>743</v>
      </c>
      <c r="E6" s="959" t="s">
        <v>744</v>
      </c>
      <c r="F6" s="959"/>
      <c r="G6" s="959" t="s">
        <v>745</v>
      </c>
      <c r="H6" s="960" t="s">
        <v>737</v>
      </c>
      <c r="I6" s="959"/>
      <c r="J6" s="959"/>
      <c r="K6" s="958"/>
      <c r="L6" s="958"/>
      <c r="M6" s="961"/>
      <c r="N6" s="961"/>
      <c r="O6" s="958"/>
      <c r="Q6" s="612" t="s">
        <v>746</v>
      </c>
      <c r="R6" s="317"/>
      <c r="S6" s="317"/>
      <c r="T6" s="317"/>
      <c r="U6" s="317"/>
      <c r="V6" s="612"/>
      <c r="W6" s="612">
        <f>$U$4*V6</f>
        <v>0</v>
      </c>
    </row>
    <row r="7" ht="18" customHeight="1" spans="1:23">
      <c r="A7" s="958"/>
      <c r="B7" s="959" t="s">
        <v>747</v>
      </c>
      <c r="C7" s="959" t="s">
        <v>748</v>
      </c>
      <c r="D7" s="959" t="s">
        <v>749</v>
      </c>
      <c r="E7" s="959" t="s">
        <v>750</v>
      </c>
      <c r="F7" s="959"/>
      <c r="G7" s="959" t="s">
        <v>751</v>
      </c>
      <c r="H7" s="960" t="s">
        <v>737</v>
      </c>
      <c r="I7" s="959"/>
      <c r="J7" s="959"/>
      <c r="K7" s="958"/>
      <c r="L7" s="958"/>
      <c r="M7" s="958"/>
      <c r="N7" s="958"/>
      <c r="O7" s="958"/>
      <c r="Q7" s="612" t="s">
        <v>752</v>
      </c>
      <c r="R7" s="195"/>
      <c r="S7" s="195"/>
      <c r="T7" s="195"/>
      <c r="U7" s="195"/>
      <c r="V7" s="612"/>
      <c r="W7" s="612">
        <f>$U$4*V7</f>
        <v>0</v>
      </c>
    </row>
    <row r="8" ht="18" customHeight="1" spans="1:23">
      <c r="A8" s="958"/>
      <c r="B8" s="959" t="s">
        <v>732</v>
      </c>
      <c r="C8" s="959" t="s">
        <v>753</v>
      </c>
      <c r="D8" s="959" t="s">
        <v>754</v>
      </c>
      <c r="E8" s="959" t="s">
        <v>755</v>
      </c>
      <c r="F8" s="959"/>
      <c r="G8" s="959" t="s">
        <v>756</v>
      </c>
      <c r="H8" s="960" t="s">
        <v>737</v>
      </c>
      <c r="I8" s="959"/>
      <c r="J8" s="959"/>
      <c r="K8" s="958"/>
      <c r="L8" s="958"/>
      <c r="M8" s="961"/>
      <c r="N8" s="961"/>
      <c r="O8" s="958"/>
      <c r="Q8" s="845" t="s">
        <v>757</v>
      </c>
      <c r="R8" s="845" t="s">
        <v>758</v>
      </c>
      <c r="S8" s="845" t="s">
        <v>759</v>
      </c>
      <c r="T8" s="845" t="s">
        <v>760</v>
      </c>
    </row>
    <row r="9" ht="18" customHeight="1" spans="1:23">
      <c r="A9" s="958"/>
      <c r="B9" s="959" t="s">
        <v>761</v>
      </c>
      <c r="C9" s="959" t="s">
        <v>753</v>
      </c>
      <c r="D9" s="959" t="s">
        <v>754</v>
      </c>
      <c r="E9" s="959" t="s">
        <v>762</v>
      </c>
      <c r="F9" s="962" t="s">
        <v>763</v>
      </c>
      <c r="G9" s="959" t="s">
        <v>756</v>
      </c>
      <c r="H9" s="960" t="s">
        <v>737</v>
      </c>
      <c r="I9" s="959"/>
      <c r="J9" s="959"/>
      <c r="K9" s="958"/>
      <c r="L9" s="958"/>
      <c r="M9" s="961"/>
      <c r="N9" s="961"/>
      <c r="O9" s="958"/>
      <c r="P9" s="845" t="s">
        <v>764</v>
      </c>
      <c r="Q9" s="845" t="s">
        <v>556</v>
      </c>
      <c r="U9" s="845" t="s">
        <v>765</v>
      </c>
    </row>
    <row r="10" ht="18" customHeight="1" spans="1:23">
      <c r="A10" s="958"/>
      <c r="B10" s="959" t="s">
        <v>766</v>
      </c>
      <c r="C10" s="959" t="s">
        <v>767</v>
      </c>
      <c r="D10" s="959" t="s">
        <v>743</v>
      </c>
      <c r="E10" s="959" t="s">
        <v>768</v>
      </c>
      <c r="F10" s="959"/>
      <c r="G10" s="959" t="s">
        <v>769</v>
      </c>
      <c r="H10" s="960" t="s">
        <v>737</v>
      </c>
      <c r="I10" s="963"/>
      <c r="J10" s="963"/>
      <c r="K10" s="958"/>
      <c r="L10" s="958"/>
      <c r="M10" s="958"/>
      <c r="N10" s="958"/>
      <c r="O10" s="958"/>
      <c r="P10" s="845" t="s">
        <v>764</v>
      </c>
      <c r="Q10" s="845" t="s">
        <v>770</v>
      </c>
      <c r="R10" s="964"/>
      <c r="S10" s="964"/>
    </row>
    <row r="11" ht="18" customHeight="1" spans="1:23">
      <c r="A11" s="958"/>
      <c r="B11" s="959" t="s">
        <v>771</v>
      </c>
      <c r="C11" s="959" t="s">
        <v>748</v>
      </c>
      <c r="D11" s="959" t="s">
        <v>749</v>
      </c>
      <c r="E11" s="959" t="s">
        <v>772</v>
      </c>
      <c r="F11" s="965"/>
      <c r="G11" s="959" t="s">
        <v>751</v>
      </c>
      <c r="H11" s="960" t="s">
        <v>737</v>
      </c>
      <c r="I11" s="959"/>
      <c r="J11" s="959"/>
      <c r="K11" s="958"/>
      <c r="L11" s="958"/>
      <c r="M11" s="961"/>
      <c r="N11" s="961"/>
      <c r="O11" s="958"/>
      <c r="P11" s="845" t="s">
        <v>764</v>
      </c>
      <c r="Q11" s="845" t="s">
        <v>754</v>
      </c>
    </row>
    <row r="12" ht="18" customHeight="1" spans="1:23">
      <c r="A12" s="958"/>
      <c r="B12" s="959" t="s">
        <v>766</v>
      </c>
      <c r="C12" s="959" t="s">
        <v>733</v>
      </c>
      <c r="D12" s="959" t="s">
        <v>734</v>
      </c>
      <c r="E12" s="959" t="s">
        <v>773</v>
      </c>
      <c r="F12" s="959"/>
      <c r="G12" s="959" t="s">
        <v>736</v>
      </c>
      <c r="H12" s="960" t="s">
        <v>737</v>
      </c>
      <c r="I12" s="959"/>
      <c r="J12" s="959"/>
      <c r="K12" s="958"/>
      <c r="L12" s="958"/>
      <c r="M12" s="961"/>
      <c r="N12" s="961"/>
      <c r="O12" s="958"/>
      <c r="P12" s="845" t="s">
        <v>764</v>
      </c>
      <c r="Q12" s="845" t="s">
        <v>774</v>
      </c>
    </row>
    <row r="13" ht="18" customHeight="1" spans="1:23">
      <c r="A13" s="958"/>
      <c r="B13" s="959" t="s">
        <v>771</v>
      </c>
      <c r="C13" s="959" t="s">
        <v>733</v>
      </c>
      <c r="D13" s="959" t="s">
        <v>734</v>
      </c>
      <c r="E13" s="959" t="s">
        <v>775</v>
      </c>
      <c r="F13" s="966"/>
      <c r="G13" s="959" t="s">
        <v>736</v>
      </c>
      <c r="H13" s="960" t="s">
        <v>737</v>
      </c>
      <c r="I13" s="959"/>
      <c r="J13" s="959"/>
      <c r="K13" s="958"/>
      <c r="L13" s="958"/>
      <c r="M13" s="961"/>
      <c r="N13" s="961"/>
      <c r="O13" s="958"/>
      <c r="P13" s="845" t="s">
        <v>776</v>
      </c>
      <c r="Q13" s="845" t="s">
        <v>11</v>
      </c>
    </row>
    <row r="14" ht="18" customHeight="1" spans="1:23">
      <c r="A14" s="958"/>
      <c r="B14" s="959" t="s">
        <v>771</v>
      </c>
      <c r="C14" s="959" t="s">
        <v>753</v>
      </c>
      <c r="D14" s="959" t="s">
        <v>754</v>
      </c>
      <c r="E14" s="959" t="s">
        <v>777</v>
      </c>
      <c r="F14" s="966"/>
      <c r="G14" s="959" t="s">
        <v>756</v>
      </c>
      <c r="H14" s="960" t="s">
        <v>737</v>
      </c>
      <c r="I14" s="959"/>
      <c r="J14" s="959"/>
      <c r="K14" s="958"/>
      <c r="L14" s="958"/>
      <c r="M14" s="961"/>
      <c r="N14" s="961"/>
      <c r="O14" s="958"/>
      <c r="P14" s="845" t="s">
        <v>778</v>
      </c>
      <c r="Q14" s="845" t="s">
        <v>11</v>
      </c>
    </row>
    <row r="15" ht="18" customHeight="1" spans="1:23">
      <c r="A15" s="958"/>
      <c r="B15" s="959"/>
      <c r="C15" s="959"/>
      <c r="D15" s="959"/>
      <c r="E15" s="959"/>
      <c r="F15" s="959"/>
      <c r="G15" s="959"/>
      <c r="H15" s="960"/>
      <c r="I15" s="959"/>
      <c r="J15" s="959"/>
      <c r="K15" s="958"/>
      <c r="L15" s="958"/>
      <c r="M15" s="961"/>
      <c r="N15" s="961"/>
      <c r="O15" s="958"/>
      <c r="P15" s="845" t="s">
        <v>779</v>
      </c>
      <c r="Q15" s="845" t="s">
        <v>780</v>
      </c>
    </row>
    <row r="16" ht="18" customHeight="1" spans="1:23">
      <c r="A16" s="958"/>
      <c r="B16" s="959"/>
      <c r="C16" s="959"/>
      <c r="D16" s="959"/>
      <c r="E16" s="959"/>
      <c r="F16" s="959"/>
      <c r="G16" s="959"/>
      <c r="H16" s="960"/>
      <c r="I16" s="959"/>
      <c r="J16" s="959"/>
      <c r="K16" s="958"/>
      <c r="L16" s="958"/>
      <c r="M16" s="961"/>
      <c r="N16" s="961"/>
      <c r="O16" s="958"/>
      <c r="P16" s="845" t="s">
        <v>767</v>
      </c>
      <c r="Q16" s="845" t="s">
        <v>780</v>
      </c>
    </row>
    <row r="17" ht="18" customHeight="1" spans="1:23">
      <c r="A17" s="958"/>
      <c r="B17" s="959"/>
      <c r="C17" s="959"/>
      <c r="D17" s="959"/>
      <c r="E17" s="959"/>
      <c r="F17" s="959"/>
      <c r="G17" s="959"/>
      <c r="H17" s="960"/>
      <c r="I17" s="959"/>
      <c r="J17" s="959"/>
      <c r="K17" s="958"/>
      <c r="L17" s="958"/>
      <c r="M17" s="958"/>
      <c r="N17" s="958"/>
      <c r="O17" s="958"/>
      <c r="P17" s="845" t="s">
        <v>767</v>
      </c>
      <c r="Q17" s="845" t="s">
        <v>781</v>
      </c>
    </row>
    <row r="18" ht="18" customHeight="1" spans="1:23">
      <c r="A18" s="958"/>
      <c r="B18" s="959"/>
      <c r="C18" s="959"/>
      <c r="D18" s="959"/>
      <c r="E18" s="959"/>
      <c r="F18" s="959"/>
      <c r="G18" s="959"/>
      <c r="H18" s="960"/>
      <c r="I18" s="959"/>
      <c r="J18" s="959"/>
      <c r="K18" s="958"/>
      <c r="L18" s="958"/>
      <c r="M18" s="961"/>
      <c r="N18" s="961"/>
      <c r="O18" s="958"/>
      <c r="P18" s="845" t="s">
        <v>782</v>
      </c>
      <c r="Q18" s="845" t="s">
        <v>783</v>
      </c>
    </row>
    <row r="19" ht="18" customHeight="1" spans="1:23">
      <c r="A19" s="958"/>
      <c r="B19" s="959"/>
      <c r="C19" s="959"/>
      <c r="D19" s="959"/>
      <c r="E19" s="959"/>
      <c r="F19" s="959"/>
      <c r="G19" s="959"/>
      <c r="H19" s="960"/>
      <c r="I19" s="959"/>
      <c r="J19" s="959"/>
      <c r="K19" s="958"/>
      <c r="L19" s="958"/>
      <c r="M19" s="961"/>
      <c r="N19" s="961"/>
      <c r="O19" s="958"/>
      <c r="P19" s="845" t="s">
        <v>784</v>
      </c>
      <c r="Q19" s="845" t="s">
        <v>785</v>
      </c>
    </row>
    <row r="20" ht="18" customHeight="1" spans="1:23">
      <c r="A20" s="967"/>
      <c r="B20" s="967"/>
      <c r="C20" s="967"/>
      <c r="D20" s="967"/>
      <c r="E20" s="961"/>
      <c r="F20" s="967"/>
      <c r="G20" s="967"/>
      <c r="H20" s="967"/>
      <c r="I20" s="967"/>
      <c r="J20" s="967"/>
      <c r="K20" s="967"/>
      <c r="L20" s="967"/>
      <c r="M20" s="967"/>
      <c r="N20" s="967"/>
      <c r="O20" s="968"/>
      <c r="P20" s="845" t="s">
        <v>784</v>
      </c>
      <c r="Q20" s="845" t="s">
        <v>786</v>
      </c>
    </row>
    <row r="21" ht="18" customHeight="1" spans="1:23">
      <c r="A21" s="958"/>
      <c r="B21" s="969"/>
      <c r="C21" s="969"/>
      <c r="D21" s="969"/>
      <c r="E21" s="969"/>
      <c r="F21" s="969"/>
      <c r="G21" s="969"/>
      <c r="H21" s="970"/>
      <c r="I21" s="969"/>
      <c r="J21" s="969"/>
      <c r="K21" s="969"/>
      <c r="L21" s="958"/>
      <c r="M21" s="958"/>
      <c r="N21" s="958"/>
      <c r="O21" s="958"/>
      <c r="P21" s="845" t="s">
        <v>787</v>
      </c>
      <c r="Q21" s="845" t="s">
        <v>788</v>
      </c>
    </row>
    <row r="22" ht="18" customHeight="1" spans="1:23">
      <c r="A22" s="958"/>
      <c r="B22" s="969"/>
      <c r="C22" s="969"/>
      <c r="D22" s="971"/>
      <c r="E22" s="969"/>
      <c r="F22" s="969"/>
      <c r="G22" s="969"/>
      <c r="H22" s="970"/>
      <c r="I22" s="969"/>
      <c r="J22" s="969"/>
      <c r="K22" s="969"/>
      <c r="L22" s="958"/>
      <c r="M22" s="958"/>
      <c r="N22" s="958"/>
      <c r="O22" s="958"/>
      <c r="P22" s="845" t="s">
        <v>789</v>
      </c>
      <c r="Q22" s="845" t="s">
        <v>790</v>
      </c>
    </row>
    <row r="23" ht="18" customHeight="1" spans="1:23">
      <c r="A23" s="958"/>
      <c r="B23" s="958"/>
      <c r="C23" s="958"/>
      <c r="D23" s="958"/>
      <c r="E23" s="958"/>
      <c r="F23" s="958"/>
      <c r="G23" s="958"/>
      <c r="H23" s="958"/>
      <c r="I23" s="958"/>
      <c r="J23" s="958"/>
      <c r="K23" s="958"/>
      <c r="L23" s="958"/>
      <c r="M23" s="958"/>
      <c r="N23" s="958"/>
      <c r="O23" s="958"/>
      <c r="P23" s="845" t="s">
        <v>332</v>
      </c>
      <c r="Q23" s="845" t="s">
        <v>781</v>
      </c>
    </row>
    <row r="24" ht="18" customHeight="1" spans="1:23">
      <c r="A24" s="958"/>
      <c r="B24" s="958"/>
      <c r="C24" s="958"/>
      <c r="D24" s="958"/>
      <c r="E24" s="958"/>
      <c r="F24" s="958"/>
      <c r="G24" s="958"/>
      <c r="H24" s="958"/>
      <c r="I24" s="958"/>
      <c r="J24" s="958"/>
      <c r="K24" s="958"/>
      <c r="L24" s="958"/>
      <c r="M24" s="958"/>
      <c r="N24" s="958"/>
      <c r="O24" s="958"/>
      <c r="P24" s="845" t="s">
        <v>791</v>
      </c>
      <c r="Q24" s="845" t="s">
        <v>11</v>
      </c>
      <c r="T24" s="845">
        <f>SUM(T9:T23)</f>
        <v>0</v>
      </c>
      <c r="U24" s="845">
        <f>SUM(U9:U23)</f>
        <v>0</v>
      </c>
      <c r="V24" s="845">
        <f>SUM(V9:V23)</f>
        <v>0</v>
      </c>
      <c r="W24" s="845">
        <f>SUM(W9:W23)</f>
        <v>0</v>
      </c>
    </row>
    <row r="25" ht="18" customHeight="1" spans="1:23">
      <c r="A25" s="958"/>
      <c r="B25" s="958"/>
      <c r="C25" s="958"/>
      <c r="D25" s="958"/>
      <c r="E25" s="958"/>
      <c r="F25" s="958"/>
      <c r="G25" s="958"/>
      <c r="H25" s="958"/>
      <c r="I25" s="958"/>
      <c r="J25" s="958"/>
      <c r="K25" s="958"/>
      <c r="L25" s="958"/>
      <c r="M25" s="958"/>
      <c r="N25" s="958"/>
      <c r="O25" s="958"/>
      <c r="P25" s="845" t="s">
        <v>779</v>
      </c>
      <c r="Q25" s="845" t="s">
        <v>781</v>
      </c>
      <c r="T25" s="845">
        <f>SUM(T9:T24)</f>
        <v>0</v>
      </c>
    </row>
    <row r="26" ht="18" customHeight="1" spans="1:23">
      <c r="A26" s="958"/>
      <c r="B26" s="958"/>
      <c r="C26" s="958"/>
      <c r="D26" s="958"/>
      <c r="E26" s="958"/>
      <c r="F26" s="958"/>
      <c r="G26" s="958"/>
      <c r="H26" s="958"/>
      <c r="I26" s="958"/>
      <c r="J26" s="958"/>
      <c r="K26" s="958"/>
      <c r="L26" s="958"/>
      <c r="M26" s="958"/>
      <c r="N26" s="958"/>
      <c r="O26" s="958"/>
      <c r="P26" s="845" t="s">
        <v>784</v>
      </c>
      <c r="Q26" s="845" t="s">
        <v>770</v>
      </c>
    </row>
    <row r="27" ht="18" customHeight="1" spans="1:23">
      <c r="A27" s="958"/>
      <c r="B27" s="958"/>
      <c r="C27" s="958"/>
      <c r="D27" s="958"/>
      <c r="E27" s="958"/>
      <c r="F27" s="958"/>
      <c r="G27" s="958"/>
      <c r="H27" s="958"/>
      <c r="I27" s="958"/>
      <c r="J27" s="958"/>
      <c r="K27" s="958"/>
      <c r="L27" s="958"/>
      <c r="M27" s="958"/>
      <c r="N27" s="958"/>
      <c r="O27" s="958"/>
      <c r="P27" s="845" t="s">
        <v>792</v>
      </c>
      <c r="Q27" s="845" t="s">
        <v>11</v>
      </c>
      <c r="T27" s="845">
        <f>SUM(T9:T26)</f>
        <v>0</v>
      </c>
      <c r="U27" s="845">
        <f>SUM(U9:U26)</f>
        <v>0</v>
      </c>
      <c r="V27" s="845">
        <f>SUM(V9:V26)</f>
        <v>0</v>
      </c>
      <c r="W27" s="845">
        <f>SUM(W9:W26)</f>
        <v>0</v>
      </c>
    </row>
    <row r="28" ht="18" customHeight="1" spans="1:23">
      <c r="A28" s="958"/>
      <c r="B28" s="958"/>
      <c r="C28" s="958"/>
      <c r="D28" s="958"/>
      <c r="E28" s="958"/>
      <c r="F28" s="958"/>
      <c r="G28" s="958"/>
      <c r="H28" s="958"/>
      <c r="I28" s="958"/>
      <c r="J28" s="958"/>
      <c r="K28" s="958"/>
      <c r="L28" s="958"/>
      <c r="M28" s="958"/>
      <c r="N28" s="958"/>
      <c r="O28" s="958"/>
      <c r="P28" s="845" t="s">
        <v>792</v>
      </c>
      <c r="Q28" s="845" t="s">
        <v>793</v>
      </c>
    </row>
    <row r="29" ht="18" customHeight="1" spans="1:23">
      <c r="A29" s="958"/>
      <c r="B29" s="958"/>
      <c r="C29" s="958"/>
      <c r="D29" s="958"/>
      <c r="E29" s="958"/>
      <c r="F29" s="958"/>
      <c r="G29" s="958"/>
      <c r="H29" s="958"/>
      <c r="I29" s="958"/>
      <c r="J29" s="958"/>
      <c r="K29" s="958"/>
      <c r="L29" s="958"/>
      <c r="M29" s="958"/>
      <c r="N29" s="958"/>
      <c r="O29" s="958"/>
      <c r="P29" s="845" t="s">
        <v>742</v>
      </c>
      <c r="Q29" s="845" t="s">
        <v>793</v>
      </c>
    </row>
    <row r="30" ht="18" customHeight="1" spans="1:23">
      <c r="A30" s="958"/>
      <c r="B30" s="958"/>
      <c r="C30" s="958"/>
      <c r="D30" s="958"/>
      <c r="E30" s="958"/>
      <c r="F30" s="958"/>
      <c r="G30" s="958"/>
      <c r="H30" s="958"/>
      <c r="I30" s="958"/>
      <c r="J30" s="958"/>
      <c r="K30" s="958"/>
      <c r="L30" s="958"/>
      <c r="M30" s="958"/>
      <c r="N30" s="958"/>
      <c r="O30" s="958"/>
      <c r="P30" s="845" t="s">
        <v>742</v>
      </c>
      <c r="Q30" s="845" t="s">
        <v>11</v>
      </c>
    </row>
    <row r="31" ht="18" customHeight="1" spans="1:23">
      <c r="A31" s="958"/>
      <c r="B31" s="958"/>
      <c r="C31" s="958"/>
      <c r="D31" s="958"/>
      <c r="E31" s="958"/>
      <c r="F31" s="958"/>
      <c r="G31" s="958"/>
      <c r="H31" s="958"/>
      <c r="I31" s="958"/>
      <c r="J31" s="958"/>
      <c r="K31" s="958"/>
      <c r="L31" s="958"/>
      <c r="M31" s="958"/>
      <c r="N31" s="958"/>
      <c r="O31" s="958"/>
      <c r="P31" s="845" t="s">
        <v>742</v>
      </c>
      <c r="Q31" s="845" t="s">
        <v>794</v>
      </c>
    </row>
    <row r="32" ht="18" customHeight="1" spans="1:23">
      <c r="A32" s="958"/>
      <c r="B32" s="958"/>
      <c r="C32" s="958"/>
      <c r="D32" s="958"/>
      <c r="E32" s="958"/>
      <c r="F32" s="958"/>
      <c r="G32" s="958"/>
      <c r="H32" s="958"/>
      <c r="I32" s="958"/>
      <c r="J32" s="958"/>
      <c r="K32" s="958"/>
      <c r="L32" s="958"/>
      <c r="M32" s="958"/>
      <c r="N32" s="958"/>
      <c r="O32" s="958"/>
      <c r="P32" s="845" t="s">
        <v>742</v>
      </c>
      <c r="Q32" s="845" t="s">
        <v>795</v>
      </c>
    </row>
    <row r="33" ht="18" customHeight="1" spans="1:19">
      <c r="A33" s="958"/>
      <c r="B33" s="958"/>
      <c r="C33" s="958"/>
      <c r="D33" s="958"/>
      <c r="E33" s="958"/>
      <c r="F33" s="958"/>
      <c r="G33" s="958"/>
      <c r="H33" s="958"/>
      <c r="I33" s="958"/>
      <c r="J33" s="958"/>
      <c r="K33" s="958"/>
      <c r="L33" s="958"/>
      <c r="M33" s="958"/>
      <c r="N33" s="958"/>
      <c r="O33" s="958"/>
      <c r="P33" s="845" t="s">
        <v>767</v>
      </c>
      <c r="Q33" s="845" t="s">
        <v>795</v>
      </c>
    </row>
    <row r="34" ht="15.6" customHeight="1" spans="1:19">
      <c r="A34" s="958"/>
      <c r="B34" s="958"/>
      <c r="C34" s="958"/>
      <c r="D34" s="958"/>
      <c r="E34" s="958"/>
      <c r="F34" s="958"/>
      <c r="G34" s="958"/>
      <c r="H34" s="958"/>
      <c r="I34" s="958"/>
      <c r="J34" s="958"/>
      <c r="K34" s="958">
        <f>SUM(K4:K33)</f>
        <v>0</v>
      </c>
      <c r="L34" s="958">
        <f>SUM(L4:L33)</f>
        <v>0</v>
      </c>
      <c r="M34" s="958">
        <f>SUM(M4:M33)</f>
        <v>0</v>
      </c>
      <c r="N34" s="958"/>
      <c r="O34" s="958"/>
      <c r="P34" s="433" t="s">
        <v>796</v>
      </c>
      <c r="Q34" s="433" t="s">
        <v>794</v>
      </c>
    </row>
    <row r="35" spans="1:19">
      <c r="M35" s="433">
        <f>SUM(M4:M34)</f>
        <v>0</v>
      </c>
      <c r="P35" s="433" t="s">
        <v>797</v>
      </c>
      <c r="Q35" s="433" t="s">
        <v>786</v>
      </c>
    </row>
    <row r="36" spans="1:19">
      <c r="P36" s="433" t="s">
        <v>797</v>
      </c>
      <c r="Q36" s="433" t="s">
        <v>798</v>
      </c>
    </row>
    <row r="37" spans="1:19">
      <c r="P37" s="433" t="s">
        <v>796</v>
      </c>
      <c r="Q37" s="433" t="s">
        <v>11</v>
      </c>
    </row>
    <row r="38" spans="1:19">
      <c r="R38" s="433">
        <f>SUM(R9:R37)</f>
        <v>0</v>
      </c>
      <c r="S38" s="433">
        <f>SUBTOTAL(9,S9:S37)</f>
        <v>0</v>
      </c>
    </row>
  </sheetData>
  <mergeCells count="6">
    <mergeCell ref="A1:O1"/>
    <mergeCell ref="A2:O2"/>
    <mergeCell ref="R4:R7"/>
    <mergeCell ref="S4:S7"/>
    <mergeCell ref="T4:T7"/>
    <mergeCell ref="U4:U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379"/>
  <sheetViews>
    <sheetView workbookViewId="0">
      <pane xSplit="2" ySplit="136" topLeftCell="C137" activePane="bottomRight" state="frozen"/>
      <selection/>
      <selection pane="topRight"/>
      <selection pane="bottomLeft"/>
      <selection pane="bottomRight" activeCell="A1" sqref="A1"/>
    </sheetView>
  </sheetViews>
  <sheetFormatPr defaultColWidth="9" defaultRowHeight="16.8"/>
  <cols>
    <col min="1" max="1" width="4.44230769230769" customWidth="1"/>
    <col min="2" max="2" width="10.4423076923077" customWidth="1"/>
    <col min="3" max="3" width="13.4423076923077" customWidth="1"/>
    <col min="4" max="4" width="16.4423076923077" customWidth="1"/>
    <col min="5" max="5" width="10" customWidth="1"/>
    <col min="6" max="6" width="11.4423076923077" customWidth="1"/>
    <col min="7" max="7" width="12.4423076923077" customWidth="1"/>
    <col min="8" max="8" width="11.1153846153846" customWidth="1"/>
    <col min="9" max="9" width="17.4423076923077" customWidth="1"/>
    <col min="10" max="10" width="21" customWidth="1"/>
    <col min="11" max="11" width="13.4423076923077" customWidth="1"/>
    <col min="12" max="12" width="25.4423076923077" customWidth="1"/>
    <col min="13" max="13" width="11" customWidth="1"/>
    <col min="14" max="14" width="12" customWidth="1"/>
    <col min="15" max="16" width="9" customWidth="1"/>
    <col min="17" max="17" width="13" customWidth="1"/>
    <col min="18" max="18" width="14" customWidth="1"/>
    <col min="19" max="19" width="10" customWidth="1"/>
    <col min="22" max="22" width="11.4423076923077" customWidth="1"/>
    <col min="23" max="23" width="12.4423076923077" customWidth="1"/>
    <col min="24" max="24" width="12.1153846153846" customWidth="1"/>
    <col min="25" max="25" width="13.8846153846154" customWidth="1"/>
    <col min="26" max="26" width="10" customWidth="1"/>
    <col min="27" max="27" width="13.4423076923077" customWidth="1"/>
    <col min="28" max="28" width="10.4423076923077" customWidth="1"/>
    <col min="29" max="29" width="21.4423076923077" customWidth="1"/>
    <col min="30" max="30" width="4" customWidth="1"/>
    <col min="31" max="31" width="4.44230769230769" customWidth="1"/>
    <col min="32" max="32" width="3.44230769230769" customWidth="1"/>
    <col min="33" max="33" width="10.3365384615385" customWidth="1"/>
    <col min="34" max="34" width="13" customWidth="1"/>
    <col min="35" max="37" width="10.3365384615385" customWidth="1"/>
    <col min="40" max="40" width="13.8846153846154" customWidth="1"/>
    <col min="41" max="41" width="10.3365384615385" customWidth="1"/>
    <col min="43" max="43" width="10.3365384615385" customWidth="1"/>
    <col min="44" max="44" width="18.4423076923077" customWidth="1"/>
    <col min="45" max="45" width="11.8846153846154" customWidth="1"/>
    <col min="46" max="46" width="18.4423076923077" customWidth="1"/>
    <col min="47" max="47" width="9.88461538461538" customWidth="1"/>
    <col min="48" max="48" width="11.4423076923077" customWidth="1"/>
    <col min="49" max="49" width="9.88461538461538" customWidth="1"/>
    <col min="51" max="51" width="15" customWidth="1"/>
    <col min="52" max="52" width="14.4423076923077" customWidth="1"/>
    <col min="53" max="53" width="13.8846153846154" customWidth="1"/>
    <col min="54" max="54" width="9.88461538461538" customWidth="1"/>
    <col min="55" max="55" width="11.1153846153846" customWidth="1"/>
    <col min="56" max="56" width="12" customWidth="1"/>
    <col min="57" max="57" width="19.4423076923077" customWidth="1"/>
    <col min="58" max="58" width="14.8846153846154" customWidth="1"/>
    <col min="59" max="59" width="12.4423076923077" customWidth="1"/>
    <col min="60" max="60" width="13.4423076923077" customWidth="1"/>
    <col min="61" max="61" width="14.4423076923077" customWidth="1"/>
    <col min="62" max="62" width="9" customWidth="1"/>
  </cols>
  <sheetData>
    <row r="1" ht="14.1" customHeight="1" spans="1:61">
      <c r="R1" s="616"/>
      <c r="S1" s="616"/>
      <c r="T1" s="616"/>
      <c r="U1" s="616"/>
      <c r="V1" s="616"/>
      <c r="W1" s="616"/>
      <c r="X1" s="616"/>
      <c r="Y1" s="616"/>
      <c r="Z1" s="616"/>
      <c r="AA1" s="616"/>
      <c r="AB1" s="616"/>
      <c r="AC1" s="616"/>
      <c r="AD1" s="691"/>
      <c r="AE1" s="691"/>
      <c r="AF1" s="691"/>
      <c r="AG1" s="692" t="s">
        <v>161</v>
      </c>
      <c r="AH1" s="693" t="s">
        <v>11</v>
      </c>
      <c r="AI1" s="694" t="s">
        <v>799</v>
      </c>
      <c r="AJ1" s="695"/>
      <c r="AK1" s="696"/>
      <c r="AL1" s="697" t="s">
        <v>800</v>
      </c>
      <c r="AM1" s="695"/>
      <c r="AN1" s="696"/>
      <c r="AO1" s="694" t="s">
        <v>801</v>
      </c>
      <c r="AP1" s="696"/>
      <c r="AQ1" s="698" t="s">
        <v>310</v>
      </c>
    </row>
    <row r="2" ht="15.75" customHeight="1" spans="1:61">
      <c r="R2" s="616"/>
      <c r="S2" s="616"/>
      <c r="T2" s="616"/>
      <c r="U2" s="616"/>
      <c r="V2" s="616"/>
      <c r="W2" s="616"/>
      <c r="X2" s="616"/>
      <c r="Y2" s="616"/>
      <c r="Z2" s="616"/>
      <c r="AA2" s="616"/>
      <c r="AB2" s="616"/>
      <c r="AC2" s="616"/>
      <c r="AD2" s="691"/>
      <c r="AE2" s="691"/>
      <c r="AF2" s="691"/>
      <c r="AG2" s="699"/>
      <c r="AH2" s="700"/>
      <c r="AI2" s="701" t="s">
        <v>802</v>
      </c>
      <c r="AJ2" s="701" t="s">
        <v>803</v>
      </c>
      <c r="AK2" s="702" t="s">
        <v>155</v>
      </c>
      <c r="AL2" s="703" t="s">
        <v>804</v>
      </c>
      <c r="AM2" s="704" t="s">
        <v>805</v>
      </c>
      <c r="AN2" s="705" t="s">
        <v>806</v>
      </c>
      <c r="AO2" s="701" t="s">
        <v>807</v>
      </c>
      <c r="AP2" s="705" t="s">
        <v>808</v>
      </c>
      <c r="AQ2" s="706" t="s">
        <v>809</v>
      </c>
    </row>
    <row r="3" ht="23.25" customHeight="1" spans="1:61">
      <c r="A3" s="707" t="s">
        <v>810</v>
      </c>
      <c r="R3" s="616"/>
      <c r="S3" s="616"/>
      <c r="T3" s="616"/>
      <c r="U3" s="616"/>
      <c r="V3" s="616"/>
      <c r="W3" s="616"/>
      <c r="X3" s="616"/>
      <c r="Y3" s="616"/>
      <c r="Z3" s="616"/>
      <c r="AA3" s="616"/>
      <c r="AB3" s="616"/>
      <c r="AC3" s="616"/>
      <c r="AD3" s="691"/>
      <c r="AE3" s="691"/>
      <c r="AF3" s="691"/>
      <c r="AG3" s="708" t="s">
        <v>186</v>
      </c>
      <c r="AH3" s="709" t="s">
        <v>168</v>
      </c>
      <c r="AI3" s="710"/>
      <c r="AJ3" s="710"/>
      <c r="AK3" s="711">
        <f t="shared" ref="AK3:AK10" si="0">IF((AJ3-AI3)&gt;=0,0,IF(AJ3=1,-200,-400))</f>
        <v>0</v>
      </c>
      <c r="AL3" s="712"/>
      <c r="AM3" s="713"/>
      <c r="AN3" s="714">
        <f t="shared" ref="AN3:AN10" si="1">IF(AL3&gt;=0.67,1.1,IF(AL3&gt;=0.6,1,IF(AL3&gt;=0.45,0.9,0.8)))</f>
        <v>0.8</v>
      </c>
      <c r="AO3" s="715"/>
      <c r="AP3" s="714"/>
      <c r="AR3" s="716" t="e">
        <f t="shared" ref="AR3:AR66" si="2">INDEX(B:B,MATCH(AH3,B:B,0))</f>
        <v>#N/A</v>
      </c>
    </row>
    <row r="4" ht="41" spans="1:61">
      <c r="A4" s="717" t="s">
        <v>303</v>
      </c>
      <c r="B4" s="718" t="s">
        <v>143</v>
      </c>
      <c r="C4" s="718" t="s">
        <v>811</v>
      </c>
      <c r="D4" s="719" t="s">
        <v>155</v>
      </c>
      <c r="E4" s="719" t="s">
        <v>812</v>
      </c>
      <c r="F4" s="720" t="s">
        <v>813</v>
      </c>
      <c r="G4" s="721" t="s">
        <v>814</v>
      </c>
      <c r="H4" s="721" t="s">
        <v>374</v>
      </c>
      <c r="I4" s="722" t="s">
        <v>374</v>
      </c>
      <c r="J4" s="723" t="s">
        <v>815</v>
      </c>
      <c r="K4" s="724"/>
      <c r="L4" s="725" t="s">
        <v>816</v>
      </c>
      <c r="M4" s="726"/>
      <c r="N4" s="726"/>
      <c r="R4" s="616"/>
      <c r="S4" s="616"/>
      <c r="T4" s="616"/>
      <c r="U4" s="616"/>
      <c r="V4" s="616"/>
      <c r="W4" s="616"/>
      <c r="X4" s="616"/>
      <c r="Y4" s="616"/>
      <c r="Z4" s="616"/>
      <c r="AA4" s="616"/>
      <c r="AB4" s="616"/>
      <c r="AC4" s="616"/>
      <c r="AD4" s="691"/>
      <c r="AE4" s="691"/>
      <c r="AF4" s="691"/>
      <c r="AG4" s="727"/>
      <c r="AH4" s="728" t="s">
        <v>167</v>
      </c>
      <c r="AI4" s="729"/>
      <c r="AJ4" s="729"/>
      <c r="AK4" s="730">
        <f t="shared" si="0"/>
        <v>0</v>
      </c>
      <c r="AL4" s="731"/>
      <c r="AM4" s="732"/>
      <c r="AN4" s="733">
        <f t="shared" si="1"/>
        <v>0.8</v>
      </c>
      <c r="AO4" s="734"/>
      <c r="AP4" s="733"/>
      <c r="AR4" s="716" t="e">
        <f t="shared" si="2"/>
        <v>#N/A</v>
      </c>
      <c r="BG4" s="735" t="s">
        <v>817</v>
      </c>
    </row>
    <row r="5" spans="1:61">
      <c r="A5" s="736"/>
      <c r="B5" s="737"/>
      <c r="C5" s="738"/>
      <c r="D5" s="739"/>
      <c r="E5" s="739">
        <f t="shared" ref="E5:E49" si="3">SUMIF(AH:AH,B5,AK:AK)</f>
        <v>0</v>
      </c>
      <c r="F5" s="740"/>
      <c r="G5" s="741"/>
      <c r="H5" s="742"/>
      <c r="I5" s="741"/>
      <c r="J5" s="743"/>
      <c r="K5" s="744"/>
      <c r="L5" s="745">
        <f t="shared" ref="L5:L49" si="4">SUM(C5:K5)-SUM(J5:K5)</f>
        <v>0</v>
      </c>
      <c r="M5" s="746"/>
      <c r="N5" s="747" t="e">
        <f t="shared" ref="N5:N68" si="5">INDEX(AK:AK,MATCH(B5,AH:AH,0))-E5</f>
        <v>#N/A</v>
      </c>
      <c r="O5" s="746"/>
      <c r="P5" s="616"/>
      <c r="Q5" s="616"/>
      <c r="R5" s="616"/>
      <c r="S5" s="616"/>
      <c r="T5" s="616"/>
      <c r="U5" s="616"/>
      <c r="V5" s="616"/>
      <c r="W5" s="616"/>
      <c r="X5" s="616"/>
      <c r="Y5" s="616"/>
      <c r="Z5" s="616"/>
      <c r="AA5" s="616"/>
      <c r="AB5" s="616"/>
      <c r="AC5" s="616"/>
      <c r="AD5" s="691"/>
      <c r="AE5" s="691"/>
      <c r="AF5" s="691"/>
      <c r="AG5" s="727"/>
      <c r="AH5" s="728" t="s">
        <v>169</v>
      </c>
      <c r="AI5" s="729"/>
      <c r="AJ5" s="729"/>
      <c r="AK5" s="730">
        <f t="shared" si="0"/>
        <v>0</v>
      </c>
      <c r="AL5" s="731"/>
      <c r="AM5" s="732"/>
      <c r="AN5" s="733">
        <f t="shared" si="1"/>
        <v>0.8</v>
      </c>
      <c r="AO5" s="734"/>
      <c r="AP5" s="733"/>
      <c r="AR5" s="716" t="e">
        <f t="shared" si="2"/>
        <v>#N/A</v>
      </c>
      <c r="AS5" s="716"/>
      <c r="AT5" s="748"/>
      <c r="BH5" s="749" t="s">
        <v>818</v>
      </c>
      <c r="BI5" s="749" t="s">
        <v>819</v>
      </c>
    </row>
    <row r="6" spans="1:61">
      <c r="A6" s="750"/>
      <c r="B6" s="737"/>
      <c r="C6" s="738"/>
      <c r="D6" s="738"/>
      <c r="E6" s="739">
        <f t="shared" si="3"/>
        <v>0</v>
      </c>
      <c r="F6" s="751"/>
      <c r="G6" s="752"/>
      <c r="H6" s="753"/>
      <c r="I6" s="752"/>
      <c r="J6" s="743"/>
      <c r="K6" s="754"/>
      <c r="L6" s="755">
        <f t="shared" si="4"/>
        <v>0</v>
      </c>
      <c r="M6" s="746"/>
      <c r="N6" s="747" t="e">
        <f t="shared" si="5"/>
        <v>#N/A</v>
      </c>
      <c r="O6" s="746"/>
      <c r="P6" s="616"/>
      <c r="Q6" s="616"/>
      <c r="R6" s="616"/>
      <c r="S6" s="616"/>
      <c r="T6" s="616"/>
      <c r="U6" s="616"/>
      <c r="V6" s="616"/>
      <c r="W6" s="616"/>
      <c r="X6" s="616"/>
      <c r="Y6" s="616"/>
      <c r="Z6" s="616"/>
      <c r="AA6" s="616"/>
      <c r="AB6" s="616"/>
      <c r="AC6" s="616"/>
      <c r="AD6" s="691"/>
      <c r="AE6" s="691"/>
      <c r="AF6" s="691"/>
      <c r="AG6" s="727"/>
      <c r="AH6" s="728" t="s">
        <v>170</v>
      </c>
      <c r="AI6" s="729"/>
      <c r="AJ6" s="729"/>
      <c r="AK6" s="730">
        <f t="shared" si="0"/>
        <v>0</v>
      </c>
      <c r="AL6" s="731"/>
      <c r="AM6" s="732"/>
      <c r="AN6" s="733">
        <f t="shared" si="1"/>
        <v>0.8</v>
      </c>
      <c r="AO6" s="734"/>
      <c r="AP6" s="733"/>
      <c r="AR6" s="716" t="e">
        <f t="shared" si="2"/>
        <v>#N/A</v>
      </c>
      <c r="AS6" s="716"/>
      <c r="AT6" s="748"/>
      <c r="BG6" s="749" t="s">
        <v>660</v>
      </c>
      <c r="BH6" s="746"/>
      <c r="BI6" s="746"/>
    </row>
    <row r="7" spans="1:61">
      <c r="A7" s="750"/>
      <c r="B7" s="737"/>
      <c r="C7" s="738"/>
      <c r="D7" s="738"/>
      <c r="E7" s="739">
        <f t="shared" si="3"/>
        <v>0</v>
      </c>
      <c r="F7" s="751"/>
      <c r="G7" s="752"/>
      <c r="H7" s="753"/>
      <c r="I7" s="752"/>
      <c r="J7" s="743"/>
      <c r="K7" s="756"/>
      <c r="L7" s="755">
        <f t="shared" si="4"/>
        <v>0</v>
      </c>
      <c r="M7" s="746"/>
      <c r="N7" s="747" t="e">
        <f t="shared" si="5"/>
        <v>#N/A</v>
      </c>
      <c r="O7" s="746"/>
      <c r="P7" s="616"/>
      <c r="Q7" s="616"/>
      <c r="R7" s="616"/>
      <c r="S7" s="616"/>
      <c r="T7" s="616"/>
      <c r="U7" s="616"/>
      <c r="V7" s="616"/>
      <c r="W7" s="616"/>
      <c r="X7" s="616"/>
      <c r="Y7" s="616"/>
      <c r="Z7" s="616"/>
      <c r="AA7" s="616"/>
      <c r="AB7" s="616"/>
      <c r="AC7" s="616"/>
      <c r="AD7" s="691"/>
      <c r="AE7" s="691"/>
      <c r="AF7" s="691"/>
      <c r="AG7" s="727"/>
      <c r="AH7" s="728" t="s">
        <v>171</v>
      </c>
      <c r="AI7" s="729"/>
      <c r="AJ7" s="729"/>
      <c r="AK7" s="730">
        <f t="shared" si="0"/>
        <v>0</v>
      </c>
      <c r="AL7" s="731"/>
      <c r="AM7" s="732"/>
      <c r="AN7" s="733">
        <f t="shared" si="1"/>
        <v>0.8</v>
      </c>
      <c r="AO7" s="734"/>
      <c r="AP7" s="733"/>
      <c r="AR7" s="716" t="e">
        <f t="shared" si="2"/>
        <v>#N/A</v>
      </c>
      <c r="AS7" s="757"/>
      <c r="AT7" s="748"/>
      <c r="BG7" s="749" t="s">
        <v>263</v>
      </c>
      <c r="BH7" s="746"/>
      <c r="BI7" s="746"/>
    </row>
    <row r="8" ht="26" spans="1:61">
      <c r="A8" s="750"/>
      <c r="B8" s="737"/>
      <c r="C8" s="738"/>
      <c r="D8" s="738"/>
      <c r="E8" s="739">
        <f t="shared" si="3"/>
        <v>0</v>
      </c>
      <c r="F8" s="751"/>
      <c r="G8" s="752"/>
      <c r="H8" s="753"/>
      <c r="I8" s="752"/>
      <c r="J8" s="743"/>
      <c r="K8" s="754"/>
      <c r="L8" s="755">
        <f t="shared" si="4"/>
        <v>0</v>
      </c>
      <c r="M8" s="746"/>
      <c r="N8" s="747" t="e">
        <f t="shared" si="5"/>
        <v>#N/A</v>
      </c>
      <c r="O8" s="746"/>
      <c r="P8" s="616"/>
      <c r="Q8" s="616"/>
      <c r="R8" s="616"/>
      <c r="S8" s="616"/>
      <c r="T8" s="616"/>
      <c r="U8" s="616"/>
      <c r="V8" s="616"/>
      <c r="W8" s="616"/>
      <c r="X8" s="616"/>
      <c r="Y8" s="616"/>
      <c r="Z8" s="616"/>
      <c r="AA8" s="616"/>
      <c r="AB8" s="616"/>
      <c r="AC8" s="616"/>
      <c r="AD8" s="691"/>
      <c r="AE8" s="691"/>
      <c r="AF8" s="691"/>
      <c r="AG8" s="727"/>
      <c r="AH8" s="728" t="s">
        <v>173</v>
      </c>
      <c r="AI8" s="729"/>
      <c r="AJ8" s="729"/>
      <c r="AK8" s="730">
        <f t="shared" si="0"/>
        <v>0</v>
      </c>
      <c r="AL8" s="731"/>
      <c r="AM8" s="732"/>
      <c r="AN8" s="733">
        <f t="shared" si="1"/>
        <v>0.8</v>
      </c>
      <c r="AO8" s="734"/>
      <c r="AP8" s="733"/>
      <c r="AR8" s="716" t="e">
        <f t="shared" si="2"/>
        <v>#N/A</v>
      </c>
      <c r="AS8" s="452"/>
      <c r="AT8" s="758"/>
      <c r="AU8" s="609"/>
      <c r="AV8" s="609"/>
      <c r="AW8" s="609"/>
      <c r="AX8" s="609"/>
      <c r="AY8" s="609"/>
      <c r="AZ8" s="609"/>
      <c r="BA8" s="609"/>
      <c r="BB8" s="609"/>
      <c r="BC8" s="609"/>
      <c r="BD8" s="609"/>
      <c r="BE8" s="609"/>
      <c r="BG8" s="749" t="s">
        <v>645</v>
      </c>
      <c r="BH8" s="746"/>
      <c r="BI8" s="746"/>
    </row>
    <row r="9" ht="26" spans="1:61">
      <c r="A9" s="750"/>
      <c r="B9" s="737"/>
      <c r="C9" s="738"/>
      <c r="D9" s="738"/>
      <c r="E9" s="739">
        <f t="shared" si="3"/>
        <v>0</v>
      </c>
      <c r="F9" s="751"/>
      <c r="G9" s="752"/>
      <c r="H9" s="753"/>
      <c r="I9" s="752"/>
      <c r="J9" s="743"/>
      <c r="K9" s="754"/>
      <c r="L9" s="755">
        <f t="shared" si="4"/>
        <v>0</v>
      </c>
      <c r="M9" s="746"/>
      <c r="N9" s="747" t="e">
        <f t="shared" si="5"/>
        <v>#N/A</v>
      </c>
      <c r="O9" s="746"/>
      <c r="P9" s="616"/>
      <c r="Q9" s="616"/>
      <c r="R9" s="616"/>
      <c r="S9" s="616"/>
      <c r="T9" s="616"/>
      <c r="U9" s="616"/>
      <c r="V9" s="616"/>
      <c r="W9" s="616"/>
      <c r="X9" s="616"/>
      <c r="Y9" s="616"/>
      <c r="Z9" s="616"/>
      <c r="AA9" s="616"/>
      <c r="AB9" s="616"/>
      <c r="AC9" s="616"/>
      <c r="AD9" s="691"/>
      <c r="AE9" s="691"/>
      <c r="AF9" s="691"/>
      <c r="AG9" s="727"/>
      <c r="AH9" s="728" t="s">
        <v>166</v>
      </c>
      <c r="AI9" s="729"/>
      <c r="AJ9" s="729"/>
      <c r="AK9" s="730">
        <f t="shared" si="0"/>
        <v>0</v>
      </c>
      <c r="AL9" s="731"/>
      <c r="AM9" s="732"/>
      <c r="AN9" s="733">
        <f t="shared" si="1"/>
        <v>0.8</v>
      </c>
      <c r="AO9" s="734"/>
      <c r="AP9" s="733"/>
      <c r="AR9" s="716" t="e">
        <f t="shared" si="2"/>
        <v>#N/A</v>
      </c>
      <c r="AS9" s="452"/>
      <c r="AT9" s="758" t="s">
        <v>820</v>
      </c>
      <c r="AU9" s="609"/>
      <c r="AV9" s="609"/>
      <c r="AW9" s="609"/>
      <c r="AX9" s="609"/>
      <c r="AY9" s="609"/>
      <c r="AZ9" s="609"/>
      <c r="BA9" s="609"/>
      <c r="BB9" s="609"/>
      <c r="BC9" s="609"/>
      <c r="BD9" s="609"/>
      <c r="BE9" s="609"/>
      <c r="BG9" s="749" t="s">
        <v>249</v>
      </c>
      <c r="BH9" s="746"/>
      <c r="BI9" s="746"/>
    </row>
    <row r="10" ht="46" spans="1:61">
      <c r="A10" s="750"/>
      <c r="B10" s="737"/>
      <c r="C10" s="738"/>
      <c r="D10" s="738"/>
      <c r="E10" s="739">
        <f t="shared" si="3"/>
        <v>0</v>
      </c>
      <c r="F10" s="751"/>
      <c r="G10" s="752"/>
      <c r="H10" s="753"/>
      <c r="I10" s="752"/>
      <c r="J10" s="743"/>
      <c r="K10" s="754"/>
      <c r="L10" s="755">
        <f t="shared" si="4"/>
        <v>0</v>
      </c>
      <c r="M10" s="746"/>
      <c r="N10" s="747" t="e">
        <f t="shared" si="5"/>
        <v>#N/A</v>
      </c>
      <c r="O10" s="746"/>
      <c r="P10" s="616"/>
      <c r="Q10" s="616"/>
      <c r="R10" s="617" t="s">
        <v>821</v>
      </c>
      <c r="V10" s="620" t="s">
        <v>822</v>
      </c>
      <c r="AA10" s="616"/>
      <c r="AB10" s="616"/>
      <c r="AC10" s="616"/>
      <c r="AD10" s="691"/>
      <c r="AE10" s="691"/>
      <c r="AF10" s="691"/>
      <c r="AG10" s="727"/>
      <c r="AH10" s="728" t="s">
        <v>172</v>
      </c>
      <c r="AI10" s="729"/>
      <c r="AJ10" s="729"/>
      <c r="AK10" s="730">
        <f t="shared" si="0"/>
        <v>0</v>
      </c>
      <c r="AL10" s="731"/>
      <c r="AM10" s="732"/>
      <c r="AN10" s="733">
        <f t="shared" si="1"/>
        <v>0.8</v>
      </c>
      <c r="AO10" s="734"/>
      <c r="AP10" s="733"/>
      <c r="AR10" s="716" t="e">
        <f t="shared" si="2"/>
        <v>#N/A</v>
      </c>
      <c r="AS10" s="759" t="s">
        <v>725</v>
      </c>
      <c r="AT10" s="760" t="s">
        <v>823</v>
      </c>
      <c r="AU10" s="761" t="s">
        <v>466</v>
      </c>
      <c r="AV10" s="761" t="s">
        <v>158</v>
      </c>
      <c r="AW10" s="760" t="s">
        <v>824</v>
      </c>
      <c r="AX10" s="762" t="s">
        <v>825</v>
      </c>
      <c r="AY10" s="760" t="s">
        <v>158</v>
      </c>
      <c r="AZ10" s="761" t="s">
        <v>632</v>
      </c>
      <c r="BA10" s="761" t="s">
        <v>826</v>
      </c>
      <c r="BB10" s="759" t="s">
        <v>827</v>
      </c>
      <c r="BC10" s="762" t="s">
        <v>828</v>
      </c>
      <c r="BD10" s="762" t="s">
        <v>829</v>
      </c>
      <c r="BE10" s="763" t="s">
        <v>830</v>
      </c>
      <c r="BG10" s="749" t="s">
        <v>667</v>
      </c>
      <c r="BH10" s="746"/>
      <c r="BI10" s="746"/>
    </row>
    <row r="11" ht="34" spans="1:61">
      <c r="A11" s="750"/>
      <c r="B11" s="737"/>
      <c r="C11" s="738"/>
      <c r="D11" s="738"/>
      <c r="E11" s="739">
        <f t="shared" si="3"/>
        <v>0</v>
      </c>
      <c r="F11" s="764"/>
      <c r="G11" s="752"/>
      <c r="H11" s="753"/>
      <c r="I11" s="752"/>
      <c r="J11" s="743"/>
      <c r="K11" s="754"/>
      <c r="L11" s="755">
        <f t="shared" si="4"/>
        <v>0</v>
      </c>
      <c r="M11" s="746"/>
      <c r="N11" s="747" t="e">
        <f t="shared" si="5"/>
        <v>#N/A</v>
      </c>
      <c r="O11" s="765"/>
      <c r="P11" s="765" t="s">
        <v>434</v>
      </c>
      <c r="Q11" s="765" t="s">
        <v>221</v>
      </c>
      <c r="R11" s="766" t="s">
        <v>436</v>
      </c>
      <c r="S11" s="766" t="s">
        <v>831</v>
      </c>
      <c r="T11" s="766" t="s">
        <v>561</v>
      </c>
      <c r="U11" s="766" t="s">
        <v>832</v>
      </c>
      <c r="V11" s="766" t="s">
        <v>158</v>
      </c>
      <c r="W11" s="766" t="s">
        <v>561</v>
      </c>
      <c r="X11" s="766" t="s">
        <v>833</v>
      </c>
      <c r="Y11" s="766" t="s">
        <v>374</v>
      </c>
      <c r="Z11" s="766" t="s">
        <v>834</v>
      </c>
      <c r="AA11" s="766" t="s">
        <v>835</v>
      </c>
      <c r="AB11" s="766" t="s">
        <v>836</v>
      </c>
      <c r="AC11" s="766" t="s">
        <v>310</v>
      </c>
      <c r="AD11" s="691"/>
      <c r="AE11" s="691"/>
      <c r="AF11" s="691"/>
      <c r="AG11" s="727"/>
      <c r="AH11" s="728"/>
      <c r="AI11" s="729"/>
      <c r="AJ11" s="729"/>
      <c r="AK11" s="730"/>
      <c r="AL11" s="731"/>
      <c r="AM11" s="732"/>
      <c r="AN11" s="733"/>
      <c r="AO11" s="734"/>
      <c r="AP11" s="733"/>
      <c r="AR11" s="716" t="e">
        <f t="shared" si="2"/>
        <v>#N/A</v>
      </c>
      <c r="AS11" s="767" t="s">
        <v>837</v>
      </c>
      <c r="AT11" s="768"/>
      <c r="AU11" s="768"/>
      <c r="AV11" s="768">
        <f>AU11*AT11</f>
        <v>0</v>
      </c>
      <c r="AW11" s="769"/>
      <c r="AX11" s="770"/>
      <c r="AY11" s="768">
        <f>AW11*AX11</f>
        <v>0</v>
      </c>
      <c r="AZ11" s="771"/>
      <c r="BA11" s="771"/>
      <c r="BB11" s="767"/>
      <c r="BC11" s="771">
        <f>($AV$11+$AY$11)*BB11</f>
        <v>0</v>
      </c>
      <c r="BD11" s="771"/>
      <c r="BE11" s="772"/>
      <c r="BG11" s="749" t="s">
        <v>838</v>
      </c>
      <c r="BH11" s="746"/>
      <c r="BI11" s="746"/>
    </row>
    <row r="12" spans="1:61">
      <c r="A12" s="750"/>
      <c r="B12" s="737"/>
      <c r="C12" s="738"/>
      <c r="D12" s="738"/>
      <c r="E12" s="739">
        <f t="shared" si="3"/>
        <v>0</v>
      </c>
      <c r="F12" s="764"/>
      <c r="G12" s="752"/>
      <c r="H12" s="753"/>
      <c r="I12" s="752"/>
      <c r="J12" s="743"/>
      <c r="K12" s="754"/>
      <c r="L12" s="755">
        <f t="shared" si="4"/>
        <v>0</v>
      </c>
      <c r="M12" s="746"/>
      <c r="N12" s="747" t="e">
        <f t="shared" si="5"/>
        <v>#N/A</v>
      </c>
      <c r="O12" s="773"/>
      <c r="P12" s="773" t="s">
        <v>839</v>
      </c>
      <c r="Q12" s="773" t="s">
        <v>840</v>
      </c>
      <c r="R12" s="773"/>
      <c r="S12" s="773"/>
      <c r="T12" s="773"/>
      <c r="U12" s="773"/>
      <c r="V12" s="773"/>
      <c r="W12" s="774"/>
      <c r="X12" s="774"/>
      <c r="Y12" s="774"/>
      <c r="Z12" s="774">
        <f>SUM(W12:Y12)</f>
        <v>0</v>
      </c>
      <c r="AA12" s="774">
        <f>Z12+R12+S12</f>
        <v>0</v>
      </c>
      <c r="AB12" s="775" t="s">
        <v>327</v>
      </c>
      <c r="AC12" s="775"/>
      <c r="AD12" s="691"/>
      <c r="AE12" s="691"/>
      <c r="AF12" s="691"/>
      <c r="AG12" s="727"/>
      <c r="AH12" s="728"/>
      <c r="AI12" s="729"/>
      <c r="AJ12" s="729"/>
      <c r="AK12" s="730"/>
      <c r="AL12" s="731"/>
      <c r="AM12" s="732"/>
      <c r="AN12" s="733"/>
      <c r="AO12" s="734"/>
      <c r="AP12" s="733"/>
      <c r="AR12" s="716" t="e">
        <f t="shared" si="2"/>
        <v>#N/A</v>
      </c>
      <c r="AS12" s="767" t="s">
        <v>841</v>
      </c>
      <c r="AT12" s="317"/>
      <c r="AU12" s="317"/>
      <c r="AV12" s="317"/>
      <c r="AW12" s="317"/>
      <c r="AX12" s="317"/>
      <c r="AY12" s="317"/>
      <c r="AZ12" s="771"/>
      <c r="BA12" s="771"/>
      <c r="BB12" s="767"/>
      <c r="BC12" s="771">
        <f>($AV$11+$AY$11)*BB12</f>
        <v>0</v>
      </c>
      <c r="BD12" s="771"/>
      <c r="BE12" s="772"/>
      <c r="BG12" s="749" t="s">
        <v>842</v>
      </c>
      <c r="BH12" s="746"/>
      <c r="BI12" s="746"/>
    </row>
    <row r="13" spans="1:61">
      <c r="A13" s="750"/>
      <c r="B13" s="737"/>
      <c r="C13" s="738"/>
      <c r="D13" s="738"/>
      <c r="E13" s="739">
        <f t="shared" si="3"/>
        <v>0</v>
      </c>
      <c r="F13" s="764"/>
      <c r="G13" s="752"/>
      <c r="H13" s="753"/>
      <c r="I13" s="752"/>
      <c r="J13" s="743"/>
      <c r="K13" s="754"/>
      <c r="L13" s="755">
        <f t="shared" si="4"/>
        <v>0</v>
      </c>
      <c r="M13" s="746"/>
      <c r="N13" s="747" t="e">
        <f t="shared" si="5"/>
        <v>#N/A</v>
      </c>
      <c r="O13" s="776"/>
      <c r="P13" s="776" t="s">
        <v>843</v>
      </c>
      <c r="Q13" s="773" t="s">
        <v>844</v>
      </c>
      <c r="R13" s="773"/>
      <c r="S13" s="773"/>
      <c r="T13" s="773"/>
      <c r="U13" s="773"/>
      <c r="V13" s="773"/>
      <c r="W13" s="774"/>
      <c r="X13" s="774">
        <f>V13*U13</f>
        <v>0</v>
      </c>
      <c r="Y13" s="774"/>
      <c r="Z13" s="774">
        <f>SUM(W13:Y13)</f>
        <v>0</v>
      </c>
      <c r="AA13" s="774">
        <f>Z13+R13+S13</f>
        <v>0</v>
      </c>
      <c r="AB13" s="773" t="s">
        <v>845</v>
      </c>
      <c r="AC13" s="775"/>
      <c r="AD13" s="691"/>
      <c r="AE13" s="691"/>
      <c r="AF13" s="691"/>
      <c r="AG13" s="727"/>
      <c r="AH13" s="728"/>
      <c r="AI13" s="729"/>
      <c r="AJ13" s="729"/>
      <c r="AK13" s="730"/>
      <c r="AL13" s="731"/>
      <c r="AM13" s="777"/>
      <c r="AN13" s="733"/>
      <c r="AO13" s="734"/>
      <c r="AP13" s="733"/>
      <c r="AR13" s="716" t="e">
        <f t="shared" si="2"/>
        <v>#N/A</v>
      </c>
      <c r="AS13" s="767" t="s">
        <v>846</v>
      </c>
      <c r="AT13" s="317"/>
      <c r="AU13" s="317"/>
      <c r="AV13" s="317"/>
      <c r="AW13" s="317"/>
      <c r="AX13" s="317"/>
      <c r="AY13" s="317"/>
      <c r="AZ13" s="771"/>
      <c r="BA13" s="771"/>
      <c r="BB13" s="767"/>
      <c r="BC13" s="771">
        <f>($AV$11+$AY$11)*BB13</f>
        <v>0</v>
      </c>
      <c r="BD13" s="771"/>
      <c r="BE13" s="772"/>
      <c r="BG13" s="749" t="s">
        <v>162</v>
      </c>
      <c r="BH13" s="746">
        <f>SUM(BH6:BH12)</f>
        <v>0</v>
      </c>
      <c r="BI13" s="746">
        <f>SUM(BI6:BI12)</f>
        <v>0</v>
      </c>
    </row>
    <row r="14" spans="1:61">
      <c r="A14" s="750"/>
      <c r="B14" s="737"/>
      <c r="C14" s="738"/>
      <c r="D14" s="738"/>
      <c r="E14" s="739">
        <f t="shared" si="3"/>
        <v>0</v>
      </c>
      <c r="F14" s="764"/>
      <c r="G14" s="752"/>
      <c r="H14" s="753"/>
      <c r="I14" s="752"/>
      <c r="J14" s="743"/>
      <c r="K14" s="754"/>
      <c r="L14" s="755">
        <f t="shared" si="4"/>
        <v>0</v>
      </c>
      <c r="M14" s="746"/>
      <c r="N14" s="747" t="e">
        <f t="shared" si="5"/>
        <v>#N/A</v>
      </c>
      <c r="O14" s="776"/>
      <c r="P14" s="776"/>
      <c r="Q14" s="778"/>
      <c r="R14" s="778"/>
      <c r="S14" s="778"/>
      <c r="T14" s="778"/>
      <c r="U14" s="778"/>
      <c r="V14" s="773"/>
      <c r="W14" s="779"/>
      <c r="X14" s="774"/>
      <c r="Y14" s="779"/>
      <c r="Z14" s="774"/>
      <c r="AA14" s="774"/>
      <c r="AB14" s="780"/>
      <c r="AC14" s="776"/>
      <c r="AD14" s="691"/>
      <c r="AE14" s="691"/>
      <c r="AF14" s="691"/>
      <c r="AG14" s="727"/>
      <c r="AH14" s="728"/>
      <c r="AI14" s="729"/>
      <c r="AJ14" s="729"/>
      <c r="AK14" s="730"/>
      <c r="AL14" s="731"/>
      <c r="AM14" s="777"/>
      <c r="AN14" s="733"/>
      <c r="AO14" s="734"/>
      <c r="AP14" s="733"/>
      <c r="AR14" s="716" t="e">
        <f t="shared" si="2"/>
        <v>#N/A</v>
      </c>
      <c r="AS14" s="767" t="s">
        <v>847</v>
      </c>
      <c r="AT14" s="317"/>
      <c r="AU14" s="317"/>
      <c r="AV14" s="317"/>
      <c r="AW14" s="317"/>
      <c r="AX14" s="317"/>
      <c r="AY14" s="317"/>
      <c r="AZ14" s="771"/>
      <c r="BA14" s="771"/>
      <c r="BB14" s="767"/>
      <c r="BC14" s="771">
        <f>($AV$11+$AY$11)*BB14</f>
        <v>0</v>
      </c>
      <c r="BD14" s="771"/>
      <c r="BE14" s="772"/>
      <c r="BF14" s="746"/>
      <c r="BG14" s="746"/>
    </row>
    <row r="15" spans="1:61">
      <c r="A15" s="750"/>
      <c r="B15" s="737"/>
      <c r="C15" s="738"/>
      <c r="D15" s="738"/>
      <c r="E15" s="739">
        <f t="shared" si="3"/>
        <v>0</v>
      </c>
      <c r="F15" s="764"/>
      <c r="G15" s="752"/>
      <c r="H15" s="753"/>
      <c r="I15" s="752"/>
      <c r="J15" s="743"/>
      <c r="K15" s="754"/>
      <c r="L15" s="755">
        <f t="shared" si="4"/>
        <v>0</v>
      </c>
      <c r="M15" s="746"/>
      <c r="N15" s="747" t="e">
        <f t="shared" si="5"/>
        <v>#N/A</v>
      </c>
      <c r="O15" s="773"/>
      <c r="P15" s="773" t="s">
        <v>848</v>
      </c>
      <c r="Q15" s="773" t="s">
        <v>849</v>
      </c>
      <c r="R15" s="773"/>
      <c r="S15" s="773"/>
      <c r="T15" s="773"/>
      <c r="U15" s="773"/>
      <c r="V15" s="773"/>
      <c r="W15" s="774"/>
      <c r="X15" s="774">
        <f>V15*U15</f>
        <v>0</v>
      </c>
      <c r="Y15" s="774"/>
      <c r="Z15" s="774">
        <f t="shared" ref="Z15:Z21" si="6">SUM(W15:Y15)</f>
        <v>0</v>
      </c>
      <c r="AA15" s="774">
        <f t="shared" ref="AA15:AA21" si="7">Z15+R15+S15</f>
        <v>0</v>
      </c>
      <c r="AB15" s="775" t="s">
        <v>850</v>
      </c>
      <c r="AC15" s="775"/>
      <c r="AD15" s="691"/>
      <c r="AE15" s="691"/>
      <c r="AF15" s="691"/>
      <c r="AG15" s="781"/>
      <c r="AH15" s="782" t="s">
        <v>193</v>
      </c>
      <c r="AI15" s="783">
        <f>SUM(AI3:AI14)</f>
        <v>0</v>
      </c>
      <c r="AJ15" s="783">
        <f>SUM(AJ3:AJ14)</f>
        <v>0</v>
      </c>
      <c r="AK15" s="784">
        <f>SUM(AK3:AK14)</f>
        <v>0</v>
      </c>
      <c r="AL15" s="785"/>
      <c r="AM15" s="786"/>
      <c r="AN15" s="787" t="s">
        <v>618</v>
      </c>
      <c r="AO15" s="788">
        <f>SUM(AO3:AO14)/13</f>
        <v>0</v>
      </c>
      <c r="AP15" s="789" t="s">
        <v>618</v>
      </c>
      <c r="AR15" s="716" t="e">
        <f t="shared" si="2"/>
        <v>#N/A</v>
      </c>
      <c r="AS15" s="767" t="s">
        <v>851</v>
      </c>
      <c r="AT15" s="317"/>
      <c r="AU15" s="317"/>
      <c r="AV15" s="317"/>
      <c r="AW15" s="317"/>
      <c r="AX15" s="317"/>
      <c r="AY15" s="317"/>
      <c r="AZ15" s="771"/>
      <c r="BA15" s="771"/>
      <c r="BB15" s="767"/>
      <c r="BC15" s="771">
        <f>($AV$11+$AY$11)*BB15</f>
        <v>0</v>
      </c>
      <c r="BD15" s="771"/>
      <c r="BE15" s="772"/>
      <c r="BF15" s="790"/>
    </row>
    <row r="16" spans="1:61">
      <c r="A16" s="750"/>
      <c r="B16" s="737"/>
      <c r="C16" s="738"/>
      <c r="D16" s="738"/>
      <c r="E16" s="739">
        <f t="shared" si="3"/>
        <v>0</v>
      </c>
      <c r="F16" s="764"/>
      <c r="G16" s="752"/>
      <c r="H16" s="753"/>
      <c r="I16" s="752"/>
      <c r="J16" s="743"/>
      <c r="K16" s="754"/>
      <c r="L16" s="755">
        <f t="shared" si="4"/>
        <v>0</v>
      </c>
      <c r="M16" s="746"/>
      <c r="N16" s="747" t="e">
        <f t="shared" si="5"/>
        <v>#N/A</v>
      </c>
      <c r="O16" s="778"/>
      <c r="P16" s="780" t="s">
        <v>852</v>
      </c>
      <c r="Q16" s="778" t="s">
        <v>844</v>
      </c>
      <c r="R16" s="778"/>
      <c r="S16" s="778"/>
      <c r="T16" s="778"/>
      <c r="U16" s="778"/>
      <c r="V16" s="773"/>
      <c r="W16" s="779"/>
      <c r="X16" s="774">
        <f>V16*U16</f>
        <v>0</v>
      </c>
      <c r="Y16" s="779"/>
      <c r="Z16" s="774">
        <f t="shared" si="6"/>
        <v>0</v>
      </c>
      <c r="AA16" s="774">
        <f t="shared" si="7"/>
        <v>0</v>
      </c>
      <c r="AB16" s="776" t="s">
        <v>332</v>
      </c>
      <c r="AC16" s="776"/>
      <c r="AD16" s="691"/>
      <c r="AE16" s="691"/>
      <c r="AF16" s="691"/>
      <c r="AG16" s="791" t="s">
        <v>194</v>
      </c>
      <c r="AH16" s="792" t="s">
        <v>180</v>
      </c>
      <c r="AI16" s="793"/>
      <c r="AJ16" s="793"/>
      <c r="AK16" s="730">
        <f t="shared" ref="AK16:AK24" si="8">IF((AJ16-AI16)&gt;=0,0,IF(AJ16=1,-200,-400))</f>
        <v>0</v>
      </c>
      <c r="AL16" s="731"/>
      <c r="AM16" s="732"/>
      <c r="AN16" s="733">
        <f t="shared" ref="AN16:AN24" si="9">IF(AL16&gt;=0.67,1.1,IF(AL16&gt;=0.6,1,IF(AL16&gt;=0.45,0.9,0.8)))</f>
        <v>0.8</v>
      </c>
      <c r="AO16" s="794"/>
      <c r="AP16" s="795"/>
      <c r="AR16" s="716" t="e">
        <f t="shared" si="2"/>
        <v>#N/A</v>
      </c>
      <c r="AS16" s="767"/>
      <c r="AT16" s="317"/>
      <c r="AU16" s="317"/>
      <c r="AV16" s="317"/>
      <c r="AW16" s="317"/>
      <c r="AX16" s="317"/>
      <c r="AY16" s="317"/>
      <c r="AZ16" s="771"/>
      <c r="BA16" s="771"/>
      <c r="BB16" s="767"/>
      <c r="BC16" s="771"/>
      <c r="BD16" s="771"/>
      <c r="BE16" s="772"/>
      <c r="BF16" s="796"/>
      <c r="BG16" s="746"/>
    </row>
    <row r="17" spans="1:67">
      <c r="A17" s="750"/>
      <c r="B17" s="737"/>
      <c r="C17" s="738"/>
      <c r="D17" s="738"/>
      <c r="E17" s="739">
        <f t="shared" si="3"/>
        <v>0</v>
      </c>
      <c r="F17" s="764"/>
      <c r="G17" s="752"/>
      <c r="H17" s="753"/>
      <c r="I17" s="752"/>
      <c r="J17" s="743"/>
      <c r="K17" s="754"/>
      <c r="L17" s="755">
        <f t="shared" si="4"/>
        <v>0</v>
      </c>
      <c r="M17" s="746"/>
      <c r="N17" s="747" t="e">
        <f t="shared" si="5"/>
        <v>#N/A</v>
      </c>
      <c r="O17" s="773"/>
      <c r="P17" s="775" t="s">
        <v>853</v>
      </c>
      <c r="Q17" s="773" t="s">
        <v>854</v>
      </c>
      <c r="R17" s="773"/>
      <c r="S17" s="773"/>
      <c r="T17" s="773"/>
      <c r="U17" s="773"/>
      <c r="V17" s="773"/>
      <c r="W17" s="774"/>
      <c r="X17" s="774">
        <f>V17*U17</f>
        <v>0</v>
      </c>
      <c r="Y17" s="779"/>
      <c r="Z17" s="774">
        <f t="shared" si="6"/>
        <v>0</v>
      </c>
      <c r="AA17" s="774">
        <f t="shared" si="7"/>
        <v>0</v>
      </c>
      <c r="AB17" s="775" t="s">
        <v>332</v>
      </c>
      <c r="AC17" s="775"/>
      <c r="AD17" s="691"/>
      <c r="AE17" s="691"/>
      <c r="AF17" s="691"/>
      <c r="AG17" s="797"/>
      <c r="AH17" s="728" t="s">
        <v>176</v>
      </c>
      <c r="AI17" s="729"/>
      <c r="AJ17" s="729"/>
      <c r="AK17" s="730">
        <f t="shared" si="8"/>
        <v>0</v>
      </c>
      <c r="AL17" s="731"/>
      <c r="AM17" s="732"/>
      <c r="AN17" s="733">
        <f t="shared" si="9"/>
        <v>0.8</v>
      </c>
      <c r="AO17" s="734"/>
      <c r="AP17" s="733"/>
      <c r="AR17" s="716" t="e">
        <f t="shared" si="2"/>
        <v>#N/A</v>
      </c>
      <c r="AS17" s="798" t="s">
        <v>162</v>
      </c>
      <c r="AT17" s="772">
        <f t="shared" ref="AT17:BE17" si="10">SUM(AT11:AT16)</f>
        <v>0</v>
      </c>
      <c r="AU17" s="772">
        <f t="shared" si="10"/>
        <v>0</v>
      </c>
      <c r="AV17" s="772">
        <f t="shared" si="10"/>
        <v>0</v>
      </c>
      <c r="AW17" s="772">
        <f t="shared" si="10"/>
        <v>0</v>
      </c>
      <c r="AX17" s="798">
        <f t="shared" si="10"/>
        <v>0</v>
      </c>
      <c r="AY17" s="772">
        <f t="shared" si="10"/>
        <v>0</v>
      </c>
      <c r="AZ17" s="772">
        <f t="shared" si="10"/>
        <v>0</v>
      </c>
      <c r="BA17" s="772">
        <f t="shared" si="10"/>
        <v>0</v>
      </c>
      <c r="BB17" s="772">
        <f t="shared" si="10"/>
        <v>0</v>
      </c>
      <c r="BC17" s="772">
        <f t="shared" si="10"/>
        <v>0</v>
      </c>
      <c r="BD17" s="772">
        <f t="shared" si="10"/>
        <v>0</v>
      </c>
      <c r="BE17" s="772">
        <f t="shared" si="10"/>
        <v>0</v>
      </c>
      <c r="BF17" s="790"/>
      <c r="BG17" s="433"/>
      <c r="BH17" s="433"/>
      <c r="BI17" s="433"/>
      <c r="BJ17" s="433" t="e">
        <f>BH17/BI17</f>
        <v>#DIV/0!</v>
      </c>
      <c r="BK17" s="433"/>
      <c r="BL17" s="433"/>
      <c r="BM17" s="433"/>
      <c r="BN17" s="433"/>
      <c r="BO17" s="433"/>
    </row>
    <row r="18" spans="1:67">
      <c r="A18" s="750"/>
      <c r="B18" s="737"/>
      <c r="C18" s="738"/>
      <c r="D18" s="738"/>
      <c r="E18" s="739">
        <f t="shared" si="3"/>
        <v>0</v>
      </c>
      <c r="F18" s="764"/>
      <c r="G18" s="752"/>
      <c r="H18" s="753"/>
      <c r="I18" s="752"/>
      <c r="J18" s="743"/>
      <c r="K18" s="754"/>
      <c r="L18" s="755">
        <f t="shared" si="4"/>
        <v>0</v>
      </c>
      <c r="M18" s="746"/>
      <c r="N18" s="747" t="e">
        <f t="shared" si="5"/>
        <v>#N/A</v>
      </c>
      <c r="O18" s="775"/>
      <c r="P18" s="775" t="s">
        <v>855</v>
      </c>
      <c r="Q18" s="778" t="s">
        <v>844</v>
      </c>
      <c r="R18" s="773"/>
      <c r="S18" s="773"/>
      <c r="T18" s="773"/>
      <c r="U18" s="773"/>
      <c r="V18" s="773"/>
      <c r="W18" s="774"/>
      <c r="X18" s="774">
        <f>V18*U18</f>
        <v>0</v>
      </c>
      <c r="Y18" s="779"/>
      <c r="Z18" s="774">
        <f t="shared" si="6"/>
        <v>0</v>
      </c>
      <c r="AA18" s="774">
        <f t="shared" si="7"/>
        <v>0</v>
      </c>
      <c r="AB18" s="775" t="s">
        <v>850</v>
      </c>
      <c r="AC18" s="775" t="s">
        <v>856</v>
      </c>
      <c r="AD18" s="691"/>
      <c r="AE18" s="691"/>
      <c r="AF18" s="691"/>
      <c r="AG18" s="797"/>
      <c r="AH18" s="728" t="s">
        <v>178</v>
      </c>
      <c r="AI18" s="729"/>
      <c r="AJ18" s="729"/>
      <c r="AK18" s="730">
        <f t="shared" si="8"/>
        <v>0</v>
      </c>
      <c r="AL18" s="731"/>
      <c r="AM18" s="732"/>
      <c r="AN18" s="733">
        <f t="shared" si="9"/>
        <v>0.8</v>
      </c>
      <c r="AO18" s="734"/>
      <c r="AP18" s="733"/>
      <c r="AR18" s="716" t="e">
        <f t="shared" si="2"/>
        <v>#N/A</v>
      </c>
      <c r="BF18" s="799"/>
      <c r="BG18" s="433"/>
      <c r="BH18" s="433"/>
      <c r="BI18" s="433"/>
      <c r="BJ18" s="433" t="e">
        <f>BH18/BI18</f>
        <v>#DIV/0!</v>
      </c>
      <c r="BK18" s="433"/>
      <c r="BL18" s="433"/>
      <c r="BM18" s="433"/>
      <c r="BN18" s="433"/>
      <c r="BO18" s="433"/>
    </row>
    <row r="19" spans="1:67">
      <c r="A19" s="750"/>
      <c r="B19" s="737"/>
      <c r="C19" s="738"/>
      <c r="D19" s="738"/>
      <c r="E19" s="739">
        <f t="shared" si="3"/>
        <v>0</v>
      </c>
      <c r="F19" s="764"/>
      <c r="G19" s="752"/>
      <c r="H19" s="753"/>
      <c r="I19" s="752"/>
      <c r="J19" s="743"/>
      <c r="K19" s="754"/>
      <c r="L19" s="755">
        <f t="shared" si="4"/>
        <v>0</v>
      </c>
      <c r="M19" s="746"/>
      <c r="N19" s="747" t="e">
        <f t="shared" si="5"/>
        <v>#N/A</v>
      </c>
      <c r="O19" s="775"/>
      <c r="P19" s="775" t="s">
        <v>857</v>
      </c>
      <c r="Q19" s="773" t="s">
        <v>849</v>
      </c>
      <c r="R19" s="773"/>
      <c r="S19" s="773"/>
      <c r="T19" s="773"/>
      <c r="U19" s="773"/>
      <c r="V19" s="773"/>
      <c r="W19" s="774"/>
      <c r="X19" s="774">
        <f>V19*U19</f>
        <v>0</v>
      </c>
      <c r="Y19" s="779"/>
      <c r="Z19" s="774">
        <f t="shared" si="6"/>
        <v>0</v>
      </c>
      <c r="AA19" s="774">
        <f t="shared" si="7"/>
        <v>0</v>
      </c>
      <c r="AB19" s="775" t="s">
        <v>845</v>
      </c>
      <c r="AC19" s="775" t="s">
        <v>856</v>
      </c>
      <c r="AD19" s="691"/>
      <c r="AE19" s="691"/>
      <c r="AF19" s="746"/>
      <c r="AG19" s="797"/>
      <c r="AH19" s="728" t="s">
        <v>177</v>
      </c>
      <c r="AI19" s="729"/>
      <c r="AJ19" s="729"/>
      <c r="AK19" s="730">
        <f t="shared" si="8"/>
        <v>0</v>
      </c>
      <c r="AL19" s="731"/>
      <c r="AM19" s="732"/>
      <c r="AN19" s="733">
        <f t="shared" si="9"/>
        <v>0.8</v>
      </c>
      <c r="AO19" s="734"/>
      <c r="AP19" s="733"/>
      <c r="AR19" s="716" t="e">
        <f t="shared" si="2"/>
        <v>#N/A</v>
      </c>
      <c r="BF19" s="616"/>
      <c r="BG19" s="433"/>
      <c r="BH19" s="452" t="s">
        <v>858</v>
      </c>
      <c r="BI19" s="452" t="s">
        <v>831</v>
      </c>
      <c r="BJ19" s="452" t="s">
        <v>561</v>
      </c>
      <c r="BK19" s="452" t="s">
        <v>859</v>
      </c>
      <c r="BL19" s="452" t="s">
        <v>860</v>
      </c>
      <c r="BM19" s="433" t="s">
        <v>861</v>
      </c>
      <c r="BN19" s="433"/>
      <c r="BO19" s="433"/>
    </row>
    <row r="20" spans="1:67">
      <c r="A20" s="750"/>
      <c r="B20" s="737"/>
      <c r="C20" s="738"/>
      <c r="D20" s="738"/>
      <c r="E20" s="739">
        <f t="shared" si="3"/>
        <v>0</v>
      </c>
      <c r="F20" s="764"/>
      <c r="G20" s="752"/>
      <c r="H20" s="753"/>
      <c r="I20" s="752"/>
      <c r="J20" s="743"/>
      <c r="K20" s="754"/>
      <c r="L20" s="755">
        <f t="shared" si="4"/>
        <v>0</v>
      </c>
      <c r="M20" s="746"/>
      <c r="N20" s="747" t="e">
        <f t="shared" si="5"/>
        <v>#N/A</v>
      </c>
      <c r="O20" s="800"/>
      <c r="P20" s="801" t="s">
        <v>862</v>
      </c>
      <c r="Q20" s="686" t="s">
        <v>849</v>
      </c>
      <c r="R20" s="686"/>
      <c r="S20" s="686"/>
      <c r="T20" s="686"/>
      <c r="U20" s="686"/>
      <c r="V20" s="686"/>
      <c r="W20" s="686"/>
      <c r="X20" s="686"/>
      <c r="Y20" s="779"/>
      <c r="Z20" s="774">
        <f t="shared" si="6"/>
        <v>0</v>
      </c>
      <c r="AA20" s="774">
        <f t="shared" si="7"/>
        <v>0</v>
      </c>
      <c r="AB20" s="801" t="s">
        <v>863</v>
      </c>
      <c r="AC20" s="686"/>
      <c r="AD20" s="691"/>
      <c r="AE20" s="746"/>
      <c r="AF20" s="746"/>
      <c r="AG20" s="797"/>
      <c r="AH20" s="728" t="s">
        <v>179</v>
      </c>
      <c r="AI20" s="729"/>
      <c r="AJ20" s="729"/>
      <c r="AK20" s="730">
        <f t="shared" si="8"/>
        <v>0</v>
      </c>
      <c r="AL20" s="731"/>
      <c r="AM20" s="732"/>
      <c r="AN20" s="733">
        <f t="shared" si="9"/>
        <v>0.8</v>
      </c>
      <c r="AO20" s="734"/>
      <c r="AP20" s="733"/>
      <c r="AR20" s="716" t="e">
        <f t="shared" si="2"/>
        <v>#N/A</v>
      </c>
      <c r="BF20" s="616"/>
      <c r="BG20" s="433"/>
      <c r="BH20" s="452"/>
      <c r="BI20" s="452"/>
      <c r="BJ20" s="452"/>
      <c r="BK20" s="452"/>
      <c r="BL20" s="452"/>
      <c r="BM20" s="452"/>
      <c r="BN20" s="452" t="e">
        <f>BK20/BL20</f>
        <v>#DIV/0!</v>
      </c>
      <c r="BO20" s="452"/>
    </row>
    <row r="21" spans="1:67">
      <c r="A21" s="750"/>
      <c r="B21" s="737"/>
      <c r="C21" s="738"/>
      <c r="D21" s="738"/>
      <c r="E21" s="739">
        <f t="shared" si="3"/>
        <v>0</v>
      </c>
      <c r="F21" s="764"/>
      <c r="G21" s="752"/>
      <c r="H21" s="753"/>
      <c r="I21" s="752"/>
      <c r="J21" s="743"/>
      <c r="K21" s="754"/>
      <c r="L21" s="755">
        <f t="shared" si="4"/>
        <v>0</v>
      </c>
      <c r="M21" s="746"/>
      <c r="N21" s="747" t="e">
        <f t="shared" si="5"/>
        <v>#N/A</v>
      </c>
      <c r="O21" s="800"/>
      <c r="P21" s="801" t="s">
        <v>864</v>
      </c>
      <c r="Q21" s="773" t="s">
        <v>844</v>
      </c>
      <c r="R21" s="686"/>
      <c r="S21" s="686"/>
      <c r="T21" s="686"/>
      <c r="U21" s="686"/>
      <c r="V21" s="686"/>
      <c r="W21" s="686"/>
      <c r="X21" s="686"/>
      <c r="Y21" s="686"/>
      <c r="Z21" s="774">
        <f t="shared" si="6"/>
        <v>0</v>
      </c>
      <c r="AA21" s="774">
        <f t="shared" si="7"/>
        <v>0</v>
      </c>
      <c r="AB21" s="801" t="s">
        <v>865</v>
      </c>
      <c r="AC21" s="801"/>
      <c r="AD21" s="746"/>
      <c r="AE21" s="746"/>
      <c r="AF21" s="746"/>
      <c r="AG21" s="797"/>
      <c r="AH21" s="728" t="s">
        <v>181</v>
      </c>
      <c r="AI21" s="729"/>
      <c r="AJ21" s="729"/>
      <c r="AK21" s="730">
        <f t="shared" si="8"/>
        <v>0</v>
      </c>
      <c r="AL21" s="731"/>
      <c r="AM21" s="732"/>
      <c r="AN21" s="733">
        <f t="shared" si="9"/>
        <v>0.8</v>
      </c>
      <c r="AO21" s="734"/>
      <c r="AP21" s="733"/>
      <c r="AR21" s="716" t="e">
        <f t="shared" si="2"/>
        <v>#N/A</v>
      </c>
      <c r="BF21" s="616"/>
      <c r="BG21" s="433"/>
      <c r="BH21" s="452"/>
      <c r="BI21" s="452"/>
      <c r="BJ21" s="452"/>
      <c r="BK21" s="452" t="e">
        <f>BJ18-BJ21-BI21-BH21</f>
        <v>#DIV/0!</v>
      </c>
      <c r="BL21" s="452"/>
      <c r="BM21" s="452"/>
      <c r="BN21" s="452" t="e">
        <f>BK21/BL21</f>
        <v>#DIV/0!</v>
      </c>
      <c r="BO21" s="452"/>
    </row>
    <row r="22" spans="1:67">
      <c r="A22" s="750"/>
      <c r="B22" s="737"/>
      <c r="C22" s="738"/>
      <c r="D22" s="738"/>
      <c r="E22" s="739">
        <f t="shared" si="3"/>
        <v>0</v>
      </c>
      <c r="F22" s="764"/>
      <c r="G22" s="752"/>
      <c r="H22" s="753"/>
      <c r="I22" s="752"/>
      <c r="J22" s="743"/>
      <c r="K22" s="754"/>
      <c r="L22" s="755">
        <f t="shared" si="4"/>
        <v>0</v>
      </c>
      <c r="M22" s="746"/>
      <c r="N22" s="747" t="e">
        <f t="shared" si="5"/>
        <v>#N/A</v>
      </c>
      <c r="O22" s="800"/>
      <c r="P22" s="801"/>
      <c r="Q22" s="773" t="s">
        <v>844</v>
      </c>
      <c r="R22" s="686"/>
      <c r="S22" s="686"/>
      <c r="T22" s="686"/>
      <c r="U22" s="686"/>
      <c r="V22" s="686"/>
      <c r="W22" s="686"/>
      <c r="X22" s="686"/>
      <c r="Y22" s="686"/>
      <c r="Z22" s="774"/>
      <c r="AA22" s="774"/>
      <c r="AB22" s="801" t="s">
        <v>779</v>
      </c>
      <c r="AC22" s="801"/>
      <c r="AD22" s="746"/>
      <c r="AE22" s="746"/>
      <c r="AF22" s="746"/>
      <c r="AG22" s="797"/>
      <c r="AH22" s="573" t="s">
        <v>184</v>
      </c>
      <c r="AI22" s="729"/>
      <c r="AJ22" s="729"/>
      <c r="AK22" s="730">
        <f t="shared" si="8"/>
        <v>0</v>
      </c>
      <c r="AL22" s="731"/>
      <c r="AM22" s="802"/>
      <c r="AN22" s="733">
        <f t="shared" si="9"/>
        <v>0.8</v>
      </c>
      <c r="AO22" s="734"/>
      <c r="AP22" s="733"/>
      <c r="AR22" s="716" t="e">
        <f t="shared" si="2"/>
        <v>#N/A</v>
      </c>
      <c r="BF22" s="616"/>
      <c r="BG22" s="433"/>
      <c r="BH22" s="452"/>
      <c r="BI22" s="452"/>
      <c r="BJ22" s="452"/>
      <c r="BK22" s="452">
        <f>BL21*13</f>
        <v>0</v>
      </c>
      <c r="BL22" s="452">
        <f>BH22+BI22+BJ22+BK22</f>
        <v>0</v>
      </c>
      <c r="BM22" s="452">
        <f>290*12*2</f>
        <v>6960</v>
      </c>
      <c r="BN22" s="452">
        <f>BL22*12</f>
        <v>0</v>
      </c>
      <c r="BO22" s="452">
        <f>BM22+BN22</f>
        <v>6960</v>
      </c>
    </row>
    <row r="23" ht="51" spans="1:67">
      <c r="A23" s="750"/>
      <c r="B23" s="737"/>
      <c r="C23" s="738"/>
      <c r="D23" s="738"/>
      <c r="E23" s="739">
        <f t="shared" si="3"/>
        <v>0</v>
      </c>
      <c r="F23" s="764"/>
      <c r="G23" s="752"/>
      <c r="H23" s="753"/>
      <c r="I23" s="752"/>
      <c r="J23" s="743"/>
      <c r="K23" s="754"/>
      <c r="L23" s="755">
        <f t="shared" si="4"/>
        <v>0</v>
      </c>
      <c r="M23" s="746"/>
      <c r="N23" s="747" t="e">
        <f t="shared" si="5"/>
        <v>#N/A</v>
      </c>
      <c r="O23" s="800"/>
      <c r="P23" s="801" t="s">
        <v>866</v>
      </c>
      <c r="Q23" s="775" t="s">
        <v>854</v>
      </c>
      <c r="R23" s="686"/>
      <c r="S23" s="686"/>
      <c r="T23" s="686"/>
      <c r="U23" s="686"/>
      <c r="V23" s="686"/>
      <c r="W23" s="686">
        <f>T23</f>
        <v>0</v>
      </c>
      <c r="X23" s="686">
        <f>V23*U23</f>
        <v>0</v>
      </c>
      <c r="Y23" s="686"/>
      <c r="Z23" s="686">
        <f>SUM(W23:Y23)</f>
        <v>0</v>
      </c>
      <c r="AA23" s="774">
        <f>Z23+R23+S23</f>
        <v>0</v>
      </c>
      <c r="AB23" s="801" t="s">
        <v>867</v>
      </c>
      <c r="AC23" s="686" t="s">
        <v>868</v>
      </c>
      <c r="AD23" s="746"/>
      <c r="AE23" s="746"/>
      <c r="AF23" s="746"/>
      <c r="AG23" s="797"/>
      <c r="AH23" s="803" t="s">
        <v>183</v>
      </c>
      <c r="AI23" s="804"/>
      <c r="AJ23" s="804"/>
      <c r="AK23" s="805">
        <f t="shared" si="8"/>
        <v>0</v>
      </c>
      <c r="AL23" s="731"/>
      <c r="AM23" s="802"/>
      <c r="AN23" s="733">
        <f t="shared" si="9"/>
        <v>0.8</v>
      </c>
      <c r="AO23" s="734"/>
      <c r="AP23" s="733"/>
      <c r="AR23" s="716" t="e">
        <f t="shared" si="2"/>
        <v>#N/A</v>
      </c>
      <c r="BF23" s="799"/>
      <c r="BG23" s="806" t="s">
        <v>869</v>
      </c>
      <c r="BH23" s="807" t="s">
        <v>870</v>
      </c>
      <c r="BI23" s="619" t="s">
        <v>871</v>
      </c>
      <c r="BJ23" s="576" t="s">
        <v>872</v>
      </c>
      <c r="BK23" s="619" t="s">
        <v>873</v>
      </c>
      <c r="BL23" s="576" t="s">
        <v>162</v>
      </c>
      <c r="BM23" s="576" t="s">
        <v>387</v>
      </c>
      <c r="BN23" s="808" t="s">
        <v>833</v>
      </c>
      <c r="BO23" s="433"/>
    </row>
    <row r="24" ht="17.6" spans="1:67">
      <c r="A24" s="750"/>
      <c r="B24" s="737"/>
      <c r="C24" s="738"/>
      <c r="D24" s="738"/>
      <c r="E24" s="739">
        <f t="shared" si="3"/>
        <v>0</v>
      </c>
      <c r="F24" s="764"/>
      <c r="G24" s="752"/>
      <c r="H24" s="753"/>
      <c r="I24" s="752"/>
      <c r="J24" s="743"/>
      <c r="K24" s="754"/>
      <c r="L24" s="755">
        <f t="shared" si="4"/>
        <v>0</v>
      </c>
      <c r="M24" s="746"/>
      <c r="N24" s="747" t="e">
        <f t="shared" si="5"/>
        <v>#N/A</v>
      </c>
      <c r="O24" s="746"/>
      <c r="P24" s="616"/>
      <c r="Q24" s="616"/>
      <c r="R24" s="616"/>
      <c r="S24" s="616"/>
      <c r="T24" s="616"/>
      <c r="U24" s="616"/>
      <c r="V24" s="616"/>
      <c r="W24" s="616"/>
      <c r="X24" s="616"/>
      <c r="Y24" s="616"/>
      <c r="Z24" s="616"/>
      <c r="AA24" s="616"/>
      <c r="AB24" s="616"/>
      <c r="AC24" s="616"/>
      <c r="AD24" s="746"/>
      <c r="AE24" s="746"/>
      <c r="AF24" s="746"/>
      <c r="AG24" s="797"/>
      <c r="AH24" s="803" t="s">
        <v>182</v>
      </c>
      <c r="AI24" s="804"/>
      <c r="AJ24" s="804"/>
      <c r="AK24" s="805">
        <f t="shared" si="8"/>
        <v>0</v>
      </c>
      <c r="AL24" s="731"/>
      <c r="AM24" s="777"/>
      <c r="AN24" s="733">
        <f t="shared" si="9"/>
        <v>0.8</v>
      </c>
      <c r="AO24" s="734"/>
      <c r="AP24" s="733"/>
      <c r="AR24" s="716" t="e">
        <f t="shared" si="2"/>
        <v>#N/A</v>
      </c>
      <c r="BF24" s="616"/>
      <c r="BG24" s="809" t="s">
        <v>874</v>
      </c>
      <c r="BH24" s="810"/>
      <c r="BI24" s="810"/>
      <c r="BJ24" s="810"/>
      <c r="BK24" s="810"/>
      <c r="BL24" s="688"/>
      <c r="BM24" s="576"/>
      <c r="BN24" s="811"/>
      <c r="BO24" s="433"/>
    </row>
    <row r="25" spans="1:67">
      <c r="A25" s="750"/>
      <c r="B25" s="737"/>
      <c r="C25" s="738"/>
      <c r="D25" s="738"/>
      <c r="E25" s="739">
        <f t="shared" si="3"/>
        <v>0</v>
      </c>
      <c r="F25" s="764"/>
      <c r="G25" s="752"/>
      <c r="H25" s="753"/>
      <c r="I25" s="752"/>
      <c r="J25" s="743"/>
      <c r="K25" s="754"/>
      <c r="L25" s="755">
        <f t="shared" si="4"/>
        <v>0</v>
      </c>
      <c r="M25" s="746"/>
      <c r="N25" s="747" t="e">
        <f t="shared" si="5"/>
        <v>#N/A</v>
      </c>
      <c r="O25" s="746"/>
      <c r="P25" s="616"/>
      <c r="Q25" s="616"/>
      <c r="R25" s="616"/>
      <c r="S25" s="616"/>
      <c r="T25" s="616"/>
      <c r="U25" s="616"/>
      <c r="V25" s="616"/>
      <c r="W25" s="616"/>
      <c r="X25" s="616"/>
      <c r="Y25" s="616"/>
      <c r="Z25" s="616"/>
      <c r="AA25" s="616"/>
      <c r="AB25" s="616"/>
      <c r="AC25" s="616"/>
      <c r="AD25" s="746"/>
      <c r="AE25" s="746"/>
      <c r="AF25" s="746"/>
      <c r="AG25" s="812"/>
      <c r="AH25" s="728"/>
      <c r="AI25" s="813"/>
      <c r="AJ25" s="813"/>
      <c r="AK25" s="814"/>
      <c r="AL25" s="731"/>
      <c r="AM25" s="777"/>
      <c r="AN25" s="733"/>
      <c r="AO25" s="734"/>
      <c r="AP25" s="733"/>
      <c r="AR25" s="716" t="e">
        <f t="shared" si="2"/>
        <v>#N/A</v>
      </c>
      <c r="AS25" s="746" t="s">
        <v>162</v>
      </c>
      <c r="AT25" s="746"/>
      <c r="AU25" s="746"/>
      <c r="AV25" s="746"/>
      <c r="AW25" s="746"/>
      <c r="AX25" s="746"/>
      <c r="AY25" s="746"/>
      <c r="AZ25" s="746"/>
      <c r="BA25" s="746"/>
      <c r="BB25" s="746"/>
      <c r="BC25" s="746"/>
      <c r="BD25" s="746"/>
      <c r="BE25" s="746"/>
      <c r="BF25" s="616"/>
      <c r="BG25" s="815" t="s">
        <v>875</v>
      </c>
      <c r="BH25" s="816" t="s">
        <v>876</v>
      </c>
      <c r="BI25" s="816" t="s">
        <v>876</v>
      </c>
      <c r="BJ25" s="817" t="s">
        <v>876</v>
      </c>
      <c r="BK25" s="817" t="s">
        <v>876</v>
      </c>
      <c r="BL25" s="817" t="s">
        <v>876</v>
      </c>
      <c r="BM25" s="817" t="s">
        <v>876</v>
      </c>
      <c r="BN25" s="811" t="s">
        <v>877</v>
      </c>
      <c r="BO25" s="433"/>
    </row>
    <row r="26" ht="41" spans="1:67">
      <c r="A26" s="750"/>
      <c r="B26" s="737"/>
      <c r="C26" s="738"/>
      <c r="D26" s="738"/>
      <c r="E26" s="739">
        <f t="shared" si="3"/>
        <v>0</v>
      </c>
      <c r="F26" s="764"/>
      <c r="G26" s="752"/>
      <c r="H26" s="753"/>
      <c r="I26" s="752"/>
      <c r="J26" s="743"/>
      <c r="K26" s="754"/>
      <c r="L26" s="755">
        <f t="shared" si="4"/>
        <v>0</v>
      </c>
      <c r="M26" s="746"/>
      <c r="N26" s="747" t="e">
        <f t="shared" si="5"/>
        <v>#N/A</v>
      </c>
      <c r="O26" s="746"/>
      <c r="P26" s="616"/>
      <c r="Q26" s="616"/>
      <c r="R26" s="616"/>
      <c r="S26" s="616"/>
      <c r="T26" s="616"/>
      <c r="U26" s="616"/>
      <c r="V26" s="616"/>
      <c r="W26" s="616"/>
      <c r="X26" s="616"/>
      <c r="Y26" s="616"/>
      <c r="Z26" s="616"/>
      <c r="AA26" s="616"/>
      <c r="AB26" s="616"/>
      <c r="AC26" s="616"/>
      <c r="AD26" s="746"/>
      <c r="AE26" s="746"/>
      <c r="AF26" s="746"/>
      <c r="AG26" s="812"/>
      <c r="AH26" s="728"/>
      <c r="AI26" s="813"/>
      <c r="AJ26" s="813"/>
      <c r="AK26" s="814"/>
      <c r="AL26" s="731"/>
      <c r="AM26" s="777"/>
      <c r="AN26" s="733"/>
      <c r="AO26" s="734"/>
      <c r="AP26" s="733"/>
      <c r="AR26" s="716" t="e">
        <f t="shared" si="2"/>
        <v>#N/A</v>
      </c>
      <c r="BF26" s="616"/>
      <c r="BG26" s="816" t="s">
        <v>878</v>
      </c>
      <c r="BH26" s="806"/>
      <c r="BI26" s="806"/>
      <c r="BJ26" s="576"/>
      <c r="BK26" s="576"/>
      <c r="BL26" s="576" t="s">
        <v>879</v>
      </c>
      <c r="BM26" s="576" t="s">
        <v>879</v>
      </c>
      <c r="BN26" s="576" t="s">
        <v>879</v>
      </c>
      <c r="BO26" s="433"/>
    </row>
    <row r="27" ht="41" spans="1:67">
      <c r="A27" s="750"/>
      <c r="B27" s="737"/>
      <c r="C27" s="738"/>
      <c r="D27" s="738"/>
      <c r="E27" s="739">
        <f t="shared" si="3"/>
        <v>0</v>
      </c>
      <c r="F27" s="764"/>
      <c r="G27" s="752"/>
      <c r="H27" s="753"/>
      <c r="I27" s="752"/>
      <c r="J27" s="743"/>
      <c r="K27" s="754"/>
      <c r="L27" s="755">
        <f t="shared" si="4"/>
        <v>0</v>
      </c>
      <c r="M27" s="746"/>
      <c r="N27" s="747" t="e">
        <f t="shared" si="5"/>
        <v>#N/A</v>
      </c>
      <c r="O27" s="746"/>
      <c r="P27" s="616"/>
      <c r="Q27" s="616"/>
      <c r="R27" s="616"/>
      <c r="S27" s="616"/>
      <c r="T27" s="616"/>
      <c r="U27" s="616"/>
      <c r="V27" s="616"/>
      <c r="W27" s="616"/>
      <c r="X27" s="616"/>
      <c r="Y27" s="616"/>
      <c r="Z27" s="616"/>
      <c r="AA27" s="616"/>
      <c r="AB27" s="616"/>
      <c r="AC27" s="616"/>
      <c r="AD27" s="746"/>
      <c r="AE27" s="746"/>
      <c r="AF27" s="746"/>
      <c r="AG27" s="818"/>
      <c r="AH27" s="819" t="s">
        <v>193</v>
      </c>
      <c r="AI27" s="783">
        <f>SUM(AI16:AI26)</f>
        <v>0</v>
      </c>
      <c r="AJ27" s="783">
        <f>SUM(AJ16:AJ26)</f>
        <v>0</v>
      </c>
      <c r="AK27" s="784">
        <f>SUM(AK16:AK23)</f>
        <v>0</v>
      </c>
      <c r="AL27" s="785"/>
      <c r="AM27" s="786"/>
      <c r="AN27" s="789" t="s">
        <v>618</v>
      </c>
      <c r="AO27" s="788">
        <f>SUM(AO16:AO24)/11</f>
        <v>0</v>
      </c>
      <c r="AP27" s="789" t="s">
        <v>618</v>
      </c>
      <c r="AR27" s="716" t="e">
        <f t="shared" si="2"/>
        <v>#N/A</v>
      </c>
      <c r="BF27" s="616"/>
      <c r="BG27" s="816" t="s">
        <v>880</v>
      </c>
      <c r="BH27" s="576"/>
      <c r="BI27" s="576"/>
      <c r="BJ27" s="576"/>
      <c r="BK27" s="576"/>
      <c r="BL27" s="576" t="s">
        <v>879</v>
      </c>
      <c r="BM27" s="576" t="s">
        <v>879</v>
      </c>
      <c r="BN27" s="576" t="s">
        <v>879</v>
      </c>
      <c r="BO27" s="433"/>
    </row>
    <row r="28" ht="55" spans="1:67">
      <c r="A28" s="750"/>
      <c r="B28" s="737"/>
      <c r="C28" s="738"/>
      <c r="D28" s="738"/>
      <c r="E28" s="739">
        <f t="shared" si="3"/>
        <v>0</v>
      </c>
      <c r="F28" s="764"/>
      <c r="G28" s="752"/>
      <c r="H28" s="753"/>
      <c r="I28" s="752"/>
      <c r="J28" s="743"/>
      <c r="K28" s="754"/>
      <c r="L28" s="755">
        <f t="shared" si="4"/>
        <v>0</v>
      </c>
      <c r="M28" s="746"/>
      <c r="N28" s="747" t="e">
        <f t="shared" si="5"/>
        <v>#N/A</v>
      </c>
      <c r="O28" s="746"/>
      <c r="P28" s="616"/>
      <c r="Q28" s="616"/>
      <c r="R28" s="616"/>
      <c r="S28" s="616"/>
      <c r="T28" s="616"/>
      <c r="U28" s="616"/>
      <c r="V28" s="616"/>
      <c r="W28" s="616"/>
      <c r="X28" s="616"/>
      <c r="Y28" s="616"/>
      <c r="Z28" s="616"/>
      <c r="AA28" s="616"/>
      <c r="AB28" s="616"/>
      <c r="AC28" s="616"/>
      <c r="AD28" s="746"/>
      <c r="AE28" s="746"/>
      <c r="AF28" s="746"/>
      <c r="AG28" s="820" t="s">
        <v>881</v>
      </c>
      <c r="AH28" s="821"/>
      <c r="AI28" s="822">
        <f>AI15+AI27</f>
        <v>0</v>
      </c>
      <c r="AJ28" s="822">
        <f>AJ15+AJ27</f>
        <v>0</v>
      </c>
      <c r="AK28" s="823">
        <f>AK15+AK27</f>
        <v>0</v>
      </c>
      <c r="AL28" s="824" t="s">
        <v>618</v>
      </c>
      <c r="AM28" s="825"/>
      <c r="AN28" s="826"/>
      <c r="AO28" s="827">
        <f>(SUM(AO3:AO14)+SUM(AO16:AO24))/24</f>
        <v>0</v>
      </c>
      <c r="AP28" s="826" t="s">
        <v>618</v>
      </c>
      <c r="AR28" s="716" t="e">
        <f t="shared" si="2"/>
        <v>#N/A</v>
      </c>
      <c r="BF28" s="616"/>
      <c r="BG28" s="816" t="s">
        <v>882</v>
      </c>
      <c r="BH28" s="828">
        <f>IF(BH27&gt;0,BH27/BH26,0)</f>
        <v>0</v>
      </c>
      <c r="BI28" s="828">
        <f>IF(BI27&gt;0,BI27/BI26,0)</f>
        <v>0</v>
      </c>
      <c r="BJ28" s="828">
        <f>IF(BJ27&gt;0,BJ27/BJ26,0)</f>
        <v>0</v>
      </c>
      <c r="BK28" s="828">
        <f>IF(BK27&gt;0,BK27/BK26,0)</f>
        <v>0</v>
      </c>
      <c r="BL28" s="576" t="s">
        <v>879</v>
      </c>
      <c r="BM28" s="576" t="s">
        <v>879</v>
      </c>
      <c r="BN28" s="576"/>
      <c r="BO28" s="433"/>
    </row>
    <row r="29" ht="41" spans="1:67">
      <c r="A29" s="750"/>
      <c r="B29" s="737"/>
      <c r="C29" s="738"/>
      <c r="D29" s="738"/>
      <c r="E29" s="739">
        <f t="shared" si="3"/>
        <v>0</v>
      </c>
      <c r="F29" s="764"/>
      <c r="G29" s="752"/>
      <c r="H29" s="753"/>
      <c r="I29" s="752"/>
      <c r="J29" s="743"/>
      <c r="K29" s="754"/>
      <c r="L29" s="755">
        <f t="shared" si="4"/>
        <v>0</v>
      </c>
      <c r="M29" s="746"/>
      <c r="N29" s="747" t="e">
        <f t="shared" si="5"/>
        <v>#N/A</v>
      </c>
      <c r="O29" s="746"/>
      <c r="P29" s="616"/>
      <c r="Q29" s="616"/>
      <c r="R29" s="616"/>
      <c r="S29" s="616"/>
      <c r="T29" s="616"/>
      <c r="U29" s="716"/>
      <c r="V29" s="716"/>
      <c r="W29" s="616"/>
      <c r="X29" s="616"/>
      <c r="Y29" s="616"/>
      <c r="Z29" s="616"/>
      <c r="AA29" s="616"/>
      <c r="AB29" s="616"/>
      <c r="AC29" s="616"/>
      <c r="AD29" s="746"/>
      <c r="AE29" s="746"/>
      <c r="AF29" s="746"/>
      <c r="AG29" s="829"/>
      <c r="AH29" s="830"/>
      <c r="AI29" s="831"/>
      <c r="AJ29" s="832"/>
      <c r="AK29" s="831"/>
      <c r="AL29" s="833"/>
      <c r="AM29" s="833"/>
      <c r="AN29" s="834"/>
      <c r="AO29" s="835"/>
      <c r="AP29" s="834"/>
      <c r="AR29" s="716" t="e">
        <f t="shared" si="2"/>
        <v>#N/A</v>
      </c>
      <c r="BG29" s="836" t="s">
        <v>883</v>
      </c>
      <c r="BH29" s="837">
        <f>IF(BH28&gt;=100%,BH24*100%,BH24*BH28)</f>
        <v>0</v>
      </c>
      <c r="BI29" s="837">
        <f>IF(BI28&gt;=100%,BI24*100%,BI24*BI28)</f>
        <v>0</v>
      </c>
      <c r="BJ29" s="837">
        <f>IF(BJ28&gt;=100%,BJ24*100%,BJ24*BJ28)</f>
        <v>0</v>
      </c>
      <c r="BK29" s="837">
        <f>IF(BK28&gt;=100%,BK24*100%,BK24*BK28)</f>
        <v>0</v>
      </c>
      <c r="BL29" s="838">
        <f>SUM(BH29:BK29)</f>
        <v>0</v>
      </c>
      <c r="BM29" s="839">
        <f>BM24*BL29</f>
        <v>0</v>
      </c>
      <c r="BN29" s="839">
        <f>BN28*BN24</f>
        <v>0</v>
      </c>
      <c r="BO29" s="433"/>
    </row>
    <row r="30" spans="1:67">
      <c r="A30" s="750"/>
      <c r="B30" s="737"/>
      <c r="C30" s="738"/>
      <c r="D30" s="738"/>
      <c r="E30" s="739">
        <f t="shared" si="3"/>
        <v>0</v>
      </c>
      <c r="F30" s="764"/>
      <c r="G30" s="752"/>
      <c r="H30" s="753"/>
      <c r="I30" s="752"/>
      <c r="J30" s="743"/>
      <c r="K30" s="754"/>
      <c r="L30" s="755">
        <f t="shared" si="4"/>
        <v>0</v>
      </c>
      <c r="M30" s="746"/>
      <c r="N30" s="747" t="e">
        <f t="shared" si="5"/>
        <v>#N/A</v>
      </c>
      <c r="O30" s="746"/>
      <c r="P30" s="616"/>
      <c r="Q30" s="616"/>
      <c r="R30" s="616"/>
      <c r="S30" s="616"/>
      <c r="T30" s="616"/>
      <c r="U30" s="716"/>
      <c r="V30" s="716"/>
      <c r="W30" s="616"/>
      <c r="X30" s="616"/>
      <c r="Y30" s="616"/>
      <c r="Z30" s="616"/>
      <c r="AA30" s="616"/>
      <c r="AB30" s="616"/>
      <c r="AC30" s="616"/>
      <c r="AD30" s="746"/>
      <c r="AE30" s="746"/>
      <c r="AF30" s="746"/>
      <c r="AG30" s="692" t="s">
        <v>185</v>
      </c>
      <c r="AH30" s="693" t="s">
        <v>11</v>
      </c>
      <c r="AI30" s="694" t="s">
        <v>799</v>
      </c>
      <c r="AJ30" s="695"/>
      <c r="AK30" s="696"/>
      <c r="AL30" s="697" t="s">
        <v>800</v>
      </c>
      <c r="AM30" s="695"/>
      <c r="AN30" s="696"/>
      <c r="AO30" s="694" t="s">
        <v>801</v>
      </c>
      <c r="AP30" s="696"/>
      <c r="AR30" s="716" t="e">
        <f t="shared" si="2"/>
        <v>#N/A</v>
      </c>
    </row>
    <row r="31" spans="1:67">
      <c r="A31" s="750"/>
      <c r="B31" s="737"/>
      <c r="C31" s="738"/>
      <c r="D31" s="738"/>
      <c r="E31" s="739">
        <f t="shared" si="3"/>
        <v>0</v>
      </c>
      <c r="F31" s="764"/>
      <c r="G31" s="752"/>
      <c r="H31" s="753"/>
      <c r="I31" s="752"/>
      <c r="J31" s="743"/>
      <c r="K31" s="754"/>
      <c r="L31" s="755">
        <f t="shared" si="4"/>
        <v>0</v>
      </c>
      <c r="M31" s="746"/>
      <c r="N31" s="747" t="e">
        <f t="shared" si="5"/>
        <v>#N/A</v>
      </c>
      <c r="O31" s="746"/>
      <c r="P31" s="616"/>
      <c r="Q31" s="616"/>
      <c r="R31" s="616"/>
      <c r="S31" s="616"/>
      <c r="T31" s="616"/>
      <c r="U31" s="716"/>
      <c r="V31" s="716"/>
      <c r="W31" s="616"/>
      <c r="X31" s="616"/>
      <c r="Y31" s="616"/>
      <c r="Z31" s="616"/>
      <c r="AA31" s="616"/>
      <c r="AB31" s="616"/>
      <c r="AC31" s="616"/>
      <c r="AD31" s="746"/>
      <c r="AE31" s="746"/>
      <c r="AF31" s="746"/>
      <c r="AG31" s="699"/>
      <c r="AH31" s="700"/>
      <c r="AI31" s="840" t="s">
        <v>802</v>
      </c>
      <c r="AJ31" s="840" t="s">
        <v>803</v>
      </c>
      <c r="AK31" s="841" t="s">
        <v>155</v>
      </c>
      <c r="AL31" s="842" t="s">
        <v>804</v>
      </c>
      <c r="AM31" s="843" t="s">
        <v>805</v>
      </c>
      <c r="AN31" s="844" t="s">
        <v>806</v>
      </c>
      <c r="AO31" s="840" t="s">
        <v>807</v>
      </c>
      <c r="AP31" s="844" t="s">
        <v>808</v>
      </c>
      <c r="AR31" s="716" t="e">
        <f t="shared" si="2"/>
        <v>#N/A</v>
      </c>
      <c r="BG31" s="845"/>
    </row>
    <row r="32" spans="1:67">
      <c r="A32" s="750"/>
      <c r="B32" s="737"/>
      <c r="C32" s="738"/>
      <c r="D32" s="738"/>
      <c r="E32" s="739">
        <f t="shared" si="3"/>
        <v>0</v>
      </c>
      <c r="F32" s="764"/>
      <c r="G32" s="752"/>
      <c r="H32" s="753"/>
      <c r="I32" s="752"/>
      <c r="J32" s="743"/>
      <c r="K32" s="754"/>
      <c r="L32" s="755">
        <f t="shared" si="4"/>
        <v>0</v>
      </c>
      <c r="M32" s="746"/>
      <c r="N32" s="747" t="e">
        <f t="shared" si="5"/>
        <v>#N/A</v>
      </c>
      <c r="O32" s="746"/>
      <c r="P32" s="616"/>
      <c r="Q32" s="616"/>
      <c r="R32" s="616"/>
      <c r="S32" s="616"/>
      <c r="T32" s="616"/>
      <c r="U32" s="716"/>
      <c r="V32" s="716"/>
      <c r="W32" s="616"/>
      <c r="X32" s="616"/>
      <c r="Y32" s="616"/>
      <c r="Z32" s="616"/>
      <c r="AA32" s="616"/>
      <c r="AB32" s="616"/>
      <c r="AC32" s="616"/>
      <c r="AD32" s="746"/>
      <c r="AE32" s="746"/>
      <c r="AF32" s="746"/>
      <c r="AG32" s="846" t="s">
        <v>186</v>
      </c>
      <c r="AH32" s="847" t="s">
        <v>188</v>
      </c>
      <c r="AI32" s="793"/>
      <c r="AJ32" s="848"/>
      <c r="AK32" s="730">
        <f t="shared" ref="AK32:AK37" si="11">IF((AJ32-AI32)&gt;=0,0,IF(AJ32=1,-200,-400))</f>
        <v>0</v>
      </c>
      <c r="AL32" s="731"/>
      <c r="AM32" s="777"/>
      <c r="AN32" s="733">
        <f t="shared" ref="AN32:AN37" si="12">IF(AL32&gt;=0.67,1.1,IF(AL32&gt;=0.6,1,IF(AL32&gt;=0.45,0.9,0.8)))</f>
        <v>0.8</v>
      </c>
      <c r="AO32" s="848"/>
      <c r="AP32" s="849"/>
      <c r="AR32" s="716" t="e">
        <f t="shared" si="2"/>
        <v>#N/A</v>
      </c>
      <c r="BG32" s="850"/>
    </row>
    <row r="33" spans="1:59">
      <c r="A33" s="750"/>
      <c r="B33" s="737"/>
      <c r="C33" s="738"/>
      <c r="D33" s="738"/>
      <c r="E33" s="739">
        <f t="shared" si="3"/>
        <v>0</v>
      </c>
      <c r="F33" s="764"/>
      <c r="G33" s="752"/>
      <c r="H33" s="753"/>
      <c r="I33" s="752"/>
      <c r="J33" s="743"/>
      <c r="K33" s="754"/>
      <c r="L33" s="755">
        <f t="shared" si="4"/>
        <v>0</v>
      </c>
      <c r="M33" s="746"/>
      <c r="N33" s="747" t="e">
        <f t="shared" si="5"/>
        <v>#N/A</v>
      </c>
      <c r="O33" s="851"/>
      <c r="P33" s="851"/>
      <c r="Q33" s="616"/>
      <c r="R33" s="616"/>
      <c r="S33" s="616"/>
      <c r="T33" s="616"/>
      <c r="U33" s="716"/>
      <c r="V33" s="716"/>
      <c r="W33" s="616"/>
      <c r="X33" s="616"/>
      <c r="Y33" s="616"/>
      <c r="Z33" s="616"/>
      <c r="AA33" s="616"/>
      <c r="AB33" s="616"/>
      <c r="AC33" s="616"/>
      <c r="AD33" s="746"/>
      <c r="AE33" s="746"/>
      <c r="AF33" s="746"/>
      <c r="AG33" s="852"/>
      <c r="AH33" s="853" t="s">
        <v>189</v>
      </c>
      <c r="AI33" s="793"/>
      <c r="AJ33" s="854"/>
      <c r="AK33" s="730">
        <f t="shared" si="11"/>
        <v>0</v>
      </c>
      <c r="AL33" s="731"/>
      <c r="AM33" s="777"/>
      <c r="AN33" s="733">
        <f t="shared" si="12"/>
        <v>0.8</v>
      </c>
      <c r="AO33" s="854"/>
      <c r="AP33" s="855"/>
      <c r="AR33" s="716" t="e">
        <f t="shared" si="2"/>
        <v>#N/A</v>
      </c>
      <c r="BG33" s="850"/>
    </row>
    <row r="34" spans="1:59">
      <c r="A34" s="750"/>
      <c r="B34" s="737"/>
      <c r="C34" s="738"/>
      <c r="D34" s="738"/>
      <c r="E34" s="739">
        <f t="shared" si="3"/>
        <v>0</v>
      </c>
      <c r="F34" s="764"/>
      <c r="G34" s="752"/>
      <c r="H34" s="753"/>
      <c r="I34" s="752"/>
      <c r="J34" s="743"/>
      <c r="K34" s="754"/>
      <c r="L34" s="755">
        <f t="shared" si="4"/>
        <v>0</v>
      </c>
      <c r="M34" s="746"/>
      <c r="N34" s="747" t="e">
        <f t="shared" si="5"/>
        <v>#N/A</v>
      </c>
      <c r="O34" s="851"/>
      <c r="P34" s="851"/>
      <c r="Q34" s="616"/>
      <c r="R34" s="616"/>
      <c r="S34" s="616"/>
      <c r="T34" s="616"/>
      <c r="U34" s="716"/>
      <c r="V34" s="716"/>
      <c r="W34" s="616"/>
      <c r="X34" s="616"/>
      <c r="Y34" s="616"/>
      <c r="Z34" s="616"/>
      <c r="AA34" s="616"/>
      <c r="AB34" s="616"/>
      <c r="AC34" s="616"/>
      <c r="AD34" s="746"/>
      <c r="AE34" s="746"/>
      <c r="AF34" s="746"/>
      <c r="AG34" s="852"/>
      <c r="AH34" s="853" t="s">
        <v>191</v>
      </c>
      <c r="AI34" s="793"/>
      <c r="AJ34" s="854"/>
      <c r="AK34" s="730">
        <f t="shared" si="11"/>
        <v>0</v>
      </c>
      <c r="AL34" s="731"/>
      <c r="AM34" s="777"/>
      <c r="AN34" s="733">
        <f t="shared" si="12"/>
        <v>0.8</v>
      </c>
      <c r="AO34" s="854"/>
      <c r="AP34" s="855"/>
      <c r="AR34" s="716" t="e">
        <f t="shared" si="2"/>
        <v>#N/A</v>
      </c>
      <c r="BG34" s="850"/>
    </row>
    <row r="35" spans="1:59">
      <c r="A35" s="750"/>
      <c r="B35" s="737"/>
      <c r="C35" s="738"/>
      <c r="D35" s="738"/>
      <c r="E35" s="739">
        <f t="shared" si="3"/>
        <v>0</v>
      </c>
      <c r="F35" s="764"/>
      <c r="G35" s="752"/>
      <c r="H35" s="753"/>
      <c r="I35" s="752"/>
      <c r="J35" s="743"/>
      <c r="K35" s="754"/>
      <c r="L35" s="755">
        <f t="shared" si="4"/>
        <v>0</v>
      </c>
      <c r="M35" s="746"/>
      <c r="N35" s="747" t="e">
        <f t="shared" si="5"/>
        <v>#N/A</v>
      </c>
      <c r="O35" s="851"/>
      <c r="P35" s="851"/>
      <c r="Q35" s="616"/>
      <c r="R35" s="616"/>
      <c r="S35" s="616"/>
      <c r="T35" s="616"/>
      <c r="U35" s="616"/>
      <c r="V35" s="616"/>
      <c r="W35" s="616"/>
      <c r="X35" s="616"/>
      <c r="Y35" s="616"/>
      <c r="Z35" s="616"/>
      <c r="AA35" s="616"/>
      <c r="AB35" s="616"/>
      <c r="AC35" s="616"/>
      <c r="AD35" s="746"/>
      <c r="AE35" s="746"/>
      <c r="AF35" s="746"/>
      <c r="AG35" s="852"/>
      <c r="AH35" s="853" t="s">
        <v>187</v>
      </c>
      <c r="AI35" s="793"/>
      <c r="AJ35" s="854"/>
      <c r="AK35" s="730">
        <f t="shared" si="11"/>
        <v>0</v>
      </c>
      <c r="AL35" s="731"/>
      <c r="AM35" s="777"/>
      <c r="AN35" s="733">
        <f t="shared" si="12"/>
        <v>0.8</v>
      </c>
      <c r="AO35" s="854"/>
      <c r="AP35" s="855"/>
      <c r="AR35" s="716" t="e">
        <f t="shared" si="2"/>
        <v>#N/A</v>
      </c>
      <c r="BG35" s="850"/>
    </row>
    <row r="36" spans="1:59">
      <c r="A36" s="750"/>
      <c r="B36" s="737"/>
      <c r="C36" s="738"/>
      <c r="D36" s="738"/>
      <c r="E36" s="739">
        <f t="shared" si="3"/>
        <v>0</v>
      </c>
      <c r="F36" s="764"/>
      <c r="G36" s="752"/>
      <c r="H36" s="753"/>
      <c r="I36" s="752"/>
      <c r="J36" s="743"/>
      <c r="K36" s="754"/>
      <c r="L36" s="755">
        <f t="shared" si="4"/>
        <v>0</v>
      </c>
      <c r="M36" s="746"/>
      <c r="N36" s="747" t="e">
        <f t="shared" si="5"/>
        <v>#N/A</v>
      </c>
      <c r="O36" s="851"/>
      <c r="P36" s="851"/>
      <c r="Q36" s="616"/>
      <c r="R36" s="616"/>
      <c r="S36" s="616"/>
      <c r="T36" s="616"/>
      <c r="U36" s="616"/>
      <c r="V36" s="616"/>
      <c r="W36" s="616"/>
      <c r="X36" s="616"/>
      <c r="Y36" s="616"/>
      <c r="Z36" s="616"/>
      <c r="AA36" s="616"/>
      <c r="AB36" s="616"/>
      <c r="AC36" s="616"/>
      <c r="AD36" s="746"/>
      <c r="AE36" s="746"/>
      <c r="AF36" s="746"/>
      <c r="AG36" s="852"/>
      <c r="AH36" s="853" t="s">
        <v>190</v>
      </c>
      <c r="AI36" s="793"/>
      <c r="AJ36" s="729"/>
      <c r="AK36" s="730">
        <f t="shared" si="11"/>
        <v>0</v>
      </c>
      <c r="AL36" s="731"/>
      <c r="AM36" s="777"/>
      <c r="AN36" s="733">
        <f t="shared" si="12"/>
        <v>0.8</v>
      </c>
      <c r="AO36" s="854"/>
      <c r="AP36" s="855"/>
      <c r="AR36" s="716" t="e">
        <f t="shared" si="2"/>
        <v>#N/A</v>
      </c>
      <c r="BG36" s="850"/>
    </row>
    <row r="37" spans="1:59">
      <c r="A37" s="750"/>
      <c r="B37" s="737"/>
      <c r="C37" s="738"/>
      <c r="D37" s="738"/>
      <c r="E37" s="739">
        <f t="shared" si="3"/>
        <v>0</v>
      </c>
      <c r="F37" s="764"/>
      <c r="G37" s="752"/>
      <c r="H37" s="753"/>
      <c r="I37" s="752"/>
      <c r="J37" s="743"/>
      <c r="K37" s="754"/>
      <c r="L37" s="755">
        <f t="shared" si="4"/>
        <v>0</v>
      </c>
      <c r="M37" s="746"/>
      <c r="N37" s="747" t="e">
        <f t="shared" si="5"/>
        <v>#N/A</v>
      </c>
      <c r="O37" s="851"/>
      <c r="P37" s="851"/>
      <c r="Q37" s="616"/>
      <c r="R37" s="616"/>
      <c r="S37" s="616"/>
      <c r="T37" s="616"/>
      <c r="U37" s="616"/>
      <c r="V37" s="616"/>
      <c r="W37" s="616"/>
      <c r="X37" s="616"/>
      <c r="Y37" s="616"/>
      <c r="Z37" s="616"/>
      <c r="AA37" s="616"/>
      <c r="AB37" s="616"/>
      <c r="AC37" s="616"/>
      <c r="AD37" s="746"/>
      <c r="AE37" s="746"/>
      <c r="AF37" s="746"/>
      <c r="AG37" s="852"/>
      <c r="AH37" s="853" t="s">
        <v>192</v>
      </c>
      <c r="AI37" s="793"/>
      <c r="AJ37" s="854"/>
      <c r="AK37" s="730">
        <f t="shared" si="11"/>
        <v>0</v>
      </c>
      <c r="AL37" s="731"/>
      <c r="AM37" s="777"/>
      <c r="AN37" s="733">
        <f t="shared" si="12"/>
        <v>0.8</v>
      </c>
      <c r="AO37" s="854"/>
      <c r="AP37" s="855"/>
      <c r="AR37" s="716" t="e">
        <f t="shared" si="2"/>
        <v>#N/A</v>
      </c>
      <c r="BG37" s="850"/>
    </row>
    <row r="38" ht="20.4" spans="1:59">
      <c r="A38" s="750"/>
      <c r="B38" s="737"/>
      <c r="C38" s="738"/>
      <c r="D38" s="738"/>
      <c r="E38" s="739">
        <f t="shared" si="3"/>
        <v>0</v>
      </c>
      <c r="F38" s="764"/>
      <c r="G38" s="752"/>
      <c r="H38" s="753"/>
      <c r="I38" s="752"/>
      <c r="J38" s="743"/>
      <c r="K38" s="754"/>
      <c r="L38" s="755">
        <f t="shared" si="4"/>
        <v>0</v>
      </c>
      <c r="M38" s="746"/>
      <c r="N38" s="747" t="e">
        <f t="shared" si="5"/>
        <v>#N/A</v>
      </c>
      <c r="O38" s="856"/>
      <c r="P38" s="856"/>
      <c r="Q38" s="616"/>
      <c r="R38" s="616"/>
      <c r="S38" s="616"/>
      <c r="T38" s="616"/>
      <c r="U38" s="616"/>
      <c r="V38" s="616"/>
      <c r="W38" s="616"/>
      <c r="X38" s="616"/>
      <c r="Y38" s="616"/>
      <c r="Z38" s="616"/>
      <c r="AA38" s="616"/>
      <c r="AB38" s="616"/>
      <c r="AC38" s="616"/>
      <c r="AD38" s="746"/>
      <c r="AE38" s="746"/>
      <c r="AF38" s="746"/>
      <c r="AG38" s="852"/>
      <c r="AH38" s="853"/>
      <c r="AI38" s="793"/>
      <c r="AJ38" s="729"/>
      <c r="AK38" s="730"/>
      <c r="AL38" s="731"/>
      <c r="AM38" s="777"/>
      <c r="AN38" s="733"/>
      <c r="AO38" s="854"/>
      <c r="AP38" s="855"/>
      <c r="AR38" s="716" t="e">
        <f t="shared" si="2"/>
        <v>#N/A</v>
      </c>
      <c r="BG38" s="850"/>
    </row>
    <row r="39" ht="17.6" spans="1:59">
      <c r="A39" s="750"/>
      <c r="B39" s="737"/>
      <c r="C39" s="738"/>
      <c r="D39" s="738"/>
      <c r="E39" s="739">
        <f t="shared" si="3"/>
        <v>0</v>
      </c>
      <c r="F39" s="764"/>
      <c r="G39" s="752"/>
      <c r="H39" s="753"/>
      <c r="I39" s="752"/>
      <c r="J39" s="743"/>
      <c r="K39" s="754"/>
      <c r="L39" s="755">
        <f t="shared" si="4"/>
        <v>0</v>
      </c>
      <c r="M39" s="746"/>
      <c r="N39" s="747" t="e">
        <f t="shared" si="5"/>
        <v>#N/A</v>
      </c>
      <c r="O39" s="857"/>
      <c r="P39" s="857"/>
      <c r="Q39" s="616"/>
      <c r="R39" s="616"/>
      <c r="S39" s="616"/>
      <c r="T39" s="616"/>
      <c r="U39" s="616"/>
      <c r="V39" s="616"/>
      <c r="W39" s="616"/>
      <c r="X39" s="616"/>
      <c r="Y39" s="616"/>
      <c r="Z39" s="616"/>
      <c r="AA39" s="616"/>
      <c r="AB39" s="616"/>
      <c r="AC39" s="616"/>
      <c r="AD39" s="746"/>
      <c r="AE39" s="746"/>
      <c r="AF39" s="746"/>
      <c r="AG39" s="852"/>
      <c r="AH39" s="853"/>
      <c r="AI39" s="854"/>
      <c r="AJ39" s="729"/>
      <c r="AK39" s="730"/>
      <c r="AL39" s="731"/>
      <c r="AM39" s="854"/>
      <c r="AN39" s="733"/>
      <c r="AO39" s="854"/>
      <c r="AP39" s="855"/>
      <c r="AR39" s="716" t="e">
        <f t="shared" si="2"/>
        <v>#N/A</v>
      </c>
      <c r="BG39" s="850"/>
    </row>
    <row r="40" ht="17.6" spans="1:59">
      <c r="A40" s="750"/>
      <c r="B40" s="737"/>
      <c r="C40" s="738"/>
      <c r="D40" s="738"/>
      <c r="E40" s="739">
        <f t="shared" si="3"/>
        <v>0</v>
      </c>
      <c r="F40" s="764"/>
      <c r="G40" s="752"/>
      <c r="H40" s="753"/>
      <c r="I40" s="752"/>
      <c r="J40" s="743"/>
      <c r="K40" s="754"/>
      <c r="L40" s="755">
        <f t="shared" si="4"/>
        <v>0</v>
      </c>
      <c r="M40" s="746"/>
      <c r="N40" s="747" t="e">
        <f t="shared" si="5"/>
        <v>#N/A</v>
      </c>
      <c r="O40" s="857"/>
      <c r="P40" s="857"/>
      <c r="Q40" s="616"/>
      <c r="R40" s="616"/>
      <c r="S40" s="616"/>
      <c r="T40" s="616"/>
      <c r="U40" s="616"/>
      <c r="V40" s="616"/>
      <c r="W40" s="616"/>
      <c r="X40" s="616"/>
      <c r="Y40" s="616"/>
      <c r="Z40" s="616"/>
      <c r="AA40" s="616"/>
      <c r="AB40" s="616"/>
      <c r="AC40" s="616"/>
      <c r="AD40" s="746"/>
      <c r="AE40" s="746"/>
      <c r="AF40" s="746"/>
      <c r="AG40" s="852"/>
      <c r="AH40" s="853"/>
      <c r="AI40" s="854"/>
      <c r="AJ40" s="729"/>
      <c r="AK40" s="730"/>
      <c r="AL40" s="853"/>
      <c r="AM40" s="854"/>
      <c r="AN40" s="855"/>
      <c r="AO40" s="858"/>
      <c r="AP40" s="859"/>
      <c r="AR40" s="716" t="e">
        <f t="shared" si="2"/>
        <v>#N/A</v>
      </c>
      <c r="BG40" s="850"/>
    </row>
    <row r="41" ht="17.6" spans="1:59">
      <c r="A41" s="750"/>
      <c r="B41" s="737"/>
      <c r="C41" s="738"/>
      <c r="D41" s="738"/>
      <c r="E41" s="739">
        <f t="shared" si="3"/>
        <v>0</v>
      </c>
      <c r="F41" s="764"/>
      <c r="G41" s="752"/>
      <c r="H41" s="753"/>
      <c r="I41" s="752"/>
      <c r="J41" s="743"/>
      <c r="K41" s="754"/>
      <c r="L41" s="755">
        <f t="shared" si="4"/>
        <v>0</v>
      </c>
      <c r="M41" s="746"/>
      <c r="N41" s="747" t="e">
        <f t="shared" si="5"/>
        <v>#N/A</v>
      </c>
      <c r="O41" s="857"/>
      <c r="P41" s="857"/>
      <c r="Q41" s="616"/>
      <c r="R41" s="616"/>
      <c r="S41" s="616"/>
      <c r="T41" s="616"/>
      <c r="U41" s="616"/>
      <c r="V41" s="616"/>
      <c r="W41" s="616"/>
      <c r="X41" s="616"/>
      <c r="Y41" s="616"/>
      <c r="Z41" s="616"/>
      <c r="AA41" s="616"/>
      <c r="AB41" s="616"/>
      <c r="AC41" s="616"/>
      <c r="AD41" s="746"/>
      <c r="AE41" s="746"/>
      <c r="AF41" s="746"/>
      <c r="AG41" s="860"/>
      <c r="AH41" s="861" t="s">
        <v>193</v>
      </c>
      <c r="AI41" s="862">
        <f>SUM(AI32:AI40)</f>
        <v>0</v>
      </c>
      <c r="AJ41" s="862">
        <f>SUM(AJ32:AJ40)</f>
        <v>0</v>
      </c>
      <c r="AK41" s="784">
        <f>SUM(AK32:AK40)</f>
        <v>0</v>
      </c>
      <c r="AL41" s="863"/>
      <c r="AM41" s="864"/>
      <c r="AN41" s="865" t="s">
        <v>618</v>
      </c>
      <c r="AO41" s="866"/>
      <c r="AP41" s="865"/>
      <c r="AR41" s="716" t="e">
        <f t="shared" si="2"/>
        <v>#N/A</v>
      </c>
      <c r="BG41" s="850"/>
    </row>
    <row r="42" ht="17.6" spans="1:59">
      <c r="A42" s="750"/>
      <c r="B42" s="737"/>
      <c r="C42" s="738"/>
      <c r="D42" s="738"/>
      <c r="E42" s="739">
        <f t="shared" si="3"/>
        <v>0</v>
      </c>
      <c r="F42" s="764"/>
      <c r="G42" s="752"/>
      <c r="H42" s="753"/>
      <c r="I42" s="752"/>
      <c r="J42" s="743"/>
      <c r="K42" s="754"/>
      <c r="L42" s="755">
        <f t="shared" si="4"/>
        <v>0</v>
      </c>
      <c r="M42" s="746"/>
      <c r="N42" s="747" t="e">
        <f t="shared" si="5"/>
        <v>#N/A</v>
      </c>
      <c r="O42" s="857"/>
      <c r="P42" s="857"/>
      <c r="Q42" s="616"/>
      <c r="R42" s="616"/>
      <c r="S42" s="616"/>
      <c r="T42" s="616"/>
      <c r="U42" s="616"/>
      <c r="V42" s="616"/>
      <c r="W42" s="616"/>
      <c r="X42" s="616"/>
      <c r="Y42" s="616"/>
      <c r="Z42" s="616"/>
      <c r="AA42" s="616"/>
      <c r="AB42" s="616"/>
      <c r="AC42" s="616"/>
      <c r="AD42" s="746"/>
      <c r="AE42" s="746"/>
      <c r="AF42" s="746"/>
      <c r="AG42" s="846" t="s">
        <v>194</v>
      </c>
      <c r="AH42" s="728" t="s">
        <v>199</v>
      </c>
      <c r="AI42" s="793"/>
      <c r="AJ42" s="848"/>
      <c r="AK42" s="730">
        <f t="shared" ref="AK42:AK51" si="13">IF((AJ42-AI42)&gt;=0,0,IF(AJ42=1,-200,-400))</f>
        <v>0</v>
      </c>
      <c r="AL42" s="731"/>
      <c r="AM42" s="777"/>
      <c r="AN42" s="733">
        <f t="shared" ref="AN42:AN51" si="14">IF(AL42&gt;=0.67,1.1,IF(AL42&gt;=0.6,1,IF(AL42&gt;=0.45,0.9,0.8)))</f>
        <v>0.8</v>
      </c>
      <c r="AO42" s="848"/>
      <c r="AP42" s="849"/>
      <c r="AR42" s="716" t="e">
        <f t="shared" si="2"/>
        <v>#N/A</v>
      </c>
      <c r="BG42" s="850"/>
    </row>
    <row r="43" ht="17.6" spans="1:59">
      <c r="A43" s="750"/>
      <c r="B43" s="737"/>
      <c r="C43" s="738"/>
      <c r="D43" s="738"/>
      <c r="E43" s="739">
        <f t="shared" si="3"/>
        <v>0</v>
      </c>
      <c r="F43" s="764"/>
      <c r="G43" s="752"/>
      <c r="H43" s="753"/>
      <c r="I43" s="752"/>
      <c r="J43" s="743"/>
      <c r="K43" s="754"/>
      <c r="L43" s="755">
        <f t="shared" si="4"/>
        <v>0</v>
      </c>
      <c r="M43" s="746"/>
      <c r="N43" s="747" t="e">
        <f t="shared" si="5"/>
        <v>#N/A</v>
      </c>
      <c r="O43" s="857"/>
      <c r="P43" s="857"/>
      <c r="Q43" s="616"/>
      <c r="R43" s="616"/>
      <c r="S43" s="616"/>
      <c r="T43" s="616"/>
      <c r="U43" s="616"/>
      <c r="V43" s="616"/>
      <c r="W43" s="616"/>
      <c r="X43" s="616"/>
      <c r="Y43" s="616"/>
      <c r="Z43" s="616"/>
      <c r="AA43" s="616"/>
      <c r="AB43" s="616"/>
      <c r="AC43" s="616"/>
      <c r="AD43" s="746"/>
      <c r="AE43" s="746"/>
      <c r="AF43" s="746"/>
      <c r="AG43" s="852"/>
      <c r="AH43" s="728" t="s">
        <v>198</v>
      </c>
      <c r="AI43" s="793"/>
      <c r="AJ43" s="854"/>
      <c r="AK43" s="730">
        <f t="shared" si="13"/>
        <v>0</v>
      </c>
      <c r="AL43" s="731"/>
      <c r="AM43" s="777"/>
      <c r="AN43" s="733">
        <f t="shared" si="14"/>
        <v>0.8</v>
      </c>
      <c r="AO43" s="854"/>
      <c r="AP43" s="855"/>
      <c r="AR43" s="716" t="e">
        <f t="shared" si="2"/>
        <v>#N/A</v>
      </c>
      <c r="BG43" s="850"/>
    </row>
    <row r="44" ht="17.6" spans="1:59">
      <c r="A44" s="750"/>
      <c r="B44" s="737"/>
      <c r="C44" s="738"/>
      <c r="D44" s="738"/>
      <c r="E44" s="739">
        <f t="shared" si="3"/>
        <v>0</v>
      </c>
      <c r="F44" s="764"/>
      <c r="G44" s="752"/>
      <c r="H44" s="753"/>
      <c r="I44" s="752"/>
      <c r="J44" s="743"/>
      <c r="K44" s="754"/>
      <c r="L44" s="755">
        <f t="shared" si="4"/>
        <v>0</v>
      </c>
      <c r="M44" s="746"/>
      <c r="N44" s="747" t="e">
        <f t="shared" si="5"/>
        <v>#N/A</v>
      </c>
      <c r="O44" s="857"/>
      <c r="P44" s="857"/>
      <c r="Q44" s="616"/>
      <c r="R44" s="616"/>
      <c r="S44" s="616"/>
      <c r="T44" s="616"/>
      <c r="U44" s="616"/>
      <c r="V44" s="616"/>
      <c r="W44" s="616"/>
      <c r="X44" s="616"/>
      <c r="Y44" s="616"/>
      <c r="Z44" s="616"/>
      <c r="AA44" s="616"/>
      <c r="AB44" s="616"/>
      <c r="AC44" s="616"/>
      <c r="AD44" s="746"/>
      <c r="AE44" s="746"/>
      <c r="AF44" s="746"/>
      <c r="AG44" s="852"/>
      <c r="AH44" s="853" t="s">
        <v>196</v>
      </c>
      <c r="AI44" s="793"/>
      <c r="AJ44" s="854"/>
      <c r="AK44" s="730">
        <f t="shared" si="13"/>
        <v>0</v>
      </c>
      <c r="AL44" s="731"/>
      <c r="AM44" s="777"/>
      <c r="AN44" s="733">
        <f t="shared" si="14"/>
        <v>0.8</v>
      </c>
      <c r="AO44" s="854"/>
      <c r="AP44" s="855"/>
      <c r="AR44" s="716" t="e">
        <f t="shared" si="2"/>
        <v>#N/A</v>
      </c>
      <c r="BG44" s="850"/>
    </row>
    <row r="45" ht="17.6" spans="1:59">
      <c r="A45" s="750"/>
      <c r="B45" s="737"/>
      <c r="C45" s="738"/>
      <c r="D45" s="738"/>
      <c r="E45" s="739">
        <f t="shared" si="3"/>
        <v>0</v>
      </c>
      <c r="F45" s="764"/>
      <c r="G45" s="752"/>
      <c r="H45" s="753"/>
      <c r="I45" s="752"/>
      <c r="J45" s="743"/>
      <c r="K45" s="754"/>
      <c r="L45" s="755">
        <f t="shared" si="4"/>
        <v>0</v>
      </c>
      <c r="M45" s="746"/>
      <c r="N45" s="747" t="e">
        <f t="shared" si="5"/>
        <v>#N/A</v>
      </c>
      <c r="O45" s="857"/>
      <c r="P45" s="857"/>
      <c r="Q45" s="616"/>
      <c r="R45" s="616"/>
      <c r="S45" s="616"/>
      <c r="T45" s="616"/>
      <c r="U45" s="616"/>
      <c r="V45" s="616"/>
      <c r="W45" s="616"/>
      <c r="X45" s="616"/>
      <c r="Y45" s="616"/>
      <c r="Z45" s="616"/>
      <c r="AA45" s="616"/>
      <c r="AB45" s="616"/>
      <c r="AC45" s="616"/>
      <c r="AD45" s="746"/>
      <c r="AE45" s="746"/>
      <c r="AF45" s="746"/>
      <c r="AG45" s="852"/>
      <c r="AH45" s="573" t="s">
        <v>195</v>
      </c>
      <c r="AI45" s="793"/>
      <c r="AJ45" s="854"/>
      <c r="AK45" s="730">
        <f t="shared" si="13"/>
        <v>0</v>
      </c>
      <c r="AL45" s="731"/>
      <c r="AM45" s="777"/>
      <c r="AN45" s="733">
        <f t="shared" si="14"/>
        <v>0.8</v>
      </c>
      <c r="AO45" s="854"/>
      <c r="AP45" s="855"/>
      <c r="AR45" s="716" t="e">
        <f t="shared" si="2"/>
        <v>#N/A</v>
      </c>
      <c r="BG45" s="850"/>
    </row>
    <row r="46" ht="32.25" customHeight="1" spans="1:59">
      <c r="A46" s="750"/>
      <c r="B46" s="737"/>
      <c r="C46" s="738"/>
      <c r="D46" s="738"/>
      <c r="E46" s="739">
        <f t="shared" si="3"/>
        <v>0</v>
      </c>
      <c r="F46" s="764"/>
      <c r="G46" s="752"/>
      <c r="H46" s="753"/>
      <c r="I46" s="752"/>
      <c r="J46" s="743"/>
      <c r="K46" s="754"/>
      <c r="L46" s="755">
        <f t="shared" si="4"/>
        <v>0</v>
      </c>
      <c r="M46" s="746"/>
      <c r="N46" s="747" t="e">
        <f t="shared" si="5"/>
        <v>#N/A</v>
      </c>
      <c r="O46" s="857"/>
      <c r="P46" s="857"/>
      <c r="Q46" s="616"/>
      <c r="R46" s="616"/>
      <c r="S46" s="616"/>
      <c r="T46" s="616"/>
      <c r="U46" s="616"/>
      <c r="V46" s="616"/>
      <c r="W46" s="616"/>
      <c r="X46" s="616"/>
      <c r="Y46" s="616"/>
      <c r="Z46" s="616"/>
      <c r="AA46" s="616"/>
      <c r="AB46" s="616"/>
      <c r="AC46" s="616"/>
      <c r="AD46" s="746"/>
      <c r="AE46" s="746"/>
      <c r="AF46" s="746"/>
      <c r="AG46" s="852"/>
      <c r="AH46" s="728" t="s">
        <v>200</v>
      </c>
      <c r="AI46" s="793"/>
      <c r="AJ46" s="854"/>
      <c r="AK46" s="730">
        <f t="shared" si="13"/>
        <v>0</v>
      </c>
      <c r="AL46" s="731"/>
      <c r="AM46" s="777"/>
      <c r="AN46" s="733">
        <f t="shared" si="14"/>
        <v>0.8</v>
      </c>
      <c r="AO46" s="854"/>
      <c r="AP46" s="855"/>
      <c r="AR46" s="716" t="e">
        <f t="shared" si="2"/>
        <v>#N/A</v>
      </c>
      <c r="BG46" s="867"/>
    </row>
    <row r="47" ht="17.6" spans="1:59">
      <c r="A47" s="750"/>
      <c r="B47" s="737"/>
      <c r="C47" s="738"/>
      <c r="D47" s="738"/>
      <c r="E47" s="739">
        <f t="shared" si="3"/>
        <v>0</v>
      </c>
      <c r="F47" s="764"/>
      <c r="G47" s="752"/>
      <c r="H47" s="753"/>
      <c r="I47" s="752"/>
      <c r="J47" s="743"/>
      <c r="K47" s="754"/>
      <c r="L47" s="755">
        <f t="shared" si="4"/>
        <v>0</v>
      </c>
      <c r="M47" s="746"/>
      <c r="N47" s="747" t="e">
        <f t="shared" si="5"/>
        <v>#N/A</v>
      </c>
      <c r="O47" s="857"/>
      <c r="P47" s="857"/>
      <c r="Q47" s="616"/>
      <c r="R47" s="616"/>
      <c r="S47" s="616"/>
      <c r="T47" s="616"/>
      <c r="U47" s="616"/>
      <c r="V47" s="616"/>
      <c r="W47" s="616"/>
      <c r="X47" s="616"/>
      <c r="Y47" s="616"/>
      <c r="Z47" s="616"/>
      <c r="AA47" s="616"/>
      <c r="AB47" s="616"/>
      <c r="AC47" s="616"/>
      <c r="AD47" s="746"/>
      <c r="AE47" s="746"/>
      <c r="AF47" s="746"/>
      <c r="AG47" s="852"/>
      <c r="AH47" s="853" t="s">
        <v>201</v>
      </c>
      <c r="AI47" s="793"/>
      <c r="AJ47" s="729"/>
      <c r="AK47" s="730">
        <f t="shared" si="13"/>
        <v>0</v>
      </c>
      <c r="AL47" s="731"/>
      <c r="AM47" s="777"/>
      <c r="AN47" s="733">
        <f t="shared" si="14"/>
        <v>0.8</v>
      </c>
      <c r="AO47" s="854"/>
      <c r="AP47" s="855"/>
      <c r="AR47" s="716" t="e">
        <f t="shared" si="2"/>
        <v>#N/A</v>
      </c>
      <c r="BG47" s="867"/>
    </row>
    <row r="48" ht="17.6" spans="1:59">
      <c r="A48" s="750"/>
      <c r="B48" s="737"/>
      <c r="C48" s="738"/>
      <c r="D48" s="738"/>
      <c r="E48" s="739">
        <f t="shared" si="3"/>
        <v>0</v>
      </c>
      <c r="F48" s="764"/>
      <c r="G48" s="752"/>
      <c r="H48" s="753"/>
      <c r="I48" s="752"/>
      <c r="J48" s="743"/>
      <c r="K48" s="754"/>
      <c r="L48" s="755">
        <f t="shared" si="4"/>
        <v>0</v>
      </c>
      <c r="M48" s="746"/>
      <c r="N48" s="747" t="e">
        <f t="shared" si="5"/>
        <v>#N/A</v>
      </c>
      <c r="O48" s="857"/>
      <c r="P48" s="857"/>
      <c r="Q48" s="616"/>
      <c r="R48" s="616"/>
      <c r="S48" s="616"/>
      <c r="T48" s="616"/>
      <c r="U48" s="616"/>
      <c r="V48" s="616"/>
      <c r="W48" s="616"/>
      <c r="X48" s="616"/>
      <c r="Y48" s="616"/>
      <c r="Z48" s="616"/>
      <c r="AA48" s="616"/>
      <c r="AB48" s="616"/>
      <c r="AC48" s="616"/>
      <c r="AD48" s="746"/>
      <c r="AE48" s="746"/>
      <c r="AF48" s="746"/>
      <c r="AG48" s="852"/>
      <c r="AH48" s="853" t="s">
        <v>203</v>
      </c>
      <c r="AI48" s="793"/>
      <c r="AJ48" s="729"/>
      <c r="AK48" s="730">
        <f t="shared" si="13"/>
        <v>0</v>
      </c>
      <c r="AL48" s="731"/>
      <c r="AM48" s="777"/>
      <c r="AN48" s="733">
        <f t="shared" si="14"/>
        <v>0.8</v>
      </c>
      <c r="AO48" s="854"/>
      <c r="AP48" s="855"/>
      <c r="AR48" s="716" t="e">
        <f t="shared" si="2"/>
        <v>#N/A</v>
      </c>
      <c r="BG48" s="867"/>
    </row>
    <row r="49" ht="17.6" spans="1:59">
      <c r="A49" s="750"/>
      <c r="B49" s="737"/>
      <c r="C49" s="738"/>
      <c r="D49" s="738"/>
      <c r="E49" s="739">
        <f t="shared" si="3"/>
        <v>0</v>
      </c>
      <c r="F49" s="764"/>
      <c r="G49" s="752"/>
      <c r="H49" s="753"/>
      <c r="I49" s="752"/>
      <c r="J49" s="743"/>
      <c r="K49" s="754"/>
      <c r="L49" s="755">
        <f t="shared" si="4"/>
        <v>0</v>
      </c>
      <c r="M49" s="746"/>
      <c r="N49" s="747" t="e">
        <f t="shared" si="5"/>
        <v>#N/A</v>
      </c>
      <c r="O49" s="857"/>
      <c r="P49" s="857"/>
      <c r="Q49" s="616"/>
      <c r="R49" s="616"/>
      <c r="S49" s="616"/>
      <c r="T49" s="616"/>
      <c r="U49" s="616"/>
      <c r="V49" s="616"/>
      <c r="W49" s="616"/>
      <c r="X49" s="616"/>
      <c r="Y49" s="616"/>
      <c r="Z49" s="616"/>
      <c r="AA49" s="616"/>
      <c r="AB49" s="616"/>
      <c r="AC49" s="616"/>
      <c r="AD49" s="746"/>
      <c r="AE49" s="746"/>
      <c r="AF49" s="746"/>
      <c r="AG49" s="852"/>
      <c r="AH49" s="853" t="s">
        <v>202</v>
      </c>
      <c r="AI49" s="793"/>
      <c r="AJ49" s="854"/>
      <c r="AK49" s="730">
        <f t="shared" si="13"/>
        <v>0</v>
      </c>
      <c r="AL49" s="731"/>
      <c r="AM49" s="777"/>
      <c r="AN49" s="733">
        <f t="shared" si="14"/>
        <v>0.8</v>
      </c>
      <c r="AO49" s="854"/>
      <c r="AP49" s="855"/>
      <c r="AR49" s="716" t="e">
        <f t="shared" si="2"/>
        <v>#N/A</v>
      </c>
      <c r="BG49" s="867"/>
    </row>
    <row r="50" ht="17.6" spans="1:59">
      <c r="A50" s="750"/>
      <c r="B50" s="737"/>
      <c r="C50" s="738"/>
      <c r="D50" s="738"/>
      <c r="E50" s="739"/>
      <c r="F50" s="764"/>
      <c r="G50" s="752"/>
      <c r="H50" s="753"/>
      <c r="I50" s="752"/>
      <c r="J50" s="743"/>
      <c r="K50" s="754"/>
      <c r="L50" s="755"/>
      <c r="M50" s="746"/>
      <c r="N50" s="747" t="e">
        <f t="shared" si="5"/>
        <v>#N/A</v>
      </c>
      <c r="O50" s="857"/>
      <c r="P50" s="857"/>
      <c r="Q50" s="616"/>
      <c r="R50" s="616"/>
      <c r="S50" s="616"/>
      <c r="T50" s="616"/>
      <c r="U50" s="616"/>
      <c r="V50" s="616"/>
      <c r="W50" s="616"/>
      <c r="X50" s="616"/>
      <c r="Y50" s="616"/>
      <c r="Z50" s="616"/>
      <c r="AA50" s="616"/>
      <c r="AB50" s="616"/>
      <c r="AC50" s="616"/>
      <c r="AD50" s="746"/>
      <c r="AE50" s="746"/>
      <c r="AF50" s="746"/>
      <c r="AG50" s="852"/>
      <c r="AH50" s="853" t="s">
        <v>197</v>
      </c>
      <c r="AI50" s="793"/>
      <c r="AJ50" s="854"/>
      <c r="AK50" s="730">
        <f t="shared" si="13"/>
        <v>0</v>
      </c>
      <c r="AL50" s="731"/>
      <c r="AM50" s="777"/>
      <c r="AN50" s="733">
        <f t="shared" si="14"/>
        <v>0.8</v>
      </c>
      <c r="AO50" s="854"/>
      <c r="AP50" s="855"/>
      <c r="AR50" s="716" t="e">
        <f t="shared" si="2"/>
        <v>#N/A</v>
      </c>
      <c r="BG50" s="867"/>
    </row>
    <row r="51" ht="17.6" spans="1:59">
      <c r="A51" s="750"/>
      <c r="B51" s="737"/>
      <c r="C51" s="738"/>
      <c r="D51" s="738"/>
      <c r="E51" s="739">
        <f t="shared" ref="E51:E67" si="15">SUMIF(AH:AH,B51,AK:AK)</f>
        <v>0</v>
      </c>
      <c r="F51" s="764"/>
      <c r="G51" s="752"/>
      <c r="H51" s="753"/>
      <c r="I51" s="752"/>
      <c r="J51" s="743"/>
      <c r="K51" s="754"/>
      <c r="L51" s="755">
        <f t="shared" ref="L51:L114" si="16">SUM(C51:K51)-SUM(J51:K51)</f>
        <v>0</v>
      </c>
      <c r="M51" s="746"/>
      <c r="N51" s="747" t="e">
        <f t="shared" si="5"/>
        <v>#N/A</v>
      </c>
      <c r="O51" s="857"/>
      <c r="P51" s="857"/>
      <c r="Q51" s="616"/>
      <c r="R51" s="616"/>
      <c r="S51" s="616"/>
      <c r="T51" s="616"/>
      <c r="U51" s="616"/>
      <c r="V51" s="616"/>
      <c r="W51" s="616"/>
      <c r="X51" s="616"/>
      <c r="Y51" s="616"/>
      <c r="Z51" s="616"/>
      <c r="AA51" s="616"/>
      <c r="AB51" s="616"/>
      <c r="AC51" s="616"/>
      <c r="AD51" s="746"/>
      <c r="AE51" s="746"/>
      <c r="AF51" s="746"/>
      <c r="AG51" s="852"/>
      <c r="AH51" s="853" t="s">
        <v>204</v>
      </c>
      <c r="AI51" s="793"/>
      <c r="AJ51" s="854"/>
      <c r="AK51" s="730">
        <f t="shared" si="13"/>
        <v>0</v>
      </c>
      <c r="AL51" s="731"/>
      <c r="AM51" s="777"/>
      <c r="AN51" s="733">
        <f t="shared" si="14"/>
        <v>0.8</v>
      </c>
      <c r="AO51" s="854"/>
      <c r="AP51" s="855"/>
      <c r="AR51" s="716" t="e">
        <f t="shared" si="2"/>
        <v>#N/A</v>
      </c>
      <c r="BG51" s="867"/>
    </row>
    <row r="52" ht="17.6" spans="1:59">
      <c r="A52" s="750"/>
      <c r="B52" s="737"/>
      <c r="C52" s="738"/>
      <c r="D52" s="738"/>
      <c r="E52" s="739">
        <f t="shared" si="15"/>
        <v>0</v>
      </c>
      <c r="F52" s="764"/>
      <c r="G52" s="752"/>
      <c r="H52" s="753"/>
      <c r="I52" s="752"/>
      <c r="J52" s="743"/>
      <c r="K52" s="754"/>
      <c r="L52" s="755">
        <f t="shared" si="16"/>
        <v>0</v>
      </c>
      <c r="M52" s="746"/>
      <c r="N52" s="747" t="e">
        <f t="shared" si="5"/>
        <v>#N/A</v>
      </c>
      <c r="O52" s="857"/>
      <c r="P52" s="857"/>
      <c r="Q52" s="616"/>
      <c r="R52" s="616"/>
      <c r="S52" s="616"/>
      <c r="T52" s="616"/>
      <c r="U52" s="616"/>
      <c r="V52" s="616"/>
      <c r="W52" s="616"/>
      <c r="X52" s="616"/>
      <c r="Y52" s="616"/>
      <c r="Z52" s="616"/>
      <c r="AA52" s="616"/>
      <c r="AB52" s="616"/>
      <c r="AC52" s="616"/>
      <c r="AD52" s="746"/>
      <c r="AE52" s="746"/>
      <c r="AF52" s="746"/>
      <c r="AG52" s="852"/>
      <c r="AH52" s="853"/>
      <c r="AI52" s="854"/>
      <c r="AJ52" s="854"/>
      <c r="AK52" s="730"/>
      <c r="AL52" s="731"/>
      <c r="AM52" s="777"/>
      <c r="AN52" s="733"/>
      <c r="AO52" s="854"/>
      <c r="AP52" s="855"/>
      <c r="AR52" s="716" t="e">
        <f t="shared" si="2"/>
        <v>#N/A</v>
      </c>
    </row>
    <row r="53" ht="17.6" spans="1:59">
      <c r="A53" s="750"/>
      <c r="B53" s="737"/>
      <c r="C53" s="738"/>
      <c r="D53" s="738"/>
      <c r="E53" s="739">
        <f t="shared" si="15"/>
        <v>0</v>
      </c>
      <c r="F53" s="764"/>
      <c r="G53" s="752"/>
      <c r="H53" s="753"/>
      <c r="I53" s="752"/>
      <c r="J53" s="743"/>
      <c r="K53" s="754"/>
      <c r="L53" s="755">
        <f t="shared" si="16"/>
        <v>0</v>
      </c>
      <c r="M53" s="746"/>
      <c r="N53" s="747" t="e">
        <f t="shared" si="5"/>
        <v>#N/A</v>
      </c>
      <c r="O53" s="857"/>
      <c r="P53" s="857"/>
      <c r="Q53" s="616"/>
      <c r="R53" s="616"/>
      <c r="S53" s="616"/>
      <c r="T53" s="616"/>
      <c r="U53" s="616"/>
      <c r="V53" s="616"/>
      <c r="W53" s="616"/>
      <c r="X53" s="616"/>
      <c r="Y53" s="616"/>
      <c r="Z53" s="616"/>
      <c r="AA53" s="616"/>
      <c r="AB53" s="616"/>
      <c r="AC53" s="616"/>
      <c r="AD53" s="746"/>
      <c r="AE53" s="746"/>
      <c r="AF53" s="746"/>
      <c r="AG53" s="852"/>
      <c r="AH53" s="853"/>
      <c r="AI53" s="854"/>
      <c r="AJ53" s="854"/>
      <c r="AK53" s="730"/>
      <c r="AL53" s="731"/>
      <c r="AM53" s="777"/>
      <c r="AN53" s="855"/>
      <c r="AO53" s="854"/>
      <c r="AP53" s="855"/>
      <c r="AR53" s="716" t="e">
        <f t="shared" si="2"/>
        <v>#N/A</v>
      </c>
    </row>
    <row r="54" ht="17.6" spans="1:59">
      <c r="A54" s="750"/>
      <c r="B54" s="737"/>
      <c r="C54" s="738"/>
      <c r="D54" s="738"/>
      <c r="E54" s="739">
        <f t="shared" si="15"/>
        <v>0</v>
      </c>
      <c r="G54" s="752"/>
      <c r="H54" s="753"/>
      <c r="I54" s="752"/>
      <c r="J54" s="743"/>
      <c r="K54" s="754"/>
      <c r="L54" s="755">
        <f t="shared" si="16"/>
        <v>0</v>
      </c>
      <c r="M54" s="746"/>
      <c r="N54" s="747" t="e">
        <f t="shared" si="5"/>
        <v>#N/A</v>
      </c>
      <c r="O54" s="857"/>
      <c r="P54" s="857"/>
      <c r="Q54" s="616"/>
      <c r="R54" s="616"/>
      <c r="S54" s="616"/>
      <c r="T54" s="616"/>
      <c r="U54" s="616"/>
      <c r="V54" s="616"/>
      <c r="W54" s="616"/>
      <c r="X54" s="616"/>
      <c r="Y54" s="616"/>
      <c r="Z54" s="616"/>
      <c r="AA54" s="616"/>
      <c r="AB54" s="616"/>
      <c r="AC54" s="616"/>
      <c r="AD54" s="746"/>
      <c r="AE54" s="746"/>
      <c r="AF54" s="746"/>
      <c r="AG54" s="860"/>
      <c r="AH54" s="861" t="s">
        <v>193</v>
      </c>
      <c r="AI54" s="862">
        <f>SUM(AI42:AI53)</f>
        <v>0</v>
      </c>
      <c r="AJ54" s="862">
        <f>SUM(AJ42:AJ53)</f>
        <v>0</v>
      </c>
      <c r="AK54" s="784">
        <f>SUM(AK42:AK53)</f>
        <v>0</v>
      </c>
      <c r="AL54" s="863"/>
      <c r="AM54" s="864"/>
      <c r="AN54" s="865" t="s">
        <v>618</v>
      </c>
      <c r="AO54" s="866"/>
      <c r="AP54" s="865"/>
      <c r="AR54" s="716" t="e">
        <f t="shared" si="2"/>
        <v>#N/A</v>
      </c>
    </row>
    <row r="55" ht="17.6" spans="1:59">
      <c r="A55" s="750"/>
      <c r="B55" s="737"/>
      <c r="C55" s="738"/>
      <c r="D55" s="738"/>
      <c r="E55" s="739">
        <f t="shared" si="15"/>
        <v>0</v>
      </c>
      <c r="F55" s="746"/>
      <c r="G55" s="752"/>
      <c r="H55" s="753"/>
      <c r="I55" s="752"/>
      <c r="J55" s="743"/>
      <c r="K55" s="754"/>
      <c r="L55" s="755">
        <f t="shared" si="16"/>
        <v>0</v>
      </c>
      <c r="M55" s="746"/>
      <c r="N55" s="747" t="e">
        <f t="shared" si="5"/>
        <v>#N/A</v>
      </c>
      <c r="O55" s="857"/>
      <c r="P55" s="857"/>
      <c r="Q55" s="616"/>
      <c r="R55" s="616"/>
      <c r="S55" s="616"/>
      <c r="T55" s="616"/>
      <c r="U55" s="616"/>
      <c r="V55" s="616"/>
      <c r="W55" s="616"/>
      <c r="X55" s="616"/>
      <c r="Y55" s="616"/>
      <c r="Z55" s="616"/>
      <c r="AA55" s="616"/>
      <c r="AB55" s="616"/>
      <c r="AC55" s="616"/>
      <c r="AD55" s="746"/>
      <c r="AE55" s="746"/>
      <c r="AF55" s="746"/>
      <c r="AG55" s="868" t="s">
        <v>884</v>
      </c>
      <c r="AH55" s="869"/>
      <c r="AI55" s="870">
        <f>AI41+AI54</f>
        <v>0</v>
      </c>
      <c r="AJ55" s="870">
        <f>AJ41+AJ54</f>
        <v>0</v>
      </c>
      <c r="AK55" s="823">
        <f>AK41+AK54</f>
        <v>0</v>
      </c>
      <c r="AL55" s="871" t="s">
        <v>618</v>
      </c>
      <c r="AM55" s="872"/>
      <c r="AN55" s="873" t="s">
        <v>618</v>
      </c>
      <c r="AO55" s="870">
        <f>(SUM(AO32:AO39)+SUM(AO41:AO53))/17</f>
        <v>0</v>
      </c>
      <c r="AP55" s="873" t="s">
        <v>618</v>
      </c>
      <c r="AR55" s="716" t="e">
        <f t="shared" si="2"/>
        <v>#N/A</v>
      </c>
    </row>
    <row r="56" ht="17.6" spans="1:59">
      <c r="A56" s="750"/>
      <c r="B56" s="737"/>
      <c r="C56" s="738"/>
      <c r="D56" s="738"/>
      <c r="E56" s="739">
        <f t="shared" si="15"/>
        <v>0</v>
      </c>
      <c r="F56" s="764"/>
      <c r="G56" s="752"/>
      <c r="H56" s="753"/>
      <c r="I56" s="752"/>
      <c r="J56" s="743"/>
      <c r="K56" s="754"/>
      <c r="L56" s="755">
        <f t="shared" si="16"/>
        <v>0</v>
      </c>
      <c r="M56" s="746"/>
      <c r="N56" s="747" t="e">
        <f t="shared" si="5"/>
        <v>#N/A</v>
      </c>
      <c r="O56" s="857"/>
      <c r="P56" s="857"/>
      <c r="Q56" s="616"/>
      <c r="R56" s="616"/>
      <c r="S56" s="616"/>
      <c r="T56" s="616"/>
      <c r="U56" s="616"/>
      <c r="V56" s="616"/>
      <c r="W56" s="616"/>
      <c r="X56" s="616"/>
      <c r="Y56" s="616"/>
      <c r="Z56" s="616"/>
      <c r="AA56" s="616"/>
      <c r="AB56" s="616"/>
      <c r="AC56" s="616"/>
      <c r="AD56" s="746"/>
      <c r="AE56" s="746"/>
      <c r="AF56" s="746"/>
      <c r="AG56" s="573"/>
      <c r="AH56" s="573"/>
      <c r="AI56" s="573"/>
      <c r="AJ56" s="573"/>
      <c r="AK56" s="573"/>
      <c r="AL56" s="573"/>
      <c r="AM56" s="573"/>
      <c r="AN56" s="573"/>
      <c r="AO56" s="573"/>
      <c r="AP56" s="573"/>
      <c r="AQ56" s="874"/>
      <c r="AR56" s="716" t="e">
        <f t="shared" si="2"/>
        <v>#N/A</v>
      </c>
    </row>
    <row r="57" ht="17.6" spans="1:59">
      <c r="A57" s="750"/>
      <c r="B57" s="737"/>
      <c r="C57" s="738"/>
      <c r="D57" s="738"/>
      <c r="E57" s="739">
        <f t="shared" si="15"/>
        <v>0</v>
      </c>
      <c r="F57" s="764"/>
      <c r="G57" s="752"/>
      <c r="H57" s="753"/>
      <c r="I57" s="752"/>
      <c r="J57" s="743"/>
      <c r="K57" s="754"/>
      <c r="L57" s="755">
        <f t="shared" si="16"/>
        <v>0</v>
      </c>
      <c r="M57" s="746"/>
      <c r="N57" s="747" t="e">
        <f t="shared" si="5"/>
        <v>#N/A</v>
      </c>
      <c r="O57" s="857"/>
      <c r="P57" s="857"/>
      <c r="Q57" s="616"/>
      <c r="R57" s="616"/>
      <c r="S57" s="616"/>
      <c r="T57" s="616"/>
      <c r="U57" s="616"/>
      <c r="V57" s="616"/>
      <c r="W57" s="616"/>
      <c r="X57" s="616"/>
      <c r="Y57" s="616"/>
      <c r="Z57" s="616"/>
      <c r="AA57" s="616"/>
      <c r="AB57" s="616"/>
      <c r="AC57" s="616"/>
      <c r="AD57" s="746"/>
      <c r="AE57" s="746"/>
      <c r="AF57" s="746"/>
      <c r="AG57" s="692" t="s">
        <v>791</v>
      </c>
      <c r="AH57" s="693" t="s">
        <v>11</v>
      </c>
      <c r="AI57" s="694" t="s">
        <v>799</v>
      </c>
      <c r="AJ57" s="695"/>
      <c r="AK57" s="696"/>
      <c r="AL57" s="697" t="s">
        <v>800</v>
      </c>
      <c r="AM57" s="695"/>
      <c r="AN57" s="696"/>
      <c r="AO57" s="694" t="s">
        <v>801</v>
      </c>
      <c r="AP57" s="696"/>
      <c r="AQ57" s="874"/>
      <c r="AR57" s="716" t="e">
        <f t="shared" si="2"/>
        <v>#N/A</v>
      </c>
    </row>
    <row r="58" ht="17.6" spans="1:59">
      <c r="A58" s="750"/>
      <c r="B58" s="737"/>
      <c r="C58" s="738"/>
      <c r="D58" s="738"/>
      <c r="E58" s="739">
        <f t="shared" si="15"/>
        <v>0</v>
      </c>
      <c r="F58" s="875"/>
      <c r="G58" s="752"/>
      <c r="H58" s="753"/>
      <c r="I58" s="752"/>
      <c r="J58" s="743"/>
      <c r="K58" s="754"/>
      <c r="L58" s="755">
        <f t="shared" si="16"/>
        <v>0</v>
      </c>
      <c r="M58" s="746"/>
      <c r="N58" s="747" t="e">
        <f t="shared" si="5"/>
        <v>#N/A</v>
      </c>
      <c r="O58" s="857"/>
      <c r="P58" s="857"/>
      <c r="Q58" s="616"/>
      <c r="R58" s="616"/>
      <c r="S58" s="616"/>
      <c r="T58" s="616"/>
      <c r="U58" s="616"/>
      <c r="V58" s="616"/>
      <c r="W58" s="616"/>
      <c r="X58" s="616"/>
      <c r="Y58" s="616"/>
      <c r="Z58" s="616"/>
      <c r="AA58" s="616"/>
      <c r="AB58" s="616"/>
      <c r="AC58" s="616"/>
      <c r="AD58" s="746"/>
      <c r="AE58" s="746"/>
      <c r="AF58" s="746"/>
      <c r="AG58" s="699"/>
      <c r="AH58" s="700"/>
      <c r="AI58" s="701" t="s">
        <v>802</v>
      </c>
      <c r="AJ58" s="701" t="s">
        <v>803</v>
      </c>
      <c r="AK58" s="702" t="s">
        <v>155</v>
      </c>
      <c r="AL58" s="842" t="s">
        <v>804</v>
      </c>
      <c r="AM58" s="843" t="s">
        <v>805</v>
      </c>
      <c r="AN58" s="705" t="s">
        <v>806</v>
      </c>
      <c r="AO58" s="701" t="s">
        <v>807</v>
      </c>
      <c r="AP58" s="705" t="s">
        <v>808</v>
      </c>
      <c r="AQ58" s="874"/>
      <c r="AR58" s="716" t="e">
        <f t="shared" si="2"/>
        <v>#N/A</v>
      </c>
    </row>
    <row r="59" ht="17.6" spans="1:59">
      <c r="A59" s="750"/>
      <c r="B59" s="737"/>
      <c r="C59" s="738"/>
      <c r="D59" s="738"/>
      <c r="E59" s="739">
        <f t="shared" si="15"/>
        <v>0</v>
      </c>
      <c r="F59" s="764"/>
      <c r="G59" s="752"/>
      <c r="H59" s="753"/>
      <c r="I59" s="752"/>
      <c r="J59" s="743"/>
      <c r="K59" s="754"/>
      <c r="L59" s="755">
        <f t="shared" si="16"/>
        <v>0</v>
      </c>
      <c r="M59" s="746"/>
      <c r="N59" s="747" t="e">
        <f t="shared" si="5"/>
        <v>#N/A</v>
      </c>
      <c r="O59" s="857"/>
      <c r="P59" s="857"/>
      <c r="Q59" s="616"/>
      <c r="R59" s="616"/>
      <c r="S59" s="616"/>
      <c r="T59" s="616"/>
      <c r="U59" s="616"/>
      <c r="V59" s="616"/>
      <c r="W59" s="616"/>
      <c r="X59" s="616"/>
      <c r="Y59" s="616"/>
      <c r="Z59" s="616"/>
      <c r="AA59" s="616"/>
      <c r="AB59" s="616"/>
      <c r="AC59" s="616"/>
      <c r="AD59" s="746"/>
      <c r="AE59" s="746"/>
      <c r="AF59" s="746"/>
      <c r="AG59" s="876" t="s">
        <v>885</v>
      </c>
      <c r="AH59" s="709" t="s">
        <v>266</v>
      </c>
      <c r="AI59" s="710"/>
      <c r="AJ59" s="710"/>
      <c r="AK59" s="730">
        <f>IF((AJ59-AI59)&gt;=0,0,IF(AJ59=1,-200,-400))</f>
        <v>0</v>
      </c>
      <c r="AL59" s="731"/>
      <c r="AM59" s="777"/>
      <c r="AN59" s="733">
        <f>IF(AL59&gt;=0.67,1.1,IF(AL59&gt;=0.6,1,IF(AL59&gt;=0.45,0.9,0.8)))</f>
        <v>0.8</v>
      </c>
      <c r="AO59" s="734"/>
      <c r="AP59" s="714"/>
      <c r="AQ59" s="874"/>
      <c r="AR59" s="716" t="e">
        <f t="shared" si="2"/>
        <v>#N/A</v>
      </c>
    </row>
    <row r="60" ht="17.6" spans="1:59">
      <c r="A60" s="750"/>
      <c r="B60" s="737"/>
      <c r="C60" s="738"/>
      <c r="D60" s="738"/>
      <c r="E60" s="739">
        <f t="shared" si="15"/>
        <v>0</v>
      </c>
      <c r="F60" s="764"/>
      <c r="G60" s="752"/>
      <c r="H60" s="753"/>
      <c r="I60" s="752"/>
      <c r="J60" s="743"/>
      <c r="K60" s="754"/>
      <c r="L60" s="755">
        <f t="shared" si="16"/>
        <v>0</v>
      </c>
      <c r="M60" s="746"/>
      <c r="N60" s="747" t="e">
        <f t="shared" si="5"/>
        <v>#N/A</v>
      </c>
      <c r="O60" s="857"/>
      <c r="P60" s="857"/>
      <c r="Q60" s="616"/>
      <c r="R60" s="616"/>
      <c r="S60" s="616"/>
      <c r="T60" s="616"/>
      <c r="U60" s="616"/>
      <c r="V60" s="616"/>
      <c r="W60" s="616"/>
      <c r="X60" s="616"/>
      <c r="Y60" s="616"/>
      <c r="Z60" s="616"/>
      <c r="AA60" s="616"/>
      <c r="AB60" s="616"/>
      <c r="AC60" s="616"/>
      <c r="AD60" s="746"/>
      <c r="AE60" s="746"/>
      <c r="AF60" s="746"/>
      <c r="AG60" s="877"/>
      <c r="AH60" s="728" t="s">
        <v>265</v>
      </c>
      <c r="AI60" s="729"/>
      <c r="AJ60" s="729"/>
      <c r="AK60" s="730">
        <f>IF((AJ60-AI60)&gt;=0,0,IF(AJ60=1,-200,-400))</f>
        <v>0</v>
      </c>
      <c r="AL60" s="731"/>
      <c r="AM60" s="777"/>
      <c r="AN60" s="733">
        <f>IF(AL60&gt;=0.67,1.1,IF(AL60&gt;=0.6,1,IF(AL60&gt;=0.45,0.9,0.8)))</f>
        <v>0.8</v>
      </c>
      <c r="AO60" s="734"/>
      <c r="AP60" s="733"/>
      <c r="AQ60" s="874"/>
      <c r="AR60" s="716" t="e">
        <f t="shared" si="2"/>
        <v>#N/A</v>
      </c>
    </row>
    <row r="61" ht="17.6" spans="1:59">
      <c r="A61" s="750"/>
      <c r="B61" s="737"/>
      <c r="C61" s="738"/>
      <c r="D61" s="738"/>
      <c r="E61" s="739">
        <f t="shared" si="15"/>
        <v>0</v>
      </c>
      <c r="F61" s="764"/>
      <c r="G61" s="752"/>
      <c r="H61" s="753"/>
      <c r="I61" s="752"/>
      <c r="J61" s="743"/>
      <c r="K61" s="754"/>
      <c r="L61" s="755">
        <f t="shared" si="16"/>
        <v>0</v>
      </c>
      <c r="M61" s="746"/>
      <c r="N61" s="747" t="e">
        <f t="shared" si="5"/>
        <v>#N/A</v>
      </c>
      <c r="O61" s="857"/>
      <c r="P61" s="857"/>
      <c r="Q61" s="616"/>
      <c r="R61" s="616"/>
      <c r="S61" s="616"/>
      <c r="T61" s="616"/>
      <c r="U61" s="616"/>
      <c r="V61" s="616"/>
      <c r="W61" s="616"/>
      <c r="X61" s="616"/>
      <c r="Y61" s="616"/>
      <c r="Z61" s="616"/>
      <c r="AA61" s="616"/>
      <c r="AB61" s="616"/>
      <c r="AC61" s="616"/>
      <c r="AD61" s="746"/>
      <c r="AE61" s="746"/>
      <c r="AF61" s="746"/>
      <c r="AG61" s="877"/>
      <c r="AH61" s="728" t="s">
        <v>264</v>
      </c>
      <c r="AI61" s="729"/>
      <c r="AJ61" s="729"/>
      <c r="AK61" s="730">
        <f>IF((AJ61-AI61)&gt;=0,0,IF(AJ61=1,-200,-400))</f>
        <v>0</v>
      </c>
      <c r="AL61" s="731"/>
      <c r="AM61" s="777"/>
      <c r="AN61" s="733">
        <f>IF(AL61&gt;=0.67,1.1,IF(AL61&gt;=0.6,1,IF(AL61&gt;=0.45,0.9,0.8)))</f>
        <v>0.8</v>
      </c>
      <c r="AO61" s="734"/>
      <c r="AP61" s="733"/>
      <c r="AQ61" s="874"/>
      <c r="AR61" s="716" t="e">
        <f t="shared" si="2"/>
        <v>#N/A</v>
      </c>
    </row>
    <row r="62" ht="17.6" spans="1:59">
      <c r="A62" s="750"/>
      <c r="B62" s="737"/>
      <c r="C62" s="738"/>
      <c r="D62" s="738"/>
      <c r="E62" s="739">
        <f t="shared" si="15"/>
        <v>0</v>
      </c>
      <c r="F62" s="764"/>
      <c r="G62" s="752"/>
      <c r="H62" s="753"/>
      <c r="I62" s="752"/>
      <c r="J62" s="743"/>
      <c r="K62" s="754"/>
      <c r="L62" s="755">
        <f t="shared" si="16"/>
        <v>0</v>
      </c>
      <c r="M62" s="746"/>
      <c r="N62" s="747" t="e">
        <f t="shared" si="5"/>
        <v>#N/A</v>
      </c>
      <c r="O62" s="857"/>
      <c r="P62" s="857"/>
      <c r="Q62" s="616"/>
      <c r="R62" s="616"/>
      <c r="S62" s="616"/>
      <c r="T62" s="616"/>
      <c r="U62" s="616"/>
      <c r="V62" s="616"/>
      <c r="W62" s="616"/>
      <c r="X62" s="616"/>
      <c r="Y62" s="616"/>
      <c r="Z62" s="616"/>
      <c r="AA62" s="616"/>
      <c r="AB62" s="616"/>
      <c r="AC62" s="616"/>
      <c r="AD62" s="746"/>
      <c r="AE62" s="746"/>
      <c r="AF62" s="746"/>
      <c r="AG62" s="877"/>
      <c r="AH62" s="728" t="s">
        <v>268</v>
      </c>
      <c r="AI62" s="729"/>
      <c r="AJ62" s="729"/>
      <c r="AK62" s="730">
        <f>IF((AJ62-AI62)&gt;=0,0,IF(AJ62=1,-200,-400))</f>
        <v>0</v>
      </c>
      <c r="AL62" s="731"/>
      <c r="AM62" s="777"/>
      <c r="AN62" s="733">
        <f>IF(AL62&gt;=0.67,1.1,IF(AL62&gt;=0.6,1,IF(AL62&gt;=0.45,0.9,0.8)))</f>
        <v>0.8</v>
      </c>
      <c r="AO62" s="729"/>
      <c r="AP62" s="733"/>
      <c r="AQ62" s="573"/>
      <c r="AR62" s="716" t="e">
        <f t="shared" si="2"/>
        <v>#N/A</v>
      </c>
    </row>
    <row r="63" ht="17.6" spans="1:59">
      <c r="A63" s="750"/>
      <c r="B63" s="737"/>
      <c r="C63" s="738"/>
      <c r="D63" s="738"/>
      <c r="E63" s="739">
        <f t="shared" si="15"/>
        <v>0</v>
      </c>
      <c r="F63" s="764"/>
      <c r="G63" s="752"/>
      <c r="H63" s="753"/>
      <c r="I63" s="752"/>
      <c r="J63" s="743"/>
      <c r="K63" s="754"/>
      <c r="L63" s="755">
        <f t="shared" si="16"/>
        <v>0</v>
      </c>
      <c r="M63" s="746"/>
      <c r="N63" s="747" t="e">
        <f t="shared" si="5"/>
        <v>#N/A</v>
      </c>
      <c r="O63" s="857"/>
      <c r="P63" s="857"/>
      <c r="Q63" s="799"/>
      <c r="R63" s="616"/>
      <c r="S63" s="616"/>
      <c r="T63" s="616"/>
      <c r="U63" s="616"/>
      <c r="V63" s="616"/>
      <c r="W63" s="616"/>
      <c r="X63" s="616"/>
      <c r="Y63" s="616"/>
      <c r="Z63" s="616"/>
      <c r="AA63" s="616"/>
      <c r="AB63" s="616"/>
      <c r="AC63" s="616"/>
      <c r="AD63" s="746"/>
      <c r="AE63" s="746"/>
      <c r="AF63" s="746"/>
      <c r="AG63" s="877"/>
      <c r="AH63" s="728"/>
      <c r="AI63" s="729"/>
      <c r="AJ63" s="729"/>
      <c r="AK63" s="730"/>
      <c r="AL63" s="731"/>
      <c r="AM63" s="777"/>
      <c r="AN63" s="733"/>
      <c r="AO63" s="813"/>
      <c r="AP63" s="878"/>
      <c r="AQ63" s="573"/>
      <c r="AR63" s="716" t="e">
        <f t="shared" si="2"/>
        <v>#N/A</v>
      </c>
    </row>
    <row r="64" ht="17.6" spans="1:59">
      <c r="A64" s="750"/>
      <c r="B64" s="737"/>
      <c r="C64" s="738"/>
      <c r="D64" s="738"/>
      <c r="E64" s="739">
        <f t="shared" si="15"/>
        <v>0</v>
      </c>
      <c r="F64" s="764"/>
      <c r="G64" s="752"/>
      <c r="H64" s="753"/>
      <c r="I64" s="752"/>
      <c r="J64" s="743"/>
      <c r="K64" s="754"/>
      <c r="L64" s="755">
        <f t="shared" si="16"/>
        <v>0</v>
      </c>
      <c r="M64" s="746"/>
      <c r="N64" s="747" t="e">
        <f t="shared" si="5"/>
        <v>#N/A</v>
      </c>
      <c r="O64" s="857"/>
      <c r="P64" s="857"/>
      <c r="Q64" s="616"/>
      <c r="R64" s="616"/>
      <c r="S64" s="616"/>
      <c r="T64" s="616"/>
      <c r="U64" s="616"/>
      <c r="V64" s="616"/>
      <c r="W64" s="616"/>
      <c r="X64" s="616"/>
      <c r="Y64" s="616"/>
      <c r="Z64" s="616"/>
      <c r="AA64" s="616"/>
      <c r="AB64" s="616"/>
      <c r="AC64" s="616"/>
      <c r="AD64" s="746"/>
      <c r="AE64" s="746"/>
      <c r="AF64" s="746"/>
      <c r="AG64" s="877"/>
      <c r="AH64" s="728"/>
      <c r="AI64" s="729"/>
      <c r="AJ64" s="729"/>
      <c r="AK64" s="730"/>
      <c r="AL64" s="731"/>
      <c r="AM64" s="777"/>
      <c r="AN64" s="733"/>
      <c r="AO64" s="813"/>
      <c r="AP64" s="878"/>
      <c r="AQ64" s="573"/>
      <c r="AR64" s="716" t="e">
        <f t="shared" si="2"/>
        <v>#N/A</v>
      </c>
      <c r="AS64" s="746" t="s">
        <v>886</v>
      </c>
    </row>
    <row r="65" ht="17.6" spans="1:61">
      <c r="A65" s="750"/>
      <c r="B65" s="737"/>
      <c r="C65" s="738"/>
      <c r="D65" s="738"/>
      <c r="E65" s="739">
        <f t="shared" si="15"/>
        <v>0</v>
      </c>
      <c r="F65" s="764"/>
      <c r="G65" s="752"/>
      <c r="H65" s="753"/>
      <c r="I65" s="752"/>
      <c r="J65" s="743"/>
      <c r="K65" s="754"/>
      <c r="L65" s="755">
        <f t="shared" si="16"/>
        <v>0</v>
      </c>
      <c r="M65" s="746"/>
      <c r="N65" s="747" t="e">
        <f t="shared" si="5"/>
        <v>#N/A</v>
      </c>
      <c r="O65" s="857"/>
      <c r="P65" s="857"/>
      <c r="Q65" s="616"/>
      <c r="R65" s="616"/>
      <c r="S65" s="616"/>
      <c r="T65" s="616"/>
      <c r="U65" s="616"/>
      <c r="V65" s="616"/>
      <c r="W65" s="616"/>
      <c r="X65" s="616"/>
      <c r="Y65" s="616"/>
      <c r="Z65" s="616"/>
      <c r="AA65" s="616"/>
      <c r="AB65" s="616"/>
      <c r="AC65" s="616"/>
      <c r="AD65" s="746"/>
      <c r="AE65" s="746"/>
      <c r="AF65" s="746"/>
      <c r="AG65" s="877"/>
      <c r="AH65" s="728"/>
      <c r="AI65" s="729"/>
      <c r="AJ65" s="729"/>
      <c r="AK65" s="879"/>
      <c r="AL65" s="731"/>
      <c r="AM65" s="777"/>
      <c r="AN65" s="733"/>
      <c r="AO65" s="813"/>
      <c r="AP65" s="878"/>
      <c r="AQ65" s="573"/>
      <c r="AR65" s="716" t="e">
        <f t="shared" si="2"/>
        <v>#N/A</v>
      </c>
      <c r="AS65" s="746"/>
      <c r="AT65" s="746"/>
      <c r="AU65" s="746"/>
      <c r="AV65" s="746"/>
      <c r="AW65" s="746"/>
      <c r="AX65" s="746"/>
      <c r="AY65" s="746"/>
      <c r="AZ65" s="746"/>
      <c r="BA65" s="746"/>
      <c r="BB65" s="746"/>
      <c r="BC65" s="746"/>
      <c r="BD65" s="746"/>
      <c r="BE65" s="746"/>
      <c r="BF65" s="746"/>
      <c r="BG65" s="746"/>
      <c r="BH65" s="746"/>
      <c r="BI65" s="746"/>
    </row>
    <row r="66" ht="17.6" spans="1:61">
      <c r="A66" s="750"/>
      <c r="B66" s="737"/>
      <c r="C66" s="738"/>
      <c r="D66" s="738"/>
      <c r="E66" s="739">
        <f t="shared" si="15"/>
        <v>0</v>
      </c>
      <c r="F66" s="764"/>
      <c r="G66" s="752"/>
      <c r="H66" s="753"/>
      <c r="I66" s="752"/>
      <c r="J66" s="743"/>
      <c r="K66" s="754"/>
      <c r="L66" s="755">
        <f t="shared" si="16"/>
        <v>0</v>
      </c>
      <c r="M66" s="746"/>
      <c r="N66" s="747" t="e">
        <f t="shared" si="5"/>
        <v>#N/A</v>
      </c>
      <c r="O66" s="857"/>
      <c r="P66" s="857"/>
      <c r="Q66" s="616"/>
      <c r="R66" s="616"/>
      <c r="S66" s="616"/>
      <c r="T66" s="616"/>
      <c r="U66" s="616"/>
      <c r="V66" s="616"/>
      <c r="W66" s="616"/>
      <c r="X66" s="616"/>
      <c r="Y66" s="616"/>
      <c r="Z66" s="616"/>
      <c r="AA66" s="616"/>
      <c r="AB66" s="616"/>
      <c r="AC66" s="616"/>
      <c r="AD66" s="746"/>
      <c r="AE66" s="746"/>
      <c r="AF66" s="746"/>
      <c r="AG66" s="880"/>
      <c r="AH66" s="881" t="s">
        <v>193</v>
      </c>
      <c r="AI66" s="783">
        <f>SUM(AI59:AI65)</f>
        <v>0</v>
      </c>
      <c r="AJ66" s="783"/>
      <c r="AK66" s="784">
        <f>SUM(AK59:AK65)</f>
        <v>0</v>
      </c>
      <c r="AL66" s="863"/>
      <c r="AM66" s="864"/>
      <c r="AN66" s="787"/>
      <c r="AO66" s="882"/>
      <c r="AP66" s="787"/>
      <c r="AQ66" s="573"/>
      <c r="AR66" s="716" t="e">
        <f t="shared" si="2"/>
        <v>#N/A</v>
      </c>
      <c r="AS66" s="746"/>
      <c r="AT66" s="746"/>
      <c r="AU66" s="746"/>
      <c r="AV66" s="746"/>
      <c r="AW66" s="746"/>
      <c r="AX66" s="746"/>
      <c r="AY66" s="746"/>
      <c r="AZ66" s="746"/>
      <c r="BA66" s="746"/>
      <c r="BB66" s="746"/>
      <c r="BC66" s="746"/>
      <c r="BD66" s="746"/>
      <c r="BE66" s="746"/>
      <c r="BF66" s="746"/>
      <c r="BG66" s="746"/>
      <c r="BH66" s="746"/>
      <c r="BI66" s="746"/>
    </row>
    <row r="67" ht="17.6" spans="1:61">
      <c r="A67" s="750"/>
      <c r="B67" s="737"/>
      <c r="C67" s="738"/>
      <c r="D67" s="738"/>
      <c r="E67" s="739">
        <f t="shared" si="15"/>
        <v>0</v>
      </c>
      <c r="F67" s="764"/>
      <c r="G67" s="752"/>
      <c r="H67" s="753"/>
      <c r="I67" s="752"/>
      <c r="J67" s="743"/>
      <c r="K67" s="754"/>
      <c r="L67" s="755">
        <f t="shared" si="16"/>
        <v>0</v>
      </c>
      <c r="M67" s="746"/>
      <c r="N67" s="747" t="e">
        <f t="shared" si="5"/>
        <v>#N/A</v>
      </c>
      <c r="O67" s="857"/>
      <c r="P67" s="857"/>
      <c r="Q67" s="616"/>
      <c r="R67" s="616"/>
      <c r="S67" s="616"/>
      <c r="T67" s="616"/>
      <c r="U67" s="616"/>
      <c r="V67" s="616"/>
      <c r="W67" s="616"/>
      <c r="X67" s="616"/>
      <c r="Y67" s="616"/>
      <c r="Z67" s="616"/>
      <c r="AA67" s="616"/>
      <c r="AB67" s="616"/>
      <c r="AC67" s="616"/>
      <c r="AD67" s="746"/>
      <c r="AE67" s="746"/>
      <c r="AF67" s="746"/>
      <c r="AG67" s="883" t="s">
        <v>887</v>
      </c>
      <c r="AH67" s="792"/>
      <c r="AI67" s="793"/>
      <c r="AJ67" s="793"/>
      <c r="AK67" s="884"/>
      <c r="AL67" s="885"/>
      <c r="AM67" s="777"/>
      <c r="AN67" s="795"/>
      <c r="AO67" s="734"/>
      <c r="AP67" s="795"/>
      <c r="AQ67" s="573"/>
      <c r="AR67" s="716" t="e">
        <f t="shared" ref="AR67:AR127" si="17">INDEX(B:B,MATCH(AH67,B:B,0))</f>
        <v>#N/A</v>
      </c>
      <c r="AS67" s="746"/>
      <c r="AT67" s="746"/>
      <c r="AU67" s="746"/>
      <c r="AV67" s="746"/>
      <c r="AW67" s="746"/>
      <c r="AX67" s="746"/>
      <c r="AY67" s="746"/>
      <c r="AZ67" s="746"/>
      <c r="BA67" s="746"/>
      <c r="BB67" s="746"/>
      <c r="BC67" s="746"/>
      <c r="BD67" s="746"/>
      <c r="BE67" s="746"/>
      <c r="BF67" s="746"/>
      <c r="BG67" s="746"/>
      <c r="BH67" s="746"/>
      <c r="BI67" s="746"/>
    </row>
    <row r="68" ht="17.6" spans="1:61">
      <c r="A68" s="750"/>
      <c r="B68" s="737"/>
      <c r="C68" s="738"/>
      <c r="D68" s="738"/>
      <c r="E68" s="739"/>
      <c r="F68" s="764"/>
      <c r="G68" s="752"/>
      <c r="H68" s="753"/>
      <c r="I68" s="752"/>
      <c r="J68" s="743"/>
      <c r="K68" s="754"/>
      <c r="L68" s="755">
        <f t="shared" si="16"/>
        <v>0</v>
      </c>
      <c r="M68" s="746"/>
      <c r="N68" s="747" t="e">
        <f t="shared" si="5"/>
        <v>#N/A</v>
      </c>
      <c r="O68" s="857"/>
      <c r="P68" s="857"/>
      <c r="Q68" s="616"/>
      <c r="R68" s="616"/>
      <c r="S68" s="616"/>
      <c r="T68" s="616"/>
      <c r="U68" s="616"/>
      <c r="V68" s="616"/>
      <c r="W68" s="616"/>
      <c r="X68" s="616"/>
      <c r="Y68" s="616"/>
      <c r="Z68" s="616"/>
      <c r="AA68" s="616"/>
      <c r="AB68" s="616"/>
      <c r="AC68" s="616"/>
      <c r="AD68" s="746"/>
      <c r="AE68" s="746"/>
      <c r="AF68" s="746"/>
      <c r="AG68" s="877"/>
      <c r="AH68" s="728"/>
      <c r="AI68" s="729"/>
      <c r="AJ68" s="729"/>
      <c r="AK68" s="879"/>
      <c r="AL68" s="885"/>
      <c r="AM68" s="886"/>
      <c r="AN68" s="733"/>
      <c r="AO68" s="734"/>
      <c r="AP68" s="733"/>
      <c r="AQ68" s="573"/>
      <c r="AR68" s="716" t="e">
        <f t="shared" si="17"/>
        <v>#N/A</v>
      </c>
      <c r="AS68" s="746"/>
      <c r="AT68" s="746"/>
      <c r="AU68" s="746"/>
      <c r="AV68" s="746"/>
      <c r="AW68" s="746"/>
      <c r="AX68" s="746"/>
      <c r="AY68" s="746"/>
      <c r="AZ68" s="746"/>
      <c r="BA68" s="746"/>
      <c r="BB68" s="746"/>
      <c r="BC68" s="746"/>
      <c r="BD68" s="746"/>
      <c r="BE68" s="746"/>
      <c r="BF68" s="746"/>
      <c r="BG68" s="746"/>
      <c r="BH68" s="746"/>
      <c r="BI68" s="746"/>
    </row>
    <row r="69" ht="17.6" spans="1:61">
      <c r="A69" s="750"/>
      <c r="B69" s="737"/>
      <c r="C69" s="738"/>
      <c r="D69" s="738"/>
      <c r="E69" s="739">
        <f t="shared" ref="E69:E132" si="18">SUMIF(AH:AH,B69,AK:AK)</f>
        <v>0</v>
      </c>
      <c r="F69" s="764"/>
      <c r="G69" s="752"/>
      <c r="H69" s="753"/>
      <c r="I69" s="752"/>
      <c r="J69" s="743"/>
      <c r="K69" s="754"/>
      <c r="L69" s="755">
        <f t="shared" si="16"/>
        <v>0</v>
      </c>
      <c r="M69" s="746"/>
      <c r="N69" s="747" t="e">
        <f t="shared" ref="N69:N132" si="19">INDEX(AK:AK,MATCH(B69,AH:AH,0))-E69</f>
        <v>#N/A</v>
      </c>
      <c r="O69" s="857"/>
      <c r="P69" s="857"/>
      <c r="Q69" s="616"/>
      <c r="R69" s="616"/>
      <c r="S69" s="616"/>
      <c r="T69" s="616"/>
      <c r="U69" s="616"/>
      <c r="V69" s="616"/>
      <c r="W69" s="616"/>
      <c r="X69" s="616"/>
      <c r="Y69" s="616"/>
      <c r="Z69" s="616"/>
      <c r="AA69" s="616"/>
      <c r="AB69" s="616"/>
      <c r="AC69" s="616"/>
      <c r="AD69" s="746"/>
      <c r="AE69" s="746"/>
      <c r="AF69" s="746"/>
      <c r="AG69" s="877"/>
      <c r="AH69" s="728"/>
      <c r="AI69" s="729"/>
      <c r="AJ69" s="729"/>
      <c r="AK69" s="879"/>
      <c r="AL69" s="885"/>
      <c r="AM69" s="886"/>
      <c r="AN69" s="733"/>
      <c r="AO69" s="734"/>
      <c r="AP69" s="733"/>
      <c r="AQ69" s="573"/>
      <c r="AR69" s="716" t="e">
        <f t="shared" si="17"/>
        <v>#N/A</v>
      </c>
      <c r="AS69" s="746"/>
      <c r="AT69" s="746"/>
      <c r="AU69" s="746"/>
      <c r="AV69" s="746"/>
      <c r="AW69" s="746"/>
      <c r="AX69" s="746"/>
      <c r="AY69" s="746"/>
      <c r="AZ69" s="746"/>
      <c r="BA69" s="746"/>
      <c r="BB69" s="746"/>
      <c r="BC69" s="746"/>
      <c r="BD69" s="746"/>
      <c r="BE69" s="746"/>
      <c r="BF69" s="746"/>
      <c r="BG69" s="746"/>
      <c r="BH69" s="746"/>
      <c r="BI69" s="746"/>
    </row>
    <row r="70" ht="17.6" spans="1:61">
      <c r="A70" s="750"/>
      <c r="B70" s="737"/>
      <c r="C70" s="738"/>
      <c r="D70" s="738"/>
      <c r="E70" s="739">
        <f t="shared" si="18"/>
        <v>0</v>
      </c>
      <c r="F70" s="764"/>
      <c r="G70" s="752"/>
      <c r="H70" s="753"/>
      <c r="I70" s="752"/>
      <c r="J70" s="743"/>
      <c r="K70" s="754"/>
      <c r="L70" s="755">
        <f t="shared" si="16"/>
        <v>0</v>
      </c>
      <c r="M70" s="746"/>
      <c r="N70" s="747" t="e">
        <f t="shared" si="19"/>
        <v>#N/A</v>
      </c>
      <c r="O70" s="857"/>
      <c r="P70" s="857"/>
      <c r="Q70" s="616"/>
      <c r="R70" s="616"/>
      <c r="S70" s="616"/>
      <c r="T70" s="616"/>
      <c r="U70" s="616"/>
      <c r="V70" s="616"/>
      <c r="W70" s="616"/>
      <c r="X70" s="616"/>
      <c r="Y70" s="616"/>
      <c r="Z70" s="616"/>
      <c r="AA70" s="616"/>
      <c r="AB70" s="616"/>
      <c r="AC70" s="616"/>
      <c r="AD70" s="746"/>
      <c r="AE70" s="746"/>
      <c r="AF70" s="746"/>
      <c r="AG70" s="877"/>
      <c r="AH70" s="728"/>
      <c r="AI70" s="729"/>
      <c r="AJ70" s="729"/>
      <c r="AK70" s="879"/>
      <c r="AL70" s="885"/>
      <c r="AM70" s="886"/>
      <c r="AN70" s="733"/>
      <c r="AO70" s="729"/>
      <c r="AP70" s="733"/>
      <c r="AQ70" s="573"/>
      <c r="AR70" s="716" t="e">
        <f t="shared" si="17"/>
        <v>#N/A</v>
      </c>
      <c r="AS70" s="746"/>
      <c r="AT70" s="746"/>
      <c r="AU70" s="746"/>
      <c r="AV70" s="746"/>
      <c r="AW70" s="746"/>
      <c r="AX70" s="746"/>
      <c r="AY70" s="746"/>
      <c r="AZ70" s="746"/>
      <c r="BA70" s="746"/>
      <c r="BB70" s="746"/>
      <c r="BC70" s="746"/>
      <c r="BD70" s="746"/>
      <c r="BE70" s="746"/>
      <c r="BF70" s="746"/>
      <c r="BG70" s="746"/>
      <c r="BH70" s="746"/>
      <c r="BI70" s="746"/>
    </row>
    <row r="71" ht="17.6" spans="1:61">
      <c r="A71" s="750"/>
      <c r="B71" s="737"/>
      <c r="C71" s="738"/>
      <c r="D71" s="738"/>
      <c r="E71" s="739">
        <f t="shared" si="18"/>
        <v>0</v>
      </c>
      <c r="F71" s="764"/>
      <c r="G71" s="752"/>
      <c r="H71" s="753"/>
      <c r="I71" s="752"/>
      <c r="J71" s="743"/>
      <c r="K71" s="754"/>
      <c r="L71" s="755">
        <f t="shared" si="16"/>
        <v>0</v>
      </c>
      <c r="M71" s="746"/>
      <c r="N71" s="747" t="e">
        <f t="shared" si="19"/>
        <v>#N/A</v>
      </c>
      <c r="O71" s="857"/>
      <c r="P71" s="857"/>
      <c r="Q71" s="616"/>
      <c r="R71" s="616"/>
      <c r="S71" s="616"/>
      <c r="T71" s="616"/>
      <c r="U71" s="616"/>
      <c r="V71" s="616"/>
      <c r="W71" s="616"/>
      <c r="X71" s="616"/>
      <c r="Y71" s="616"/>
      <c r="Z71" s="616"/>
      <c r="AA71" s="616"/>
      <c r="AB71" s="616"/>
      <c r="AC71" s="616"/>
      <c r="AD71" s="746"/>
      <c r="AE71" s="746"/>
      <c r="AF71" s="746"/>
      <c r="AG71" s="880"/>
      <c r="AH71" s="887" t="s">
        <v>193</v>
      </c>
      <c r="AI71" s="813"/>
      <c r="AJ71" s="813"/>
      <c r="AK71" s="888"/>
      <c r="AL71" s="889"/>
      <c r="AM71" s="890"/>
      <c r="AN71" s="878"/>
      <c r="AO71" s="891"/>
      <c r="AP71" s="878"/>
      <c r="AQ71" s="573"/>
      <c r="AR71" s="716" t="e">
        <f t="shared" si="17"/>
        <v>#N/A</v>
      </c>
      <c r="AS71" s="746"/>
      <c r="AT71" s="746"/>
      <c r="AU71" s="746"/>
      <c r="AV71" s="746"/>
      <c r="AW71" s="746"/>
      <c r="AX71" s="746"/>
      <c r="AY71" s="746"/>
      <c r="AZ71" s="746"/>
      <c r="BA71" s="746"/>
      <c r="BB71" s="746"/>
      <c r="BC71" s="746"/>
      <c r="BD71" s="746"/>
      <c r="BE71" s="746"/>
      <c r="BF71" s="746"/>
      <c r="BG71" s="746"/>
      <c r="BH71" s="746"/>
      <c r="BI71" s="746"/>
    </row>
    <row r="72" ht="17.6" spans="1:61">
      <c r="A72" s="750"/>
      <c r="B72" s="737"/>
      <c r="C72" s="738"/>
      <c r="D72" s="738"/>
      <c r="E72" s="739">
        <f t="shared" si="18"/>
        <v>0</v>
      </c>
      <c r="F72" s="764"/>
      <c r="G72" s="752"/>
      <c r="H72" s="753"/>
      <c r="I72" s="752"/>
      <c r="J72" s="743"/>
      <c r="K72" s="754"/>
      <c r="L72" s="755">
        <f t="shared" si="16"/>
        <v>0</v>
      </c>
      <c r="M72" s="746"/>
      <c r="N72" s="747" t="e">
        <f t="shared" si="19"/>
        <v>#N/A</v>
      </c>
      <c r="O72" s="857"/>
      <c r="P72" s="857"/>
      <c r="Q72" s="616"/>
      <c r="R72" s="616"/>
      <c r="S72" s="616"/>
      <c r="T72" s="616"/>
      <c r="U72" s="616"/>
      <c r="V72" s="616"/>
      <c r="W72" s="616"/>
      <c r="X72" s="616"/>
      <c r="Y72" s="616"/>
      <c r="Z72" s="616"/>
      <c r="AA72" s="616"/>
      <c r="AB72" s="616"/>
      <c r="AC72" s="616"/>
      <c r="AD72" s="746"/>
      <c r="AE72" s="746"/>
      <c r="AF72" s="746"/>
      <c r="AG72" s="876" t="s">
        <v>888</v>
      </c>
      <c r="AH72" s="728" t="s">
        <v>260</v>
      </c>
      <c r="AI72" s="729"/>
      <c r="AJ72" s="729"/>
      <c r="AK72" s="730">
        <f>IF((AJ72-AI72)&gt;=0,0,IF(AJ72=1,-200,-400))</f>
        <v>0</v>
      </c>
      <c r="AL72" s="712"/>
      <c r="AM72" s="892"/>
      <c r="AN72" s="733">
        <f>IF(AL72&gt;=0.67,1.1,IF(AL72&gt;=0.6,1,IF(AL72&gt;=0.45,0.9,0.8)))</f>
        <v>0.8</v>
      </c>
      <c r="AO72" s="710"/>
      <c r="AP72" s="714"/>
      <c r="AQ72" s="573"/>
      <c r="AR72" s="716" t="e">
        <f t="shared" si="17"/>
        <v>#N/A</v>
      </c>
      <c r="AS72" s="746"/>
      <c r="AT72" s="746"/>
      <c r="AU72" s="746"/>
      <c r="AV72" s="746"/>
      <c r="AW72" s="746"/>
      <c r="AX72" s="746"/>
      <c r="AY72" s="746"/>
      <c r="AZ72" s="746"/>
      <c r="BA72" s="746"/>
      <c r="BB72" s="746"/>
      <c r="BC72" s="746"/>
      <c r="BD72" s="746"/>
      <c r="BE72" s="746"/>
      <c r="BF72" s="746"/>
      <c r="BG72" s="746"/>
      <c r="BH72" s="746"/>
      <c r="BI72" s="746"/>
    </row>
    <row r="73" ht="17.6" spans="1:61">
      <c r="A73" s="750"/>
      <c r="B73" s="737"/>
      <c r="C73" s="738"/>
      <c r="D73" s="738"/>
      <c r="E73" s="739">
        <f t="shared" si="18"/>
        <v>0</v>
      </c>
      <c r="F73" s="764"/>
      <c r="G73" s="752"/>
      <c r="H73" s="753"/>
      <c r="I73" s="752"/>
      <c r="J73" s="743"/>
      <c r="K73" s="754"/>
      <c r="L73" s="755">
        <f t="shared" si="16"/>
        <v>0</v>
      </c>
      <c r="M73" s="746"/>
      <c r="N73" s="747" t="e">
        <f t="shared" si="19"/>
        <v>#N/A</v>
      </c>
      <c r="O73" s="857"/>
      <c r="P73" s="857"/>
      <c r="Q73" s="616"/>
      <c r="R73" s="616"/>
      <c r="S73" s="616"/>
      <c r="T73" s="616"/>
      <c r="U73" s="616"/>
      <c r="V73" s="616"/>
      <c r="W73" s="616"/>
      <c r="X73" s="616"/>
      <c r="Y73" s="616"/>
      <c r="Z73" s="616"/>
      <c r="AA73" s="616"/>
      <c r="AB73" s="616"/>
      <c r="AC73" s="616"/>
      <c r="AD73" s="746"/>
      <c r="AE73" s="746"/>
      <c r="AF73" s="746"/>
      <c r="AG73" s="877"/>
      <c r="AH73" s="728" t="s">
        <v>256</v>
      </c>
      <c r="AI73" s="729"/>
      <c r="AJ73" s="729"/>
      <c r="AK73" s="730">
        <f>IF((AJ73-AI73)&gt;=0,0,IF(AJ73=1,-200,-400))</f>
        <v>0</v>
      </c>
      <c r="AL73" s="731"/>
      <c r="AM73" s="777"/>
      <c r="AN73" s="733">
        <f>IF(AL73&gt;=0.67,1.1,IF(AL73&gt;=0.6,1,IF(AL73&gt;=0.45,0.9,0.8)))</f>
        <v>0.8</v>
      </c>
      <c r="AO73" s="729"/>
      <c r="AP73" s="733"/>
      <c r="AQ73" s="573"/>
      <c r="AR73" s="716" t="e">
        <f t="shared" si="17"/>
        <v>#N/A</v>
      </c>
      <c r="AS73" s="746"/>
      <c r="AT73" s="746"/>
      <c r="AU73" s="746"/>
      <c r="AV73" s="746"/>
      <c r="AW73" s="746"/>
      <c r="AX73" s="746"/>
      <c r="AY73" s="746"/>
      <c r="AZ73" s="746"/>
      <c r="BA73" s="746"/>
      <c r="BB73" s="746"/>
      <c r="BC73" s="746"/>
      <c r="BD73" s="746"/>
      <c r="BE73" s="746"/>
      <c r="BF73" s="746"/>
      <c r="BG73" s="746"/>
      <c r="BH73" s="746"/>
      <c r="BI73" s="746"/>
    </row>
    <row r="74" ht="17.6" spans="1:61">
      <c r="A74" s="750"/>
      <c r="B74" s="737"/>
      <c r="C74" s="738"/>
      <c r="D74" s="738"/>
      <c r="E74" s="739">
        <f t="shared" si="18"/>
        <v>0</v>
      </c>
      <c r="F74" s="764"/>
      <c r="G74" s="752"/>
      <c r="H74" s="753"/>
      <c r="I74" s="752"/>
      <c r="J74" s="743"/>
      <c r="K74" s="754"/>
      <c r="L74" s="755">
        <f t="shared" si="16"/>
        <v>0</v>
      </c>
      <c r="M74" s="746"/>
      <c r="N74" s="747" t="e">
        <f t="shared" si="19"/>
        <v>#N/A</v>
      </c>
      <c r="O74" s="857"/>
      <c r="P74" s="857"/>
      <c r="Q74" s="616"/>
      <c r="R74" s="616"/>
      <c r="S74" s="616"/>
      <c r="T74" s="616"/>
      <c r="U74" s="616"/>
      <c r="V74" s="616"/>
      <c r="W74" s="616"/>
      <c r="X74" s="616"/>
      <c r="Y74" s="616"/>
      <c r="Z74" s="616"/>
      <c r="AA74" s="616"/>
      <c r="AB74" s="616"/>
      <c r="AC74" s="616"/>
      <c r="AD74" s="746"/>
      <c r="AE74" s="746"/>
      <c r="AF74" s="746"/>
      <c r="AG74" s="877"/>
      <c r="AH74" s="887" t="s">
        <v>257</v>
      </c>
      <c r="AI74" s="813"/>
      <c r="AJ74" s="729"/>
      <c r="AK74" s="730">
        <f>IF((AJ74-AI74)&gt;=0,0,IF(AJ74=1,-200,-400))</f>
        <v>0</v>
      </c>
      <c r="AL74" s="731"/>
      <c r="AM74" s="777"/>
      <c r="AN74" s="733">
        <f>IF(AL74&gt;=0.67,1.1,IF(AL74&gt;=0.6,1,IF(AL74&gt;=0.45,0.9,0.8)))</f>
        <v>0.8</v>
      </c>
      <c r="AO74" s="729"/>
      <c r="AP74" s="733"/>
      <c r="AQ74" s="573"/>
      <c r="AR74" s="716" t="e">
        <f t="shared" si="17"/>
        <v>#N/A</v>
      </c>
      <c r="AS74" s="746"/>
      <c r="AT74" s="746"/>
      <c r="AU74" s="746"/>
      <c r="AV74" s="746"/>
      <c r="AW74" s="746"/>
      <c r="AX74" s="746"/>
      <c r="AY74" s="746"/>
      <c r="AZ74" s="746"/>
      <c r="BA74" s="746"/>
      <c r="BB74" s="746"/>
      <c r="BC74" s="746"/>
      <c r="BD74" s="746"/>
      <c r="BE74" s="746"/>
      <c r="BF74" s="746"/>
      <c r="BG74" s="746"/>
      <c r="BH74" s="746"/>
      <c r="BI74" s="746"/>
    </row>
    <row r="75" ht="17.6" spans="1:61">
      <c r="A75" s="750"/>
      <c r="B75" s="737"/>
      <c r="C75" s="738"/>
      <c r="D75" s="738"/>
      <c r="E75" s="739">
        <f t="shared" si="18"/>
        <v>0</v>
      </c>
      <c r="F75" s="764"/>
      <c r="G75" s="752"/>
      <c r="H75" s="753"/>
      <c r="I75" s="752"/>
      <c r="J75" s="743"/>
      <c r="K75" s="754"/>
      <c r="L75" s="755">
        <f t="shared" si="16"/>
        <v>0</v>
      </c>
      <c r="M75" s="746"/>
      <c r="N75" s="747" t="e">
        <f t="shared" si="19"/>
        <v>#N/A</v>
      </c>
      <c r="O75" s="857"/>
      <c r="P75" s="857"/>
      <c r="Q75" s="616"/>
      <c r="R75" s="616"/>
      <c r="S75" s="616"/>
      <c r="T75" s="616"/>
      <c r="U75" s="616"/>
      <c r="V75" s="616"/>
      <c r="W75" s="616"/>
      <c r="X75" s="616"/>
      <c r="Y75" s="616"/>
      <c r="Z75" s="616"/>
      <c r="AA75" s="616"/>
      <c r="AB75" s="616"/>
      <c r="AC75" s="616"/>
      <c r="AD75" s="746"/>
      <c r="AE75" s="746"/>
      <c r="AF75" s="746"/>
      <c r="AG75" s="877"/>
      <c r="AH75" s="893" t="s">
        <v>258</v>
      </c>
      <c r="AI75" s="894"/>
      <c r="AJ75" s="804"/>
      <c r="AK75" s="805">
        <f>IF((AJ75-AI75)&gt;=0,0,IF(AJ75=1,-200,-400))</f>
        <v>0</v>
      </c>
      <c r="AL75" s="731"/>
      <c r="AM75" s="777"/>
      <c r="AN75" s="733">
        <f>IF(AL75&gt;=0.67,1.1,IF(AL75&gt;=0.6,1,IF(AL75&gt;=0.45,0.9,0.8)))</f>
        <v>0.8</v>
      </c>
      <c r="AO75" s="813"/>
      <c r="AP75" s="878"/>
      <c r="AQ75" s="573"/>
      <c r="AR75" s="716" t="e">
        <f t="shared" si="17"/>
        <v>#N/A</v>
      </c>
      <c r="AS75" s="746"/>
      <c r="AT75" s="746"/>
      <c r="AU75" s="746"/>
      <c r="AV75" s="746"/>
      <c r="AW75" s="746"/>
      <c r="AX75" s="746"/>
      <c r="AY75" s="746"/>
      <c r="AZ75" s="746"/>
      <c r="BA75" s="746"/>
      <c r="BB75" s="746"/>
      <c r="BC75" s="746"/>
      <c r="BD75" s="746"/>
      <c r="BE75" s="746"/>
      <c r="BF75" s="746"/>
      <c r="BG75" s="746"/>
      <c r="BH75" s="746"/>
      <c r="BI75" s="746"/>
    </row>
    <row r="76" ht="17.6" spans="1:61">
      <c r="A76" s="750"/>
      <c r="B76" s="737"/>
      <c r="C76" s="738"/>
      <c r="D76" s="738"/>
      <c r="E76" s="739">
        <f t="shared" si="18"/>
        <v>0</v>
      </c>
      <c r="F76" s="764"/>
      <c r="G76" s="752"/>
      <c r="H76" s="753"/>
      <c r="I76" s="752"/>
      <c r="J76" s="743"/>
      <c r="K76" s="754"/>
      <c r="L76" s="755">
        <f t="shared" si="16"/>
        <v>0</v>
      </c>
      <c r="M76" s="746"/>
      <c r="N76" s="747" t="e">
        <f t="shared" si="19"/>
        <v>#N/A</v>
      </c>
      <c r="O76" s="857"/>
      <c r="P76" s="857"/>
      <c r="Q76" s="616"/>
      <c r="R76" s="616"/>
      <c r="S76" s="616"/>
      <c r="T76" s="616"/>
      <c r="U76" s="616"/>
      <c r="V76" s="616"/>
      <c r="W76" s="616"/>
      <c r="X76" s="616"/>
      <c r="Y76" s="616"/>
      <c r="Z76" s="616"/>
      <c r="AA76" s="616"/>
      <c r="AB76" s="616"/>
      <c r="AC76" s="616"/>
      <c r="AD76" s="746"/>
      <c r="AE76" s="746"/>
      <c r="AF76" s="746"/>
      <c r="AG76" s="877"/>
      <c r="AH76" s="893" t="s">
        <v>259</v>
      </c>
      <c r="AI76" s="894"/>
      <c r="AJ76" s="894"/>
      <c r="AK76" s="895"/>
      <c r="AL76" s="731"/>
      <c r="AM76" s="777"/>
      <c r="AN76" s="733">
        <f>IF(AL76&gt;=0.67,1.1,IF(AL76&gt;=0.6,1,IF(AL76&gt;=0.45,0.9,0.8)))</f>
        <v>0.8</v>
      </c>
      <c r="AO76" s="813"/>
      <c r="AP76" s="878"/>
      <c r="AQ76" s="573"/>
      <c r="AR76" s="716" t="e">
        <f t="shared" si="17"/>
        <v>#N/A</v>
      </c>
      <c r="AS76" s="746"/>
      <c r="AT76" s="746"/>
      <c r="AU76" s="746"/>
      <c r="AV76" s="746"/>
      <c r="AW76" s="746"/>
      <c r="AX76" s="746"/>
      <c r="AY76" s="746"/>
      <c r="AZ76" s="746"/>
      <c r="BA76" s="746"/>
      <c r="BB76" s="746"/>
      <c r="BC76" s="746"/>
      <c r="BD76" s="746"/>
      <c r="BE76" s="746"/>
      <c r="BF76" s="746"/>
      <c r="BG76" s="746"/>
      <c r="BH76" s="746"/>
      <c r="BI76" s="746"/>
    </row>
    <row r="77" spans="1:61">
      <c r="A77" s="750"/>
      <c r="B77" s="737"/>
      <c r="C77" s="738"/>
      <c r="D77" s="738"/>
      <c r="E77" s="739">
        <f t="shared" si="18"/>
        <v>0</v>
      </c>
      <c r="F77" s="764"/>
      <c r="G77" s="752"/>
      <c r="H77" s="753"/>
      <c r="I77" s="752"/>
      <c r="J77" s="743"/>
      <c r="K77" s="754"/>
      <c r="L77" s="755">
        <f t="shared" si="16"/>
        <v>0</v>
      </c>
      <c r="M77" s="746"/>
      <c r="N77" s="747" t="e">
        <f t="shared" si="19"/>
        <v>#N/A</v>
      </c>
      <c r="O77" s="851"/>
      <c r="P77" s="851"/>
      <c r="Q77" s="616"/>
      <c r="R77" s="616"/>
      <c r="S77" s="616"/>
      <c r="T77" s="616"/>
      <c r="U77" s="616"/>
      <c r="V77" s="616"/>
      <c r="W77" s="616"/>
      <c r="X77" s="616"/>
      <c r="Y77" s="616"/>
      <c r="Z77" s="616"/>
      <c r="AA77" s="616"/>
      <c r="AB77" s="616"/>
      <c r="AC77" s="616"/>
      <c r="AD77" s="746"/>
      <c r="AE77" s="746"/>
      <c r="AF77" s="746"/>
      <c r="AG77" s="877"/>
      <c r="AH77" s="887"/>
      <c r="AI77" s="813"/>
      <c r="AJ77" s="813"/>
      <c r="AK77" s="888"/>
      <c r="AL77" s="731"/>
      <c r="AM77" s="777"/>
      <c r="AN77" s="878"/>
      <c r="AO77" s="813"/>
      <c r="AP77" s="878"/>
      <c r="AQ77" s="573"/>
      <c r="AR77" s="716" t="e">
        <f t="shared" si="17"/>
        <v>#N/A</v>
      </c>
      <c r="AS77" s="746"/>
      <c r="AT77" s="746"/>
      <c r="AU77" s="746"/>
      <c r="AV77" s="746"/>
      <c r="AW77" s="746"/>
      <c r="AX77" s="746"/>
      <c r="AY77" s="746"/>
      <c r="AZ77" s="746"/>
      <c r="BA77" s="746"/>
      <c r="BB77" s="746"/>
      <c r="BC77" s="746"/>
      <c r="BD77" s="746"/>
      <c r="BE77" s="746"/>
      <c r="BF77" s="746"/>
      <c r="BG77" s="746"/>
      <c r="BH77" s="746"/>
      <c r="BI77" s="746"/>
    </row>
    <row r="78" spans="1:61">
      <c r="A78" s="750"/>
      <c r="B78" s="737"/>
      <c r="C78" s="738"/>
      <c r="D78" s="738"/>
      <c r="E78" s="739">
        <f t="shared" si="18"/>
        <v>0</v>
      </c>
      <c r="F78" s="764"/>
      <c r="G78" s="752"/>
      <c r="H78" s="753"/>
      <c r="I78" s="752"/>
      <c r="J78" s="743"/>
      <c r="K78" s="754"/>
      <c r="L78" s="755">
        <f t="shared" si="16"/>
        <v>0</v>
      </c>
      <c r="M78" s="746"/>
      <c r="N78" s="747" t="e">
        <f t="shared" si="19"/>
        <v>#N/A</v>
      </c>
      <c r="O78" s="851"/>
      <c r="P78" s="851"/>
      <c r="Q78" s="616"/>
      <c r="R78" s="616"/>
      <c r="S78" s="616"/>
      <c r="T78" s="616"/>
      <c r="U78" s="616"/>
      <c r="V78" s="616"/>
      <c r="W78" s="616"/>
      <c r="X78" s="616"/>
      <c r="Y78" s="616"/>
      <c r="Z78" s="616"/>
      <c r="AA78" s="616"/>
      <c r="AB78" s="616"/>
      <c r="AC78" s="616"/>
      <c r="AD78" s="746"/>
      <c r="AE78" s="746"/>
      <c r="AF78" s="746"/>
      <c r="AG78" s="880"/>
      <c r="AH78" s="881" t="s">
        <v>193</v>
      </c>
      <c r="AI78" s="783">
        <f>SUM(AI72:AI74)</f>
        <v>0</v>
      </c>
      <c r="AJ78" s="783"/>
      <c r="AK78" s="784">
        <f>SUM(AK72:AK77)</f>
        <v>0</v>
      </c>
      <c r="AL78" s="785"/>
      <c r="AM78" s="786"/>
      <c r="AN78" s="787">
        <f>IF(AL78&gt;=0.65,1.1,IF(AL78&gt;=0.6,1,IF(AL78&gt;=0.45,0.8,0.6)))</f>
        <v>0.6</v>
      </c>
      <c r="AO78" s="882"/>
      <c r="AP78" s="787"/>
      <c r="AQ78" s="573"/>
      <c r="AR78" s="716" t="e">
        <f t="shared" si="17"/>
        <v>#N/A</v>
      </c>
      <c r="AS78" s="746"/>
      <c r="AT78" s="746"/>
      <c r="AU78" s="746"/>
      <c r="AV78" s="746"/>
      <c r="AW78" s="746"/>
      <c r="AX78" s="746"/>
      <c r="AY78" s="746"/>
      <c r="AZ78" s="746"/>
      <c r="BA78" s="746"/>
      <c r="BB78" s="746"/>
      <c r="BC78" s="746"/>
      <c r="BD78" s="746"/>
      <c r="BE78" s="746"/>
      <c r="BF78" s="746"/>
      <c r="BG78" s="746"/>
      <c r="BH78" s="746"/>
      <c r="BI78" s="746"/>
    </row>
    <row r="79" spans="1:61">
      <c r="A79" s="750"/>
      <c r="B79" s="737"/>
      <c r="C79" s="738"/>
      <c r="D79" s="738"/>
      <c r="E79" s="739">
        <f t="shared" si="18"/>
        <v>0</v>
      </c>
      <c r="F79" s="764"/>
      <c r="G79" s="752"/>
      <c r="H79" s="753"/>
      <c r="I79" s="752"/>
      <c r="J79" s="743"/>
      <c r="K79" s="754"/>
      <c r="L79" s="755">
        <f t="shared" si="16"/>
        <v>0</v>
      </c>
      <c r="M79" s="746"/>
      <c r="N79" s="747" t="e">
        <f t="shared" si="19"/>
        <v>#N/A</v>
      </c>
      <c r="O79" s="851"/>
      <c r="P79" s="851"/>
      <c r="Q79" s="616"/>
      <c r="R79" s="616"/>
      <c r="S79" s="616"/>
      <c r="T79" s="616"/>
      <c r="U79" s="616"/>
      <c r="V79" s="616"/>
      <c r="W79" s="616"/>
      <c r="X79" s="616"/>
      <c r="Y79" s="616"/>
      <c r="Z79" s="616"/>
      <c r="AA79" s="616"/>
      <c r="AB79" s="616"/>
      <c r="AC79" s="616"/>
      <c r="AD79" s="746"/>
      <c r="AE79" s="746"/>
      <c r="AF79" s="746"/>
      <c r="AG79" s="896" t="s">
        <v>889</v>
      </c>
      <c r="AH79" s="728" t="s">
        <v>250</v>
      </c>
      <c r="AI79" s="793"/>
      <c r="AJ79" s="793"/>
      <c r="AK79" s="730">
        <f>IF((AJ79-AI79)&gt;=0,0,IF(AJ79=1,-200,-400))</f>
        <v>0</v>
      </c>
      <c r="AL79" s="731"/>
      <c r="AM79" s="777"/>
      <c r="AN79" s="733">
        <f>IF(AL79&gt;=0.67,1.1,IF(AL79&gt;=0.6,1,IF(AL79&gt;=0.45,0.9,0.8)))</f>
        <v>0.8</v>
      </c>
      <c r="AO79" s="793"/>
      <c r="AP79" s="795"/>
      <c r="AQ79" s="573"/>
      <c r="AR79" s="716" t="e">
        <f t="shared" si="17"/>
        <v>#N/A</v>
      </c>
      <c r="AS79" s="746"/>
      <c r="AT79" s="746"/>
      <c r="AU79" s="746"/>
      <c r="AV79" s="746"/>
      <c r="AW79" s="746"/>
      <c r="AX79" s="746"/>
      <c r="AY79" s="746"/>
      <c r="AZ79" s="746"/>
      <c r="BA79" s="746"/>
      <c r="BB79" s="746"/>
      <c r="BC79" s="746"/>
      <c r="BD79" s="746"/>
      <c r="BE79" s="746"/>
      <c r="BF79" s="746"/>
      <c r="BG79" s="746"/>
      <c r="BH79" s="746"/>
      <c r="BI79" s="746"/>
    </row>
    <row r="80" spans="1:61">
      <c r="A80" s="750"/>
      <c r="B80" s="737"/>
      <c r="C80" s="738"/>
      <c r="D80" s="738"/>
      <c r="E80" s="739">
        <f t="shared" si="18"/>
        <v>0</v>
      </c>
      <c r="F80" s="764"/>
      <c r="G80" s="752"/>
      <c r="H80" s="753"/>
      <c r="I80" s="752"/>
      <c r="J80" s="743"/>
      <c r="K80" s="754"/>
      <c r="L80" s="755">
        <f t="shared" si="16"/>
        <v>0</v>
      </c>
      <c r="M80" s="746"/>
      <c r="N80" s="747" t="e">
        <f t="shared" si="19"/>
        <v>#N/A</v>
      </c>
      <c r="O80" s="746"/>
      <c r="P80" s="616"/>
      <c r="Q80" s="616"/>
      <c r="R80" s="616"/>
      <c r="S80" s="616"/>
      <c r="T80" s="616"/>
      <c r="U80" s="616"/>
      <c r="V80" s="616"/>
      <c r="W80" s="616"/>
      <c r="X80" s="616"/>
      <c r="Y80" s="616"/>
      <c r="Z80" s="616"/>
      <c r="AA80" s="616"/>
      <c r="AB80" s="616"/>
      <c r="AC80" s="616"/>
      <c r="AD80" s="746"/>
      <c r="AE80" s="746"/>
      <c r="AF80" s="746"/>
      <c r="AG80" s="877"/>
      <c r="AH80" s="728" t="s">
        <v>251</v>
      </c>
      <c r="AI80" s="729"/>
      <c r="AJ80" s="793"/>
      <c r="AK80" s="730">
        <f>IF((AJ80-AI80)&gt;=0,0,IF(AJ80=1,-200,-400))</f>
        <v>0</v>
      </c>
      <c r="AL80" s="731"/>
      <c r="AM80" s="777"/>
      <c r="AN80" s="733">
        <f>IF(AL80&gt;=0.67,1.1,IF(AL80&gt;=0.6,1,IF(AL80&gt;=0.45,0.9,0.8)))</f>
        <v>0.8</v>
      </c>
      <c r="AO80" s="729"/>
      <c r="AP80" s="733"/>
      <c r="AQ80" s="573"/>
      <c r="AR80" s="716" t="e">
        <f t="shared" si="17"/>
        <v>#N/A</v>
      </c>
      <c r="AS80" s="746"/>
      <c r="AT80" s="746"/>
      <c r="AU80" s="746"/>
      <c r="AV80" s="746"/>
      <c r="AW80" s="746"/>
      <c r="AX80" s="746"/>
      <c r="AY80" s="746"/>
      <c r="AZ80" s="746"/>
      <c r="BA80" s="746"/>
      <c r="BB80" s="746"/>
      <c r="BC80" s="746"/>
      <c r="BD80" s="746"/>
      <c r="BE80" s="746"/>
      <c r="BF80" s="746"/>
      <c r="BG80" s="746"/>
      <c r="BH80" s="746"/>
      <c r="BI80" s="746"/>
    </row>
    <row r="81" spans="1:61">
      <c r="A81" s="750"/>
      <c r="B81" s="737"/>
      <c r="C81" s="738"/>
      <c r="D81" s="738"/>
      <c r="E81" s="739">
        <f t="shared" si="18"/>
        <v>0</v>
      </c>
      <c r="F81" s="764"/>
      <c r="G81" s="752"/>
      <c r="H81" s="753"/>
      <c r="I81" s="752"/>
      <c r="J81" s="743"/>
      <c r="K81" s="754"/>
      <c r="L81" s="755">
        <f t="shared" si="16"/>
        <v>0</v>
      </c>
      <c r="M81" s="746"/>
      <c r="N81" s="747" t="e">
        <f t="shared" si="19"/>
        <v>#N/A</v>
      </c>
      <c r="O81" s="749"/>
      <c r="P81" s="799"/>
      <c r="Q81" s="616"/>
      <c r="R81" s="616"/>
      <c r="S81" s="616"/>
      <c r="T81" s="616"/>
      <c r="U81" s="616"/>
      <c r="V81" s="616"/>
      <c r="W81" s="616"/>
      <c r="X81" s="616"/>
      <c r="Y81" s="616"/>
      <c r="Z81" s="616"/>
      <c r="AA81" s="616"/>
      <c r="AB81" s="616"/>
      <c r="AC81" s="616"/>
      <c r="AD81" s="746"/>
      <c r="AE81" s="746"/>
      <c r="AF81" s="746"/>
      <c r="AG81" s="877"/>
      <c r="AH81" s="728" t="s">
        <v>252</v>
      </c>
      <c r="AI81" s="729"/>
      <c r="AJ81" s="793"/>
      <c r="AK81" s="730">
        <f>IF((AJ81-AI81)&gt;=0,0,IF(AJ81=1,-200,-400))</f>
        <v>0</v>
      </c>
      <c r="AL81" s="731"/>
      <c r="AM81" s="777"/>
      <c r="AN81" s="733">
        <f>IF(AL81&gt;=0.67,1.1,IF(AL81&gt;=0.6,1,IF(AL81&gt;=0.45,0.9,0.8)))</f>
        <v>0.8</v>
      </c>
      <c r="AO81" s="729"/>
      <c r="AP81" s="733"/>
      <c r="AQ81" s="573"/>
      <c r="AR81" s="716" t="e">
        <f t="shared" si="17"/>
        <v>#N/A</v>
      </c>
      <c r="AS81" s="746"/>
      <c r="AT81" s="746"/>
      <c r="AU81" s="746"/>
      <c r="AV81" s="746"/>
      <c r="AW81" s="746"/>
      <c r="AX81" s="746"/>
      <c r="AY81" s="746"/>
      <c r="AZ81" s="746"/>
      <c r="BA81" s="746"/>
      <c r="BB81" s="746"/>
      <c r="BC81" s="746"/>
      <c r="BD81" s="746"/>
      <c r="BE81" s="746"/>
      <c r="BF81" s="746"/>
      <c r="BG81" s="746"/>
      <c r="BH81" s="746"/>
      <c r="BI81" s="746"/>
    </row>
    <row r="82" spans="1:61">
      <c r="A82" s="750"/>
      <c r="B82" s="737"/>
      <c r="C82" s="738"/>
      <c r="D82" s="738"/>
      <c r="E82" s="739">
        <f t="shared" si="18"/>
        <v>0</v>
      </c>
      <c r="F82" s="764"/>
      <c r="G82" s="752"/>
      <c r="H82" s="753"/>
      <c r="I82" s="752"/>
      <c r="J82" s="743"/>
      <c r="K82" s="754"/>
      <c r="L82" s="755">
        <f t="shared" si="16"/>
        <v>0</v>
      </c>
      <c r="M82" s="746"/>
      <c r="N82" s="747" t="e">
        <f t="shared" si="19"/>
        <v>#N/A</v>
      </c>
      <c r="O82" s="746"/>
      <c r="P82" s="616"/>
      <c r="Q82" s="616"/>
      <c r="R82" s="616"/>
      <c r="S82" s="616"/>
      <c r="T82" s="616"/>
      <c r="U82" s="616"/>
      <c r="V82" s="616"/>
      <c r="W82" s="616"/>
      <c r="X82" s="616"/>
      <c r="Y82" s="616"/>
      <c r="Z82" s="616"/>
      <c r="AA82" s="616"/>
      <c r="AB82" s="616"/>
      <c r="AC82" s="616"/>
      <c r="AD82" s="746"/>
      <c r="AE82" s="746"/>
      <c r="AF82" s="746"/>
      <c r="AG82" s="877"/>
      <c r="AH82" s="728"/>
      <c r="AI82" s="729"/>
      <c r="AJ82" s="793"/>
      <c r="AK82" s="730"/>
      <c r="AL82" s="731"/>
      <c r="AM82" s="777"/>
      <c r="AN82" s="733">
        <f>IF(AL82&gt;=0.67,1.1,IF(AL82&gt;=0.6,1,IF(AL82&gt;=0.45,0.9,0.8)))</f>
        <v>0.8</v>
      </c>
      <c r="AO82" s="729"/>
      <c r="AP82" s="733"/>
      <c r="AQ82" s="573"/>
      <c r="AR82" s="716" t="e">
        <f t="shared" si="17"/>
        <v>#N/A</v>
      </c>
      <c r="AS82" s="746"/>
      <c r="AT82" s="746"/>
      <c r="AU82" s="746"/>
      <c r="AV82" s="746"/>
      <c r="AW82" s="746"/>
      <c r="AX82" s="746"/>
      <c r="AY82" s="746"/>
      <c r="AZ82" s="746"/>
      <c r="BA82" s="746"/>
      <c r="BB82" s="746"/>
      <c r="BC82" s="746"/>
      <c r="BD82" s="746"/>
      <c r="BE82" s="746"/>
      <c r="BF82" s="746"/>
      <c r="BG82" s="746"/>
      <c r="BH82" s="746"/>
      <c r="BI82" s="746"/>
    </row>
    <row r="83" spans="1:61">
      <c r="A83" s="750"/>
      <c r="B83" s="737"/>
      <c r="C83" s="738"/>
      <c r="D83" s="738"/>
      <c r="E83" s="739">
        <f t="shared" si="18"/>
        <v>0</v>
      </c>
      <c r="F83" s="764"/>
      <c r="G83" s="752"/>
      <c r="H83" s="753"/>
      <c r="I83" s="752"/>
      <c r="J83" s="743"/>
      <c r="K83" s="754"/>
      <c r="L83" s="755">
        <f t="shared" si="16"/>
        <v>0</v>
      </c>
      <c r="M83" s="746"/>
      <c r="N83" s="747" t="e">
        <f t="shared" si="19"/>
        <v>#N/A</v>
      </c>
      <c r="O83" s="746"/>
      <c r="P83" s="616"/>
      <c r="Q83" s="616"/>
      <c r="R83" s="616"/>
      <c r="S83" s="616"/>
      <c r="T83" s="616"/>
      <c r="U83" s="616"/>
      <c r="V83" s="616"/>
      <c r="W83" s="616"/>
      <c r="X83" s="616"/>
      <c r="Y83" s="616"/>
      <c r="Z83" s="616"/>
      <c r="AA83" s="616"/>
      <c r="AB83" s="616"/>
      <c r="AC83" s="616"/>
      <c r="AD83" s="746"/>
      <c r="AE83" s="746"/>
      <c r="AF83" s="746"/>
      <c r="AG83" s="877"/>
      <c r="AH83" s="728"/>
      <c r="AI83" s="729"/>
      <c r="AJ83" s="729"/>
      <c r="AK83" s="879"/>
      <c r="AL83" s="731"/>
      <c r="AM83" s="777"/>
      <c r="AN83" s="733"/>
      <c r="AO83" s="729"/>
      <c r="AP83" s="733"/>
      <c r="AQ83" s="573"/>
      <c r="AR83" s="716" t="e">
        <f t="shared" si="17"/>
        <v>#N/A</v>
      </c>
      <c r="AS83" s="746"/>
      <c r="AT83" s="746"/>
      <c r="AU83" s="746"/>
      <c r="AV83" s="746"/>
      <c r="AW83" s="746"/>
      <c r="AX83" s="746"/>
      <c r="AY83" s="746"/>
      <c r="AZ83" s="746"/>
      <c r="BA83" s="746"/>
      <c r="BB83" s="746"/>
      <c r="BC83" s="746"/>
      <c r="BD83" s="746"/>
      <c r="BE83" s="746"/>
      <c r="BF83" s="746"/>
      <c r="BG83" s="746"/>
      <c r="BH83" s="746"/>
      <c r="BI83" s="746"/>
    </row>
    <row r="84" spans="1:61">
      <c r="A84" s="750"/>
      <c r="B84" s="737"/>
      <c r="C84" s="738"/>
      <c r="D84" s="738"/>
      <c r="E84" s="739">
        <f t="shared" si="18"/>
        <v>0</v>
      </c>
      <c r="F84" s="764"/>
      <c r="G84" s="752"/>
      <c r="H84" s="753"/>
      <c r="I84" s="752"/>
      <c r="J84" s="743"/>
      <c r="K84" s="754"/>
      <c r="L84" s="755">
        <f t="shared" si="16"/>
        <v>0</v>
      </c>
      <c r="M84" s="746"/>
      <c r="N84" s="747" t="e">
        <f t="shared" si="19"/>
        <v>#N/A</v>
      </c>
      <c r="O84" s="851"/>
      <c r="P84" s="851"/>
      <c r="Q84" s="851"/>
      <c r="R84" s="851"/>
      <c r="S84" s="851"/>
      <c r="T84" s="851"/>
      <c r="U84" s="851"/>
      <c r="V84" s="851"/>
      <c r="W84" s="851"/>
      <c r="X84" s="851"/>
      <c r="Y84" s="851"/>
      <c r="Z84" s="851"/>
      <c r="AA84" s="851"/>
      <c r="AB84" s="851"/>
      <c r="AC84" s="851"/>
      <c r="AD84" s="851"/>
      <c r="AE84" s="851"/>
      <c r="AF84" s="851"/>
      <c r="AG84" s="880"/>
      <c r="AH84" s="887" t="s">
        <v>193</v>
      </c>
      <c r="AI84" s="783">
        <f>SUM(AI79:AI83)</f>
        <v>0</v>
      </c>
      <c r="AJ84" s="783"/>
      <c r="AK84" s="784">
        <f>SUM(AK79:AK83)</f>
        <v>0</v>
      </c>
      <c r="AL84" s="785"/>
      <c r="AM84" s="897"/>
      <c r="AN84" s="878"/>
      <c r="AO84" s="882"/>
      <c r="AP84" s="878"/>
      <c r="AQ84" s="573"/>
      <c r="AR84" s="716" t="e">
        <f t="shared" si="17"/>
        <v>#N/A</v>
      </c>
      <c r="AS84" s="746"/>
      <c r="AT84" s="746"/>
      <c r="AU84" s="746"/>
      <c r="AV84" s="746"/>
      <c r="AW84" s="746"/>
      <c r="AX84" s="746"/>
      <c r="AY84" s="746"/>
      <c r="AZ84" s="746"/>
      <c r="BA84" s="746"/>
      <c r="BB84" s="746"/>
      <c r="BC84" s="746"/>
      <c r="BD84" s="746"/>
      <c r="BE84" s="746"/>
      <c r="BF84" s="746"/>
      <c r="BG84" s="746"/>
      <c r="BH84" s="746"/>
      <c r="BI84" s="746"/>
    </row>
    <row r="85" spans="1:61">
      <c r="A85" s="750"/>
      <c r="B85" s="737"/>
      <c r="C85" s="738"/>
      <c r="D85" s="738"/>
      <c r="E85" s="739">
        <f t="shared" si="18"/>
        <v>0</v>
      </c>
      <c r="F85" s="764"/>
      <c r="G85" s="752"/>
      <c r="H85" s="753"/>
      <c r="I85" s="752"/>
      <c r="J85" s="743"/>
      <c r="K85" s="754"/>
      <c r="L85" s="755">
        <f t="shared" si="16"/>
        <v>0</v>
      </c>
      <c r="M85" s="746"/>
      <c r="N85" s="747" t="e">
        <f t="shared" si="19"/>
        <v>#N/A</v>
      </c>
      <c r="O85" s="851"/>
      <c r="P85" s="851"/>
      <c r="Q85" s="851"/>
      <c r="R85" s="851"/>
      <c r="S85" s="851"/>
      <c r="T85" s="851"/>
      <c r="U85" s="851"/>
      <c r="V85" s="851"/>
      <c r="W85" s="851"/>
      <c r="X85" s="851"/>
      <c r="Y85" s="851"/>
      <c r="Z85" s="851"/>
      <c r="AA85" s="851"/>
      <c r="AB85" s="851"/>
      <c r="AC85" s="851"/>
      <c r="AD85" s="851"/>
      <c r="AE85" s="851"/>
      <c r="AF85" s="851"/>
      <c r="AG85" s="898" t="s">
        <v>890</v>
      </c>
      <c r="AH85" s="709" t="s">
        <v>241</v>
      </c>
      <c r="AI85" s="710"/>
      <c r="AJ85" s="710"/>
      <c r="AK85" s="730"/>
      <c r="AL85" s="731"/>
      <c r="AM85" s="777"/>
      <c r="AN85" s="714">
        <f>IF(AL85&gt;=0.67,1.1,IF(AL85&gt;=0.6,1,IF(AL85&gt;=0.45,0.9,0.8)))</f>
        <v>0.8</v>
      </c>
      <c r="AO85" s="710"/>
      <c r="AP85" s="714"/>
      <c r="AQ85" s="573"/>
      <c r="AR85" s="716" t="e">
        <f t="shared" si="17"/>
        <v>#N/A</v>
      </c>
      <c r="AS85" s="746"/>
      <c r="AT85" s="746"/>
      <c r="AU85" s="746"/>
      <c r="AV85" s="746"/>
      <c r="AW85" s="746"/>
      <c r="AX85" s="746"/>
      <c r="AY85" s="746"/>
      <c r="AZ85" s="746"/>
      <c r="BA85" s="746"/>
      <c r="BB85" s="746"/>
      <c r="BC85" s="746"/>
      <c r="BD85" s="746"/>
      <c r="BE85" s="746"/>
      <c r="BF85" s="746"/>
      <c r="BG85" s="746"/>
      <c r="BH85" s="746"/>
      <c r="BI85" s="746"/>
    </row>
    <row r="86" spans="1:61">
      <c r="A86" s="750"/>
      <c r="B86" s="737"/>
      <c r="C86" s="738"/>
      <c r="D86" s="738"/>
      <c r="E86" s="739">
        <f t="shared" si="18"/>
        <v>0</v>
      </c>
      <c r="F86" s="764"/>
      <c r="G86" s="752"/>
      <c r="H86" s="753"/>
      <c r="I86" s="752"/>
      <c r="J86" s="743"/>
      <c r="K86" s="754"/>
      <c r="L86" s="755">
        <f t="shared" si="16"/>
        <v>0</v>
      </c>
      <c r="M86" s="746"/>
      <c r="N86" s="747" t="e">
        <f t="shared" si="19"/>
        <v>#N/A</v>
      </c>
      <c r="O86" s="851"/>
      <c r="P86" s="851"/>
      <c r="Q86" s="851"/>
      <c r="R86" s="851"/>
      <c r="S86" s="851"/>
      <c r="T86" s="851"/>
      <c r="U86" s="851"/>
      <c r="V86" s="851"/>
      <c r="W86" s="851"/>
      <c r="X86" s="851"/>
      <c r="Y86" s="851"/>
      <c r="Z86" s="851"/>
      <c r="AA86" s="851"/>
      <c r="AB86" s="851"/>
      <c r="AC86" s="851"/>
      <c r="AD86" s="851"/>
      <c r="AE86" s="851"/>
      <c r="AF86" s="851"/>
      <c r="AG86" s="877"/>
      <c r="AH86" s="728" t="s">
        <v>242</v>
      </c>
      <c r="AI86" s="729"/>
      <c r="AJ86" s="729"/>
      <c r="AK86" s="730">
        <f>IF((AJ86-AI86)&gt;=0,0,IF(AJ86=1,-200,-400))</f>
        <v>0</v>
      </c>
      <c r="AL86" s="731"/>
      <c r="AM86" s="777"/>
      <c r="AN86" s="733">
        <f>IF(AL86&gt;=0.67,1.1,IF(AL86&gt;=0.6,1,IF(AL86&gt;=0.45,0.9,0.8)))</f>
        <v>0.8</v>
      </c>
      <c r="AO86" s="729"/>
      <c r="AP86" s="733"/>
      <c r="AQ86" s="573"/>
      <c r="AR86" s="716" t="e">
        <f t="shared" si="17"/>
        <v>#N/A</v>
      </c>
      <c r="AS86" s="746"/>
      <c r="AT86" s="746"/>
      <c r="AU86" s="746"/>
      <c r="AV86" s="746"/>
      <c r="AW86" s="746"/>
      <c r="AX86" s="746"/>
      <c r="AY86" s="746"/>
      <c r="AZ86" s="746"/>
      <c r="BA86" s="746"/>
      <c r="BB86" s="746"/>
      <c r="BC86" s="746"/>
      <c r="BD86" s="746"/>
      <c r="BE86" s="746"/>
      <c r="BF86" s="746"/>
      <c r="BG86" s="746"/>
      <c r="BH86" s="746"/>
      <c r="BI86" s="746"/>
    </row>
    <row r="87" spans="1:61">
      <c r="A87" s="750"/>
      <c r="B87" s="737"/>
      <c r="C87" s="738"/>
      <c r="D87" s="738"/>
      <c r="E87" s="739">
        <f t="shared" si="18"/>
        <v>0</v>
      </c>
      <c r="F87" s="764"/>
      <c r="G87" s="752"/>
      <c r="H87" s="753"/>
      <c r="I87" s="752"/>
      <c r="J87" s="743"/>
      <c r="K87" s="754"/>
      <c r="L87" s="755">
        <f t="shared" si="16"/>
        <v>0</v>
      </c>
      <c r="M87" s="746"/>
      <c r="N87" s="747" t="e">
        <f t="shared" si="19"/>
        <v>#N/A</v>
      </c>
      <c r="O87" s="851"/>
      <c r="P87" s="851"/>
      <c r="Q87" s="851"/>
      <c r="R87" s="851"/>
      <c r="S87" s="851"/>
      <c r="T87" s="851"/>
      <c r="U87" s="851"/>
      <c r="V87" s="851"/>
      <c r="W87" s="851"/>
      <c r="X87" s="851"/>
      <c r="Y87" s="851"/>
      <c r="Z87" s="851"/>
      <c r="AA87" s="851"/>
      <c r="AB87" s="851"/>
      <c r="AC87" s="851"/>
      <c r="AD87" s="851"/>
      <c r="AE87" s="851"/>
      <c r="AF87" s="851"/>
      <c r="AG87" s="877"/>
      <c r="AH87" s="728" t="s">
        <v>243</v>
      </c>
      <c r="AI87" s="729"/>
      <c r="AJ87" s="729"/>
      <c r="AK87" s="730">
        <f>IF((AJ87-AI87)&gt;=0,0,IF(AJ87=1,-200,-400))</f>
        <v>0</v>
      </c>
      <c r="AL87" s="731"/>
      <c r="AM87" s="777"/>
      <c r="AN87" s="733">
        <f>IF(AL87&gt;=0.67,1.1,IF(AL87&gt;=0.6,1,IF(AL87&gt;=0.45,0.9,0.8)))</f>
        <v>0.8</v>
      </c>
      <c r="AO87" s="729"/>
      <c r="AP87" s="733"/>
      <c r="AQ87" s="573"/>
      <c r="AR87" s="716" t="e">
        <f t="shared" si="17"/>
        <v>#N/A</v>
      </c>
      <c r="AS87" s="746"/>
      <c r="AT87" s="746"/>
      <c r="AU87" s="746"/>
      <c r="AV87" s="746"/>
      <c r="AW87" s="746"/>
      <c r="AX87" s="746"/>
      <c r="AY87" s="746"/>
      <c r="AZ87" s="746"/>
      <c r="BA87" s="746"/>
      <c r="BB87" s="746"/>
      <c r="BC87" s="746"/>
      <c r="BD87" s="746"/>
      <c r="BE87" s="746"/>
      <c r="BF87" s="746"/>
      <c r="BG87" s="746"/>
      <c r="BH87" s="746"/>
      <c r="BI87" s="746"/>
    </row>
    <row r="88" spans="1:61">
      <c r="A88" s="750"/>
      <c r="B88" s="737"/>
      <c r="C88" s="738"/>
      <c r="D88" s="738"/>
      <c r="E88" s="739">
        <f t="shared" si="18"/>
        <v>0</v>
      </c>
      <c r="F88" s="764"/>
      <c r="G88" s="752"/>
      <c r="H88" s="753"/>
      <c r="I88" s="752"/>
      <c r="J88" s="743"/>
      <c r="K88" s="754"/>
      <c r="L88" s="755">
        <f t="shared" si="16"/>
        <v>0</v>
      </c>
      <c r="M88" s="746"/>
      <c r="N88" s="747" t="e">
        <f t="shared" si="19"/>
        <v>#N/A</v>
      </c>
      <c r="O88" s="851"/>
      <c r="P88" s="851"/>
      <c r="Q88" s="851"/>
      <c r="R88" s="851"/>
      <c r="S88" s="851"/>
      <c r="T88" s="851"/>
      <c r="U88" s="851"/>
      <c r="V88" s="851"/>
      <c r="W88" s="851"/>
      <c r="X88" s="851"/>
      <c r="Y88" s="851"/>
      <c r="Z88" s="851"/>
      <c r="AA88" s="851"/>
      <c r="AB88" s="851"/>
      <c r="AC88" s="851"/>
      <c r="AD88" s="851"/>
      <c r="AE88" s="851"/>
      <c r="AF88" s="851"/>
      <c r="AG88" s="877"/>
      <c r="AH88" s="728"/>
      <c r="AI88" s="729"/>
      <c r="AJ88" s="729"/>
      <c r="AK88" s="730"/>
      <c r="AL88" s="731"/>
      <c r="AM88" s="777"/>
      <c r="AN88" s="733">
        <f>IF(AL88&gt;=0.67,1.1,IF(AL88&gt;=0.6,1,IF(AL88&gt;=0.45,0.9,0.8)))</f>
        <v>0.8</v>
      </c>
      <c r="AO88" s="729"/>
      <c r="AP88" s="733"/>
      <c r="AQ88" s="573"/>
      <c r="AR88" s="716" t="e">
        <f t="shared" si="17"/>
        <v>#N/A</v>
      </c>
      <c r="AS88" s="746"/>
      <c r="AT88" s="746"/>
      <c r="AU88" s="746"/>
      <c r="AV88" s="746"/>
      <c r="AW88" s="746"/>
      <c r="AX88" s="746"/>
      <c r="AY88" s="746"/>
      <c r="AZ88" s="746"/>
      <c r="BA88" s="746"/>
      <c r="BB88" s="746"/>
      <c r="BC88" s="746"/>
      <c r="BD88" s="746"/>
      <c r="BE88" s="746"/>
      <c r="BF88" s="746"/>
      <c r="BG88" s="746"/>
      <c r="BH88" s="746"/>
      <c r="BI88" s="746"/>
    </row>
    <row r="89" spans="1:61">
      <c r="A89" s="750"/>
      <c r="B89" s="737"/>
      <c r="C89" s="738"/>
      <c r="D89" s="738"/>
      <c r="E89" s="739">
        <f t="shared" si="18"/>
        <v>0</v>
      </c>
      <c r="F89" s="764"/>
      <c r="G89" s="752"/>
      <c r="H89" s="753"/>
      <c r="I89" s="752"/>
      <c r="J89" s="743"/>
      <c r="K89" s="754"/>
      <c r="L89" s="755">
        <f t="shared" si="16"/>
        <v>0</v>
      </c>
      <c r="M89" s="746"/>
      <c r="N89" s="747" t="e">
        <f t="shared" si="19"/>
        <v>#N/A</v>
      </c>
      <c r="O89" s="851"/>
      <c r="P89" s="851"/>
      <c r="Q89" s="851"/>
      <c r="R89" s="851"/>
      <c r="S89" s="851"/>
      <c r="T89" s="851"/>
      <c r="U89" s="851"/>
      <c r="V89" s="851"/>
      <c r="W89" s="851"/>
      <c r="X89" s="851"/>
      <c r="Y89" s="851"/>
      <c r="Z89" s="851"/>
      <c r="AA89" s="851"/>
      <c r="AB89" s="851"/>
      <c r="AC89" s="851"/>
      <c r="AD89" s="851"/>
      <c r="AE89" s="851"/>
      <c r="AF89" s="851"/>
      <c r="AG89" s="877"/>
      <c r="AH89" s="573"/>
      <c r="AI89" s="729"/>
      <c r="AJ89" s="729"/>
      <c r="AK89" s="879"/>
      <c r="AL89" s="731"/>
      <c r="AM89" s="777"/>
      <c r="AN89" s="733"/>
      <c r="AO89" s="573"/>
      <c r="AP89" s="733"/>
      <c r="AQ89" s="573"/>
      <c r="AR89" s="716" t="e">
        <f t="shared" si="17"/>
        <v>#N/A</v>
      </c>
      <c r="AS89" s="746"/>
      <c r="AT89" s="746"/>
      <c r="AU89" s="746"/>
      <c r="AV89" s="746"/>
      <c r="AW89" s="746"/>
      <c r="AX89" s="746"/>
      <c r="AY89" s="746"/>
      <c r="AZ89" s="746"/>
      <c r="BA89" s="746"/>
      <c r="BB89" s="746"/>
      <c r="BC89" s="746"/>
      <c r="BD89" s="746"/>
      <c r="BE89" s="746"/>
      <c r="BF89" s="746"/>
      <c r="BG89" s="746"/>
      <c r="BH89" s="746"/>
      <c r="BI89" s="746"/>
    </row>
    <row r="90" spans="1:61">
      <c r="A90" s="750"/>
      <c r="B90" s="737"/>
      <c r="C90" s="738"/>
      <c r="D90" s="738"/>
      <c r="E90" s="739">
        <f t="shared" si="18"/>
        <v>0</v>
      </c>
      <c r="F90" s="764"/>
      <c r="G90" s="752"/>
      <c r="H90" s="753"/>
      <c r="I90" s="752"/>
      <c r="J90" s="743"/>
      <c r="K90" s="754"/>
      <c r="L90" s="755">
        <f t="shared" si="16"/>
        <v>0</v>
      </c>
      <c r="M90" s="746"/>
      <c r="N90" s="747" t="e">
        <f t="shared" si="19"/>
        <v>#N/A</v>
      </c>
      <c r="O90" s="851"/>
      <c r="P90" s="851"/>
      <c r="Q90" s="851"/>
      <c r="R90" s="851"/>
      <c r="S90" s="851"/>
      <c r="T90" s="851"/>
      <c r="U90" s="851"/>
      <c r="V90" s="851"/>
      <c r="W90" s="851"/>
      <c r="X90" s="851"/>
      <c r="Y90" s="851"/>
      <c r="Z90" s="851"/>
      <c r="AA90" s="851"/>
      <c r="AB90" s="851"/>
      <c r="AC90" s="851"/>
      <c r="AD90" s="851"/>
      <c r="AE90" s="851"/>
      <c r="AF90" s="851"/>
      <c r="AG90" s="880"/>
      <c r="AH90" s="881" t="s">
        <v>193</v>
      </c>
      <c r="AI90" s="783">
        <f>SUM(AI85:AI89)</f>
        <v>0</v>
      </c>
      <c r="AJ90" s="783"/>
      <c r="AK90" s="784">
        <f>SUM(AK85:AK89)</f>
        <v>0</v>
      </c>
      <c r="AL90" s="785"/>
      <c r="AM90" s="786"/>
      <c r="AN90" s="787"/>
      <c r="AO90" s="882"/>
      <c r="AP90" s="789"/>
      <c r="AQ90" s="573"/>
      <c r="AR90" s="716" t="e">
        <f t="shared" si="17"/>
        <v>#N/A</v>
      </c>
      <c r="AS90" s="746"/>
      <c r="AT90" s="746"/>
      <c r="AU90" s="746"/>
      <c r="AV90" s="746"/>
      <c r="AW90" s="746"/>
      <c r="AX90" s="746"/>
      <c r="AY90" s="746"/>
      <c r="AZ90" s="746"/>
      <c r="BA90" s="746"/>
      <c r="BB90" s="746"/>
      <c r="BC90" s="746"/>
      <c r="BD90" s="746"/>
      <c r="BE90" s="746"/>
      <c r="BF90" s="746"/>
      <c r="BG90" s="746"/>
      <c r="BH90" s="746"/>
      <c r="BI90" s="746"/>
    </row>
    <row r="91" spans="1:61">
      <c r="A91" s="750"/>
      <c r="B91" s="737"/>
      <c r="C91" s="738"/>
      <c r="D91" s="738"/>
      <c r="E91" s="739">
        <f t="shared" si="18"/>
        <v>0</v>
      </c>
      <c r="F91" s="764"/>
      <c r="G91" s="752"/>
      <c r="H91" s="753"/>
      <c r="I91" s="752"/>
      <c r="J91" s="743"/>
      <c r="K91" s="754"/>
      <c r="L91" s="755">
        <f t="shared" si="16"/>
        <v>0</v>
      </c>
      <c r="M91" s="746"/>
      <c r="N91" s="747" t="e">
        <f t="shared" si="19"/>
        <v>#N/A</v>
      </c>
      <c r="O91" s="851"/>
      <c r="P91" s="851"/>
      <c r="Q91" s="851"/>
      <c r="R91" s="851"/>
      <c r="S91" s="851"/>
      <c r="T91" s="851"/>
      <c r="U91" s="851"/>
      <c r="V91" s="851"/>
      <c r="W91" s="851"/>
      <c r="X91" s="851"/>
      <c r="Y91" s="851"/>
      <c r="Z91" s="851"/>
      <c r="AA91" s="851"/>
      <c r="AB91" s="851"/>
      <c r="AC91" s="851"/>
      <c r="AD91" s="851"/>
      <c r="AE91" s="851"/>
      <c r="AF91" s="851"/>
      <c r="AG91" s="898" t="s">
        <v>422</v>
      </c>
      <c r="AH91" s="728" t="s">
        <v>230</v>
      </c>
      <c r="AI91" s="710"/>
      <c r="AJ91" s="710"/>
      <c r="AK91" s="730">
        <f>IF((AJ91-AI91)&gt;=0,0,IF(AJ91=1,-200,-400))</f>
        <v>0</v>
      </c>
      <c r="AL91" s="731"/>
      <c r="AM91" s="777"/>
      <c r="AN91" s="733">
        <f>IF(AL91&gt;=0.67,1.1,IF(AL91&gt;=0.6,1,IF(AL91&gt;=0.45,0.9,0.8)))</f>
        <v>0.8</v>
      </c>
      <c r="AO91" s="710"/>
      <c r="AP91" s="714"/>
      <c r="AQ91" s="573"/>
      <c r="AR91" s="716" t="e">
        <f t="shared" si="17"/>
        <v>#N/A</v>
      </c>
      <c r="AS91" s="746"/>
      <c r="AT91" s="746"/>
      <c r="AU91" s="746"/>
      <c r="AV91" s="746"/>
      <c r="AW91" s="746"/>
      <c r="AX91" s="746"/>
      <c r="AY91" s="746"/>
      <c r="AZ91" s="746"/>
      <c r="BA91" s="746"/>
      <c r="BB91" s="746"/>
      <c r="BC91" s="746"/>
      <c r="BD91" s="746"/>
      <c r="BE91" s="746"/>
      <c r="BF91" s="746"/>
      <c r="BG91" s="746"/>
      <c r="BH91" s="746"/>
      <c r="BI91" s="746"/>
    </row>
    <row r="92" spans="1:61">
      <c r="A92" s="750"/>
      <c r="B92" s="737"/>
      <c r="C92" s="738"/>
      <c r="D92" s="738"/>
      <c r="E92" s="739">
        <f t="shared" si="18"/>
        <v>0</v>
      </c>
      <c r="F92" s="764"/>
      <c r="G92" s="752"/>
      <c r="H92" s="753"/>
      <c r="I92" s="752"/>
      <c r="J92" s="743"/>
      <c r="K92" s="754"/>
      <c r="L92" s="755">
        <f t="shared" si="16"/>
        <v>0</v>
      </c>
      <c r="M92" s="746"/>
      <c r="N92" s="747" t="e">
        <f t="shared" si="19"/>
        <v>#N/A</v>
      </c>
      <c r="O92" s="851"/>
      <c r="P92" s="851"/>
      <c r="Q92" s="851"/>
      <c r="R92" s="851"/>
      <c r="S92" s="851"/>
      <c r="T92" s="851"/>
      <c r="U92" s="851"/>
      <c r="V92" s="851"/>
      <c r="W92" s="851"/>
      <c r="X92" s="851"/>
      <c r="Y92" s="851"/>
      <c r="Z92" s="851"/>
      <c r="AA92" s="851"/>
      <c r="AB92" s="851"/>
      <c r="AC92" s="851"/>
      <c r="AD92" s="851"/>
      <c r="AE92" s="851"/>
      <c r="AF92" s="851"/>
      <c r="AG92" s="877"/>
      <c r="AH92" s="728" t="s">
        <v>232</v>
      </c>
      <c r="AI92" s="899"/>
      <c r="AJ92" s="729"/>
      <c r="AK92" s="730">
        <f>IF((AJ92-AI92)&gt;=0,0,IF(AJ92=1,-200,-400))</f>
        <v>0</v>
      </c>
      <c r="AL92" s="731"/>
      <c r="AM92" s="777"/>
      <c r="AN92" s="733">
        <f>IF(AL92&gt;=0.67,1.1,IF(AL92&gt;=0.6,1,IF(AL92&gt;=0.45,0.9,0.8)))</f>
        <v>0.8</v>
      </c>
      <c r="AO92" s="899"/>
      <c r="AP92" s="733"/>
      <c r="AQ92" s="573"/>
      <c r="AR92" s="716" t="e">
        <f t="shared" si="17"/>
        <v>#N/A</v>
      </c>
      <c r="AS92" s="746"/>
      <c r="AT92" s="746"/>
      <c r="AU92" s="746"/>
      <c r="AV92" s="746"/>
      <c r="AW92" s="746"/>
      <c r="AX92" s="746"/>
      <c r="AY92" s="746"/>
      <c r="AZ92" s="746"/>
      <c r="BA92" s="746"/>
      <c r="BB92" s="746"/>
      <c r="BC92" s="746"/>
      <c r="BD92" s="746"/>
      <c r="BE92" s="746"/>
      <c r="BF92" s="746"/>
      <c r="BG92" s="746"/>
      <c r="BH92" s="746"/>
      <c r="BI92" s="746"/>
    </row>
    <row r="93" spans="1:61">
      <c r="A93" s="750"/>
      <c r="B93" s="737"/>
      <c r="C93" s="738"/>
      <c r="D93" s="738"/>
      <c r="E93" s="739">
        <f t="shared" si="18"/>
        <v>0</v>
      </c>
      <c r="F93" s="764"/>
      <c r="G93" s="752"/>
      <c r="H93" s="753"/>
      <c r="I93" s="752"/>
      <c r="J93" s="743"/>
      <c r="K93" s="754"/>
      <c r="L93" s="755">
        <f t="shared" si="16"/>
        <v>0</v>
      </c>
      <c r="M93" s="746"/>
      <c r="N93" s="747" t="e">
        <f t="shared" si="19"/>
        <v>#N/A</v>
      </c>
      <c r="O93" s="851"/>
      <c r="P93" s="851"/>
      <c r="Q93" s="851"/>
      <c r="R93" s="851"/>
      <c r="S93" s="851"/>
      <c r="T93" s="851"/>
      <c r="U93" s="851"/>
      <c r="V93" s="851"/>
      <c r="W93" s="851"/>
      <c r="X93" s="851"/>
      <c r="Y93" s="851"/>
      <c r="Z93" s="851"/>
      <c r="AA93" s="851"/>
      <c r="AB93" s="851"/>
      <c r="AC93" s="851"/>
      <c r="AD93" s="851"/>
      <c r="AE93" s="851"/>
      <c r="AF93" s="851"/>
      <c r="AG93" s="877"/>
      <c r="AH93" s="728" t="s">
        <v>231</v>
      </c>
      <c r="AI93" s="729"/>
      <c r="AJ93" s="729"/>
      <c r="AK93" s="730">
        <f>IF((AJ93-AI93)&gt;=0,0,IF(AJ93=1,-200,-400))</f>
        <v>0</v>
      </c>
      <c r="AL93" s="731"/>
      <c r="AM93" s="777"/>
      <c r="AN93" s="733">
        <f>IF(AL93&gt;=0.67,1.1,IF(AL93&gt;=0.6,1,IF(AL93&gt;=0.45,0.9,0.8)))</f>
        <v>0.8</v>
      </c>
      <c r="AO93" s="729"/>
      <c r="AP93" s="733"/>
      <c r="AQ93" s="573"/>
      <c r="AR93" s="716" t="e">
        <f t="shared" si="17"/>
        <v>#N/A</v>
      </c>
      <c r="AS93" s="746"/>
      <c r="AT93" s="746"/>
      <c r="AU93" s="746"/>
      <c r="AV93" s="746"/>
      <c r="AW93" s="746"/>
      <c r="AX93" s="746"/>
      <c r="AY93" s="746"/>
      <c r="AZ93" s="746"/>
      <c r="BA93" s="746"/>
      <c r="BB93" s="746"/>
      <c r="BC93" s="746"/>
      <c r="BD93" s="746"/>
      <c r="BE93" s="746"/>
      <c r="BF93" s="746"/>
      <c r="BG93" s="746"/>
      <c r="BH93" s="746"/>
      <c r="BI93" s="746"/>
    </row>
    <row r="94" spans="1:61">
      <c r="A94" s="750"/>
      <c r="B94" s="737"/>
      <c r="C94" s="738"/>
      <c r="D94" s="738"/>
      <c r="E94" s="739">
        <f t="shared" si="18"/>
        <v>0</v>
      </c>
      <c r="F94" s="764"/>
      <c r="G94" s="752"/>
      <c r="H94" s="753"/>
      <c r="I94" s="752"/>
      <c r="J94" s="743"/>
      <c r="K94" s="754"/>
      <c r="L94" s="755">
        <f t="shared" si="16"/>
        <v>0</v>
      </c>
      <c r="M94" s="746"/>
      <c r="N94" s="747" t="e">
        <f t="shared" si="19"/>
        <v>#N/A</v>
      </c>
      <c r="O94" s="851"/>
      <c r="P94" s="851"/>
      <c r="Q94" s="851"/>
      <c r="R94" s="851"/>
      <c r="S94" s="851"/>
      <c r="T94" s="851"/>
      <c r="U94" s="851"/>
      <c r="V94" s="851"/>
      <c r="W94" s="851"/>
      <c r="X94" s="851"/>
      <c r="Y94" s="851"/>
      <c r="Z94" s="851"/>
      <c r="AA94" s="851"/>
      <c r="AB94" s="851"/>
      <c r="AC94" s="851"/>
      <c r="AD94" s="851"/>
      <c r="AE94" s="851"/>
      <c r="AF94" s="851"/>
      <c r="AG94" s="877"/>
      <c r="AH94" s="728" t="s">
        <v>233</v>
      </c>
      <c r="AI94" s="729"/>
      <c r="AJ94" s="729"/>
      <c r="AK94" s="730">
        <f>IF((AJ94-AI94)&gt;=0,0,IF(AJ94=1,-300,-600))</f>
        <v>0</v>
      </c>
      <c r="AL94" s="900"/>
      <c r="AM94" s="901"/>
      <c r="AN94" s="733">
        <f>IF(AL94&gt;=0.67,1.1,IF(AL94&gt;=0.6,1,IF(AL94&gt;=0.45,0.9,0.8)))</f>
        <v>0.8</v>
      </c>
      <c r="AO94" s="854"/>
      <c r="AP94" s="733"/>
      <c r="AQ94" s="573"/>
      <c r="AR94" s="716" t="e">
        <f t="shared" si="17"/>
        <v>#N/A</v>
      </c>
      <c r="AS94" s="746"/>
      <c r="AT94" s="746"/>
      <c r="AU94" s="746"/>
      <c r="AV94" s="746"/>
      <c r="AW94" s="746"/>
      <c r="AX94" s="746"/>
      <c r="AY94" s="746"/>
      <c r="AZ94" s="746"/>
      <c r="BA94" s="746"/>
      <c r="BB94" s="746"/>
      <c r="BC94" s="746"/>
      <c r="BD94" s="746"/>
      <c r="BE94" s="746"/>
      <c r="BF94" s="746"/>
      <c r="BG94" s="746"/>
      <c r="BH94" s="746"/>
      <c r="BI94" s="746"/>
    </row>
    <row r="95" spans="1:61">
      <c r="A95" s="750"/>
      <c r="B95" s="737"/>
      <c r="C95" s="738"/>
      <c r="D95" s="738"/>
      <c r="E95" s="739">
        <f t="shared" si="18"/>
        <v>0</v>
      </c>
      <c r="F95" s="764"/>
      <c r="G95" s="752"/>
      <c r="H95" s="753"/>
      <c r="I95" s="752"/>
      <c r="J95" s="743"/>
      <c r="K95" s="754"/>
      <c r="L95" s="755">
        <f t="shared" si="16"/>
        <v>0</v>
      </c>
      <c r="M95" s="746"/>
      <c r="N95" s="747" t="e">
        <f t="shared" si="19"/>
        <v>#N/A</v>
      </c>
      <c r="O95" s="851"/>
      <c r="P95" s="851"/>
      <c r="Q95" s="851"/>
      <c r="R95" s="851"/>
      <c r="S95" s="851"/>
      <c r="T95" s="851"/>
      <c r="U95" s="851"/>
      <c r="V95" s="851"/>
      <c r="W95" s="851"/>
      <c r="X95" s="851"/>
      <c r="Y95" s="851"/>
      <c r="Z95" s="851"/>
      <c r="AA95" s="851"/>
      <c r="AB95" s="851"/>
      <c r="AC95" s="851"/>
      <c r="AD95" s="851"/>
      <c r="AE95" s="851"/>
      <c r="AF95" s="851"/>
      <c r="AG95" s="877"/>
      <c r="AH95" s="728"/>
      <c r="AI95" s="729"/>
      <c r="AJ95" s="729"/>
      <c r="AK95" s="730"/>
      <c r="AL95" s="900"/>
      <c r="AM95" s="901"/>
      <c r="AN95" s="733"/>
      <c r="AO95" s="854"/>
      <c r="AP95" s="733"/>
      <c r="AQ95" s="573"/>
      <c r="AR95" s="716" t="e">
        <f t="shared" si="17"/>
        <v>#N/A</v>
      </c>
      <c r="AS95" s="746"/>
      <c r="AT95" s="746"/>
      <c r="AU95" s="746"/>
      <c r="AV95" s="746"/>
      <c r="AW95" s="746"/>
      <c r="AX95" s="746"/>
      <c r="AY95" s="746"/>
      <c r="AZ95" s="746"/>
      <c r="BA95" s="746"/>
      <c r="BB95" s="746"/>
      <c r="BC95" s="746"/>
      <c r="BD95" s="746"/>
      <c r="BE95" s="746"/>
      <c r="BF95" s="746"/>
      <c r="BG95" s="746"/>
      <c r="BH95" s="746"/>
      <c r="BI95" s="746"/>
    </row>
    <row r="96" spans="1:61">
      <c r="A96" s="750"/>
      <c r="B96" s="737"/>
      <c r="C96" s="738"/>
      <c r="D96" s="738"/>
      <c r="E96" s="739">
        <f t="shared" si="18"/>
        <v>0</v>
      </c>
      <c r="F96" s="764"/>
      <c r="G96" s="752"/>
      <c r="H96" s="753"/>
      <c r="I96" s="752"/>
      <c r="J96" s="743"/>
      <c r="K96" s="754"/>
      <c r="L96" s="755">
        <f t="shared" si="16"/>
        <v>0</v>
      </c>
      <c r="M96" s="746"/>
      <c r="N96" s="747" t="e">
        <f t="shared" si="19"/>
        <v>#N/A</v>
      </c>
      <c r="O96" s="851"/>
      <c r="P96" s="851"/>
      <c r="Q96" s="851"/>
      <c r="R96" s="851"/>
      <c r="S96" s="851"/>
      <c r="T96" s="851"/>
      <c r="U96" s="851"/>
      <c r="V96" s="851"/>
      <c r="W96" s="851"/>
      <c r="X96" s="851"/>
      <c r="Y96" s="851"/>
      <c r="Z96" s="851"/>
      <c r="AA96" s="851"/>
      <c r="AB96" s="851"/>
      <c r="AC96" s="851"/>
      <c r="AD96" s="851"/>
      <c r="AE96" s="851"/>
      <c r="AF96" s="851"/>
      <c r="AG96" s="877"/>
      <c r="AH96" s="887"/>
      <c r="AI96" s="813"/>
      <c r="AJ96" s="813"/>
      <c r="AK96" s="730"/>
      <c r="AL96" s="902"/>
      <c r="AM96" s="903"/>
      <c r="AN96" s="733"/>
      <c r="AO96" s="904"/>
      <c r="AP96" s="878"/>
      <c r="AQ96" s="573"/>
      <c r="AR96" s="716" t="e">
        <f t="shared" si="17"/>
        <v>#N/A</v>
      </c>
      <c r="AS96" s="746"/>
      <c r="AT96" s="746"/>
      <c r="AU96" s="746"/>
      <c r="AV96" s="746"/>
      <c r="AW96" s="746"/>
      <c r="AX96" s="746"/>
      <c r="AY96" s="746"/>
      <c r="AZ96" s="746"/>
      <c r="BA96" s="746"/>
      <c r="BB96" s="746"/>
      <c r="BC96" s="746"/>
      <c r="BD96" s="746"/>
      <c r="BE96" s="746"/>
      <c r="BF96" s="746"/>
      <c r="BG96" s="746"/>
      <c r="BH96" s="746"/>
      <c r="BI96" s="746"/>
    </row>
    <row r="97" spans="1:61">
      <c r="A97" s="750"/>
      <c r="B97" s="737"/>
      <c r="C97" s="738"/>
      <c r="D97" s="738"/>
      <c r="E97" s="739">
        <f t="shared" si="18"/>
        <v>0</v>
      </c>
      <c r="F97" s="764"/>
      <c r="G97" s="752"/>
      <c r="H97" s="753"/>
      <c r="I97" s="752"/>
      <c r="J97" s="743"/>
      <c r="K97" s="754"/>
      <c r="L97" s="755">
        <f t="shared" si="16"/>
        <v>0</v>
      </c>
      <c r="M97" s="746"/>
      <c r="N97" s="747" t="e">
        <f t="shared" si="19"/>
        <v>#N/A</v>
      </c>
      <c r="O97" s="851"/>
      <c r="P97" s="851"/>
      <c r="Q97" s="851"/>
      <c r="R97" s="851"/>
      <c r="S97" s="851"/>
      <c r="T97" s="851"/>
      <c r="U97" s="851"/>
      <c r="V97" s="851"/>
      <c r="W97" s="851"/>
      <c r="X97" s="851"/>
      <c r="Y97" s="851"/>
      <c r="Z97" s="851"/>
      <c r="AA97" s="851"/>
      <c r="AB97" s="851"/>
      <c r="AC97" s="851"/>
      <c r="AD97" s="851"/>
      <c r="AE97" s="851"/>
      <c r="AF97" s="851"/>
      <c r="AG97" s="877"/>
      <c r="AH97" s="887"/>
      <c r="AI97" s="813"/>
      <c r="AJ97" s="813"/>
      <c r="AK97" s="888"/>
      <c r="AL97" s="902"/>
      <c r="AM97" s="903"/>
      <c r="AN97" s="878"/>
      <c r="AO97" s="904"/>
      <c r="AP97" s="878"/>
      <c r="AQ97" s="573"/>
      <c r="AR97" s="716" t="e">
        <f t="shared" si="17"/>
        <v>#N/A</v>
      </c>
      <c r="AS97" s="746"/>
      <c r="AT97" s="746"/>
      <c r="AU97" s="746"/>
      <c r="AV97" s="746"/>
      <c r="AW97" s="746"/>
      <c r="AX97" s="746"/>
      <c r="AY97" s="746"/>
      <c r="AZ97" s="746"/>
      <c r="BA97" s="746"/>
      <c r="BB97" s="746"/>
      <c r="BC97" s="746"/>
      <c r="BD97" s="746"/>
      <c r="BE97" s="746"/>
      <c r="BF97" s="746"/>
      <c r="BG97" s="746"/>
      <c r="BH97" s="746"/>
      <c r="BI97" s="746"/>
    </row>
    <row r="98" spans="1:61">
      <c r="A98" s="750"/>
      <c r="B98" s="737"/>
      <c r="C98" s="738"/>
      <c r="D98" s="738"/>
      <c r="E98" s="739">
        <f t="shared" si="18"/>
        <v>0</v>
      </c>
      <c r="F98" s="764"/>
      <c r="G98" s="752"/>
      <c r="H98" s="753"/>
      <c r="I98" s="752"/>
      <c r="J98" s="743"/>
      <c r="K98" s="754"/>
      <c r="L98" s="755">
        <f t="shared" si="16"/>
        <v>0</v>
      </c>
      <c r="M98" s="746"/>
      <c r="N98" s="747" t="e">
        <f t="shared" si="19"/>
        <v>#N/A</v>
      </c>
      <c r="O98" s="851"/>
      <c r="P98" s="851"/>
      <c r="Q98" s="851"/>
      <c r="R98" s="851"/>
      <c r="S98" s="851"/>
      <c r="T98" s="851"/>
      <c r="U98" s="851"/>
      <c r="V98" s="851"/>
      <c r="W98" s="851"/>
      <c r="X98" s="851"/>
      <c r="Y98" s="851"/>
      <c r="Z98" s="851"/>
      <c r="AA98" s="851"/>
      <c r="AB98" s="851"/>
      <c r="AC98" s="851"/>
      <c r="AD98" s="851"/>
      <c r="AE98" s="851"/>
      <c r="AF98" s="851"/>
      <c r="AG98" s="880"/>
      <c r="AH98" s="861" t="s">
        <v>193</v>
      </c>
      <c r="AI98" s="783">
        <f>SUM(AI91:AI96)</f>
        <v>0</v>
      </c>
      <c r="AJ98" s="783">
        <f>SUM(AJ91:AJ96)</f>
        <v>0</v>
      </c>
      <c r="AK98" s="784">
        <f>SUM(AK91:AK95)</f>
        <v>0</v>
      </c>
      <c r="AL98" s="785"/>
      <c r="AM98" s="786"/>
      <c r="AN98" s="865"/>
      <c r="AO98" s="882"/>
      <c r="AP98" s="865"/>
      <c r="AQ98" s="573"/>
      <c r="AR98" s="716" t="e">
        <f t="shared" si="17"/>
        <v>#N/A</v>
      </c>
      <c r="AS98" s="746"/>
      <c r="AT98" s="746"/>
      <c r="AU98" s="746"/>
      <c r="AV98" s="746"/>
      <c r="AW98" s="746"/>
      <c r="AX98" s="746"/>
      <c r="AY98" s="746"/>
      <c r="AZ98" s="746"/>
      <c r="BA98" s="746"/>
      <c r="BB98" s="746"/>
      <c r="BC98" s="746"/>
      <c r="BD98" s="746"/>
      <c r="BE98" s="746"/>
      <c r="BF98" s="746"/>
      <c r="BG98" s="746"/>
      <c r="BH98" s="746"/>
      <c r="BI98" s="746"/>
    </row>
    <row r="99" spans="1:61">
      <c r="A99" s="750"/>
      <c r="B99" s="737"/>
      <c r="C99" s="738"/>
      <c r="D99" s="738"/>
      <c r="E99" s="739">
        <f t="shared" si="18"/>
        <v>0</v>
      </c>
      <c r="F99" s="764"/>
      <c r="G99" s="752"/>
      <c r="H99" s="753"/>
      <c r="I99" s="752"/>
      <c r="J99" s="743"/>
      <c r="K99" s="754"/>
      <c r="L99" s="755">
        <f t="shared" si="16"/>
        <v>0</v>
      </c>
      <c r="M99" s="746"/>
      <c r="N99" s="747" t="e">
        <f t="shared" si="19"/>
        <v>#N/A</v>
      </c>
      <c r="O99" s="851"/>
      <c r="P99" s="851"/>
      <c r="Q99" s="851"/>
      <c r="R99" s="851"/>
      <c r="S99" s="851"/>
      <c r="T99" s="851"/>
      <c r="U99" s="851"/>
      <c r="V99" s="851"/>
      <c r="W99" s="851"/>
      <c r="X99" s="851"/>
      <c r="Y99" s="851"/>
      <c r="Z99" s="851"/>
      <c r="AA99" s="851"/>
      <c r="AB99" s="851"/>
      <c r="AC99" s="851"/>
      <c r="AD99" s="851"/>
      <c r="AE99" s="851"/>
      <c r="AF99" s="851"/>
      <c r="AG99" s="876" t="s">
        <v>891</v>
      </c>
      <c r="AH99" s="709"/>
      <c r="AI99" s="710">
        <f>AI66+AI71+AI78+AI84+AI90+AI98</f>
        <v>0</v>
      </c>
      <c r="AJ99" s="710">
        <f>AJ66+AJ71+AJ78+AJ84+AJ90+AJ98</f>
        <v>0</v>
      </c>
      <c r="AK99" s="905">
        <f>AK66+AK71+AK78+AK84+AK90+AK98</f>
        <v>0</v>
      </c>
      <c r="AL99" s="731" t="s">
        <v>618</v>
      </c>
      <c r="AM99" s="777"/>
      <c r="AN99" s="714"/>
      <c r="AO99" s="734"/>
      <c r="AP99" s="714"/>
      <c r="AQ99" s="573"/>
      <c r="AR99" s="716" t="e">
        <f t="shared" si="17"/>
        <v>#N/A</v>
      </c>
      <c r="AS99" s="749" t="s">
        <v>760</v>
      </c>
      <c r="AT99" s="746"/>
      <c r="AU99" s="746"/>
      <c r="AV99" s="746"/>
      <c r="AW99" s="746"/>
      <c r="AX99" s="746"/>
      <c r="AY99" s="746"/>
      <c r="AZ99" s="746"/>
      <c r="BA99" s="746"/>
      <c r="BB99" s="746"/>
      <c r="BC99" s="746"/>
      <c r="BD99" s="746"/>
      <c r="BE99" s="746"/>
      <c r="BF99" s="746"/>
      <c r="BG99" s="746"/>
      <c r="BH99" s="746"/>
      <c r="BI99" s="746"/>
    </row>
    <row r="100" spans="1:61">
      <c r="A100" s="750"/>
      <c r="B100" s="737"/>
      <c r="C100" s="738"/>
      <c r="D100" s="738"/>
      <c r="E100" s="739">
        <f t="shared" si="18"/>
        <v>0</v>
      </c>
      <c r="F100" s="764"/>
      <c r="G100" s="752"/>
      <c r="H100" s="753"/>
      <c r="I100" s="752"/>
      <c r="J100" s="743"/>
      <c r="K100" s="754"/>
      <c r="L100" s="755">
        <f t="shared" si="16"/>
        <v>0</v>
      </c>
      <c r="M100" s="746"/>
      <c r="N100" s="747" t="e">
        <f t="shared" si="19"/>
        <v>#N/A</v>
      </c>
      <c r="O100" s="851"/>
      <c r="P100" s="851"/>
      <c r="Q100" s="851"/>
      <c r="R100" s="851"/>
      <c r="S100" s="851"/>
      <c r="T100" s="851"/>
      <c r="U100" s="851"/>
      <c r="V100" s="851"/>
      <c r="W100" s="851"/>
      <c r="X100" s="851"/>
      <c r="Y100" s="851"/>
      <c r="Z100" s="851"/>
      <c r="AA100" s="851"/>
      <c r="AB100" s="851"/>
      <c r="AC100" s="851"/>
      <c r="AD100" s="851"/>
      <c r="AE100" s="851"/>
      <c r="AF100" s="851"/>
      <c r="AG100" s="906"/>
      <c r="AH100" s="573"/>
      <c r="AI100" s="907"/>
      <c r="AJ100" s="907"/>
      <c r="AK100" s="908"/>
      <c r="AL100" s="907"/>
      <c r="AM100" s="907"/>
      <c r="AN100" s="909"/>
      <c r="AO100" s="907"/>
      <c r="AP100" s="909"/>
      <c r="AQ100" s="573"/>
      <c r="AR100" s="716" t="e">
        <f t="shared" si="17"/>
        <v>#N/A</v>
      </c>
      <c r="AS100" s="746"/>
      <c r="AT100" s="746"/>
      <c r="AU100" s="746"/>
      <c r="AV100" s="746"/>
      <c r="AW100" s="746"/>
      <c r="AX100" s="746"/>
      <c r="AY100" s="746"/>
      <c r="AZ100" s="746"/>
      <c r="BA100" s="746"/>
      <c r="BB100" s="746"/>
      <c r="BC100" s="746"/>
      <c r="BD100" s="746"/>
      <c r="BE100" s="746"/>
      <c r="BF100" s="746"/>
      <c r="BG100" s="746"/>
      <c r="BH100" s="746"/>
      <c r="BI100" s="746"/>
    </row>
    <row r="101" spans="1:61">
      <c r="A101" s="750"/>
      <c r="B101" s="737"/>
      <c r="C101" s="738"/>
      <c r="D101" s="738"/>
      <c r="E101" s="739">
        <f t="shared" si="18"/>
        <v>0</v>
      </c>
      <c r="F101" s="764"/>
      <c r="G101" s="752"/>
      <c r="H101" s="753"/>
      <c r="I101" s="752"/>
      <c r="J101" s="743"/>
      <c r="K101" s="754"/>
      <c r="L101" s="755">
        <f t="shared" si="16"/>
        <v>0</v>
      </c>
      <c r="M101" s="746"/>
      <c r="N101" s="747" t="e">
        <f t="shared" si="19"/>
        <v>#N/A</v>
      </c>
      <c r="O101" s="851"/>
      <c r="P101" s="851"/>
      <c r="Q101" s="851"/>
      <c r="R101" s="851"/>
      <c r="S101" s="851"/>
      <c r="T101" s="851"/>
      <c r="U101" s="851"/>
      <c r="V101" s="851"/>
      <c r="W101" s="851"/>
      <c r="X101" s="851"/>
      <c r="Y101" s="851"/>
      <c r="Z101" s="851"/>
      <c r="AA101" s="851"/>
      <c r="AB101" s="851"/>
      <c r="AC101" s="851"/>
      <c r="AD101" s="851"/>
      <c r="AE101" s="851"/>
      <c r="AF101" s="851"/>
      <c r="AG101" s="910" t="s">
        <v>892</v>
      </c>
      <c r="AH101" s="911" t="s">
        <v>11</v>
      </c>
      <c r="AI101" s="694" t="s">
        <v>799</v>
      </c>
      <c r="AJ101" s="695"/>
      <c r="AK101" s="696"/>
      <c r="AL101" s="697" t="s">
        <v>800</v>
      </c>
      <c r="AM101" s="695"/>
      <c r="AN101" s="696"/>
      <c r="AO101" s="694" t="s">
        <v>801</v>
      </c>
      <c r="AP101" s="696"/>
      <c r="AQ101" s="573"/>
      <c r="AR101" s="716" t="e">
        <f t="shared" si="17"/>
        <v>#N/A</v>
      </c>
      <c r="AS101" s="746"/>
      <c r="AT101" s="746"/>
      <c r="AU101" s="746"/>
      <c r="AV101" s="746"/>
      <c r="AW101" s="746"/>
      <c r="AX101" s="746"/>
      <c r="AY101" s="746"/>
      <c r="AZ101" s="746"/>
      <c r="BA101" s="746"/>
      <c r="BB101" s="746"/>
      <c r="BC101" s="746"/>
      <c r="BD101" s="746"/>
      <c r="BE101" s="746"/>
      <c r="BF101" s="746"/>
      <c r="BG101" s="746"/>
      <c r="BH101" s="746"/>
      <c r="BI101" s="746"/>
    </row>
    <row r="102" spans="1:61">
      <c r="A102" s="750"/>
      <c r="B102" s="737"/>
      <c r="C102" s="738"/>
      <c r="D102" s="738"/>
      <c r="E102" s="739">
        <f t="shared" si="18"/>
        <v>0</v>
      </c>
      <c r="F102" s="764"/>
      <c r="G102" s="752"/>
      <c r="H102" s="753"/>
      <c r="I102" s="752"/>
      <c r="J102" s="743"/>
      <c r="K102" s="754"/>
      <c r="L102" s="755">
        <f t="shared" si="16"/>
        <v>0</v>
      </c>
      <c r="M102" s="746"/>
      <c r="N102" s="747" t="e">
        <f t="shared" si="19"/>
        <v>#N/A</v>
      </c>
      <c r="O102" s="851"/>
      <c r="P102" s="851"/>
      <c r="Q102" s="851"/>
      <c r="R102" s="851"/>
      <c r="S102" s="851"/>
      <c r="T102" s="851"/>
      <c r="U102" s="851"/>
      <c r="V102" s="851"/>
      <c r="W102" s="851"/>
      <c r="X102" s="851"/>
      <c r="Y102" s="851"/>
      <c r="Z102" s="851"/>
      <c r="AA102" s="851"/>
      <c r="AB102" s="851"/>
      <c r="AC102" s="851"/>
      <c r="AD102" s="851"/>
      <c r="AE102" s="851"/>
      <c r="AF102" s="851"/>
      <c r="AG102" s="317"/>
      <c r="AH102" s="912"/>
      <c r="AI102" s="840" t="s">
        <v>802</v>
      </c>
      <c r="AJ102" s="840" t="s">
        <v>803</v>
      </c>
      <c r="AK102" s="841" t="s">
        <v>155</v>
      </c>
      <c r="AL102" s="842" t="s">
        <v>804</v>
      </c>
      <c r="AM102" s="843" t="s">
        <v>805</v>
      </c>
      <c r="AN102" s="705" t="s">
        <v>806</v>
      </c>
      <c r="AO102" s="840" t="s">
        <v>807</v>
      </c>
      <c r="AP102" s="844" t="s">
        <v>808</v>
      </c>
      <c r="AQ102" s="573"/>
      <c r="AR102" s="716" t="e">
        <f t="shared" si="17"/>
        <v>#N/A</v>
      </c>
      <c r="AS102" s="746"/>
      <c r="AT102" s="746"/>
      <c r="AU102" s="746"/>
      <c r="AV102" s="746"/>
      <c r="AW102" s="746"/>
      <c r="AX102" s="746"/>
      <c r="AY102" s="746"/>
      <c r="AZ102" s="746"/>
      <c r="BA102" s="746"/>
      <c r="BB102" s="746"/>
      <c r="BC102" s="746"/>
      <c r="BD102" s="746"/>
      <c r="BE102" s="746"/>
      <c r="BF102" s="746"/>
      <c r="BG102" s="746"/>
      <c r="BH102" s="746"/>
      <c r="BI102" s="746"/>
    </row>
    <row r="103" spans="1:61">
      <c r="A103" s="750"/>
      <c r="B103" s="737"/>
      <c r="C103" s="738"/>
      <c r="D103" s="738"/>
      <c r="E103" s="739">
        <f t="shared" si="18"/>
        <v>0</v>
      </c>
      <c r="F103" s="764"/>
      <c r="G103" s="752"/>
      <c r="H103" s="753"/>
      <c r="I103" s="752"/>
      <c r="J103" s="743"/>
      <c r="K103" s="754"/>
      <c r="L103" s="755">
        <f t="shared" si="16"/>
        <v>0</v>
      </c>
      <c r="M103" s="746"/>
      <c r="N103" s="747" t="e">
        <f t="shared" si="19"/>
        <v>#N/A</v>
      </c>
      <c r="O103" s="851"/>
      <c r="P103" s="851"/>
      <c r="Q103" s="851"/>
      <c r="R103" s="851"/>
      <c r="S103" s="851"/>
      <c r="T103" s="851"/>
      <c r="U103" s="851"/>
      <c r="V103" s="851"/>
      <c r="W103" s="851"/>
      <c r="X103" s="851"/>
      <c r="Y103" s="851"/>
      <c r="Z103" s="851"/>
      <c r="AA103" s="851"/>
      <c r="AB103" s="851"/>
      <c r="AC103" s="851"/>
      <c r="AD103" s="851"/>
      <c r="AE103" s="851"/>
      <c r="AF103" s="851"/>
      <c r="AG103" s="317"/>
      <c r="AH103" s="913" t="s">
        <v>893</v>
      </c>
      <c r="AI103" s="914"/>
      <c r="AJ103" s="914"/>
      <c r="AK103" s="905">
        <f>IF((AJ103-AI103)&lt;0,-200,0)</f>
        <v>0</v>
      </c>
      <c r="AL103" s="900"/>
      <c r="AM103" s="909"/>
      <c r="AN103" s="915">
        <f t="shared" ref="AN103:AN112" si="20">IF(AL103&gt;=0.65,1.1,IF(AL103&gt;=0.6,1,IF(AL103&gt;=0.45,0.8,0.6)))</f>
        <v>0.6</v>
      </c>
      <c r="AO103" s="914"/>
      <c r="AP103" s="916"/>
      <c r="AQ103" s="573"/>
      <c r="AR103" s="716" t="e">
        <f t="shared" si="17"/>
        <v>#N/A</v>
      </c>
      <c r="AS103" s="746"/>
      <c r="AT103" s="746"/>
      <c r="AU103" s="746"/>
      <c r="AV103" s="746"/>
      <c r="AW103" s="746"/>
      <c r="AX103" s="746"/>
      <c r="AY103" s="746"/>
      <c r="AZ103" s="746"/>
      <c r="BA103" s="746"/>
      <c r="BB103" s="746"/>
      <c r="BC103" s="746"/>
      <c r="BD103" s="746"/>
      <c r="BE103" s="746"/>
      <c r="BF103" s="746"/>
      <c r="BG103" s="746"/>
      <c r="BH103" s="746"/>
      <c r="BI103" s="746"/>
    </row>
    <row r="104" spans="1:61">
      <c r="A104" s="750"/>
      <c r="B104" s="737"/>
      <c r="C104" s="738"/>
      <c r="D104" s="738"/>
      <c r="E104" s="739">
        <f t="shared" si="18"/>
        <v>0</v>
      </c>
      <c r="F104" s="764"/>
      <c r="G104" s="752"/>
      <c r="H104" s="753"/>
      <c r="I104" s="752"/>
      <c r="J104" s="743"/>
      <c r="K104" s="754"/>
      <c r="L104" s="755">
        <f t="shared" si="16"/>
        <v>0</v>
      </c>
      <c r="M104" s="746"/>
      <c r="N104" s="747" t="e">
        <f t="shared" si="19"/>
        <v>#N/A</v>
      </c>
      <c r="O104" s="746"/>
      <c r="P104" s="616"/>
      <c r="Q104" s="616"/>
      <c r="R104" s="616"/>
      <c r="S104" s="616"/>
      <c r="T104" s="616"/>
      <c r="U104" s="616"/>
      <c r="V104" s="616"/>
      <c r="W104" s="616"/>
      <c r="X104" s="616"/>
      <c r="Y104" s="616"/>
      <c r="Z104" s="616"/>
      <c r="AA104" s="616"/>
      <c r="AB104" s="616"/>
      <c r="AC104" s="616"/>
      <c r="AD104" s="746"/>
      <c r="AE104" s="746"/>
      <c r="AF104" s="746"/>
      <c r="AG104" s="317"/>
      <c r="AH104" s="917" t="s">
        <v>894</v>
      </c>
      <c r="AI104" s="854"/>
      <c r="AJ104" s="854"/>
      <c r="AK104" s="879">
        <f>IF((AJ104-AI104)&lt;0,-200,0)</f>
        <v>0</v>
      </c>
      <c r="AL104" s="900"/>
      <c r="AM104" s="901"/>
      <c r="AN104" s="733">
        <f t="shared" si="20"/>
        <v>0.6</v>
      </c>
      <c r="AO104" s="854"/>
      <c r="AP104" s="855"/>
      <c r="AQ104" s="573"/>
      <c r="AR104" s="716" t="e">
        <f t="shared" si="17"/>
        <v>#N/A</v>
      </c>
      <c r="AS104" s="746"/>
      <c r="AT104" s="746"/>
      <c r="AU104" s="746"/>
      <c r="AV104" s="746"/>
      <c r="AW104" s="746"/>
      <c r="AX104" s="746"/>
      <c r="AY104" s="746"/>
      <c r="AZ104" s="746"/>
      <c r="BA104" s="746"/>
      <c r="BB104" s="746"/>
      <c r="BC104" s="746"/>
      <c r="BD104" s="746"/>
      <c r="BE104" s="746"/>
      <c r="BF104" s="746"/>
      <c r="BG104" s="746"/>
      <c r="BH104" s="746"/>
      <c r="BI104" s="746"/>
    </row>
    <row r="105" spans="1:61">
      <c r="A105" s="750"/>
      <c r="B105" s="737"/>
      <c r="C105" s="738"/>
      <c r="D105" s="738"/>
      <c r="E105" s="739">
        <f t="shared" si="18"/>
        <v>0</v>
      </c>
      <c r="F105" s="764"/>
      <c r="G105" s="752"/>
      <c r="H105" s="753"/>
      <c r="I105" s="752"/>
      <c r="J105" s="743"/>
      <c r="K105" s="754"/>
      <c r="L105" s="755">
        <f t="shared" si="16"/>
        <v>0</v>
      </c>
      <c r="M105" s="746"/>
      <c r="N105" s="747" t="e">
        <f t="shared" si="19"/>
        <v>#N/A</v>
      </c>
      <c r="O105" s="746"/>
      <c r="P105" s="616"/>
      <c r="Q105" s="616"/>
      <c r="R105" s="616"/>
      <c r="S105" s="616"/>
      <c r="T105" s="616"/>
      <c r="U105" s="616"/>
      <c r="V105" s="616"/>
      <c r="W105" s="616"/>
      <c r="X105" s="616"/>
      <c r="Y105" s="616"/>
      <c r="Z105" s="616"/>
      <c r="AA105" s="616"/>
      <c r="AB105" s="616"/>
      <c r="AC105" s="616"/>
      <c r="AD105" s="746"/>
      <c r="AE105" s="746"/>
      <c r="AF105" s="746"/>
      <c r="AG105" s="317"/>
      <c r="AH105" s="917" t="s">
        <v>895</v>
      </c>
      <c r="AI105" s="854"/>
      <c r="AJ105" s="854"/>
      <c r="AK105" s="918"/>
      <c r="AL105" s="900"/>
      <c r="AM105" s="901"/>
      <c r="AN105" s="733">
        <f t="shared" si="20"/>
        <v>0.6</v>
      </c>
      <c r="AO105" s="919"/>
      <c r="AP105" s="920"/>
      <c r="AQ105" s="573"/>
      <c r="AR105" s="716" t="e">
        <f t="shared" si="17"/>
        <v>#N/A</v>
      </c>
      <c r="AS105" s="746"/>
      <c r="AT105" s="746"/>
      <c r="AU105" s="746"/>
      <c r="AV105" s="746"/>
      <c r="AW105" s="746"/>
      <c r="AX105" s="746"/>
      <c r="AY105" s="746"/>
      <c r="AZ105" s="746"/>
      <c r="BA105" s="746"/>
      <c r="BB105" s="746"/>
      <c r="BC105" s="746"/>
      <c r="BD105" s="746"/>
      <c r="BE105" s="746"/>
      <c r="BF105" s="746"/>
      <c r="BG105" s="746"/>
      <c r="BH105" s="746"/>
      <c r="BI105" s="746"/>
    </row>
    <row r="106" spans="1:61">
      <c r="A106" s="750"/>
      <c r="B106" s="737"/>
      <c r="C106" s="738"/>
      <c r="D106" s="738"/>
      <c r="E106" s="739">
        <f t="shared" si="18"/>
        <v>0</v>
      </c>
      <c r="F106" s="764"/>
      <c r="G106" s="752"/>
      <c r="H106" s="753"/>
      <c r="I106" s="752"/>
      <c r="J106" s="743"/>
      <c r="K106" s="754"/>
      <c r="L106" s="755">
        <f t="shared" si="16"/>
        <v>0</v>
      </c>
      <c r="M106" s="746"/>
      <c r="N106" s="747" t="e">
        <f t="shared" si="19"/>
        <v>#N/A</v>
      </c>
      <c r="O106" s="746"/>
      <c r="P106" s="616"/>
      <c r="Q106" s="616"/>
      <c r="R106" s="616"/>
      <c r="S106" s="616"/>
      <c r="T106" s="616"/>
      <c r="U106" s="616"/>
      <c r="V106" s="616"/>
      <c r="W106" s="616"/>
      <c r="X106" s="616"/>
      <c r="Y106" s="616"/>
      <c r="Z106" s="616"/>
      <c r="AA106" s="616"/>
      <c r="AB106" s="616"/>
      <c r="AC106" s="616"/>
      <c r="AD106" s="746"/>
      <c r="AE106" s="746"/>
      <c r="AF106" s="746"/>
      <c r="AG106" s="317"/>
      <c r="AH106" s="917" t="s">
        <v>896</v>
      </c>
      <c r="AI106" s="854"/>
      <c r="AJ106" s="854"/>
      <c r="AK106" s="918"/>
      <c r="AL106" s="900"/>
      <c r="AM106" s="901"/>
      <c r="AN106" s="733">
        <f t="shared" si="20"/>
        <v>0.6</v>
      </c>
      <c r="AO106" s="919"/>
      <c r="AP106" s="920"/>
      <c r="AQ106" s="573"/>
      <c r="AR106" s="716" t="e">
        <f t="shared" si="17"/>
        <v>#N/A</v>
      </c>
      <c r="AS106" s="746"/>
      <c r="AT106" s="746"/>
      <c r="AU106" s="746"/>
      <c r="AV106" s="746"/>
      <c r="AW106" s="746"/>
      <c r="AX106" s="746"/>
      <c r="AY106" s="746"/>
      <c r="AZ106" s="746"/>
      <c r="BA106" s="746"/>
      <c r="BB106" s="746"/>
      <c r="BC106" s="746"/>
      <c r="BD106" s="746"/>
      <c r="BE106" s="746"/>
      <c r="BF106" s="746"/>
      <c r="BG106" s="746"/>
      <c r="BH106" s="746"/>
      <c r="BI106" s="746"/>
    </row>
    <row r="107" spans="1:61">
      <c r="A107" s="750"/>
      <c r="B107" s="737"/>
      <c r="C107" s="738"/>
      <c r="D107" s="738"/>
      <c r="E107" s="739">
        <f t="shared" si="18"/>
        <v>0</v>
      </c>
      <c r="F107" s="764"/>
      <c r="G107" s="752"/>
      <c r="H107" s="753"/>
      <c r="I107" s="752"/>
      <c r="J107" s="743"/>
      <c r="K107" s="754"/>
      <c r="L107" s="755">
        <f t="shared" si="16"/>
        <v>0</v>
      </c>
      <c r="M107" s="746"/>
      <c r="N107" s="747" t="e">
        <f t="shared" si="19"/>
        <v>#N/A</v>
      </c>
      <c r="O107" s="746"/>
      <c r="P107" s="616"/>
      <c r="Q107" s="616"/>
      <c r="R107" s="616"/>
      <c r="S107" s="616"/>
      <c r="T107" s="616"/>
      <c r="U107" s="616"/>
      <c r="V107" s="616"/>
      <c r="W107" s="616"/>
      <c r="X107" s="616"/>
      <c r="Y107" s="616"/>
      <c r="Z107" s="616"/>
      <c r="AA107" s="616"/>
      <c r="AB107" s="616"/>
      <c r="AC107" s="616"/>
      <c r="AD107" s="746"/>
      <c r="AE107" s="746"/>
      <c r="AF107" s="746"/>
      <c r="AG107" s="317"/>
      <c r="AH107" s="917" t="s">
        <v>897</v>
      </c>
      <c r="AI107" s="854">
        <f>SUM(AI103:AI106)</f>
        <v>0</v>
      </c>
      <c r="AJ107" s="854"/>
      <c r="AK107" s="918">
        <f>SUM(AK103:AK105)</f>
        <v>0</v>
      </c>
      <c r="AL107" s="900"/>
      <c r="AM107" s="901"/>
      <c r="AN107" s="733">
        <f t="shared" si="20"/>
        <v>0.6</v>
      </c>
      <c r="AO107" s="919"/>
      <c r="AP107" s="920"/>
      <c r="AQ107" s="573"/>
      <c r="AR107" s="716" t="e">
        <f t="shared" si="17"/>
        <v>#N/A</v>
      </c>
      <c r="AS107" s="746"/>
      <c r="AT107" s="746"/>
      <c r="AU107" s="746"/>
      <c r="AV107" s="746"/>
      <c r="AW107" s="746"/>
      <c r="AX107" s="746"/>
      <c r="AY107" s="746"/>
      <c r="AZ107" s="746"/>
      <c r="BA107" s="746"/>
      <c r="BB107" s="746"/>
      <c r="BC107" s="746"/>
      <c r="BD107" s="746"/>
      <c r="BE107" s="746"/>
      <c r="BF107" s="746"/>
      <c r="BG107" s="746"/>
      <c r="BH107" s="746"/>
      <c r="BI107" s="746"/>
    </row>
    <row r="108" spans="1:61">
      <c r="A108" s="750"/>
      <c r="B108" s="737"/>
      <c r="C108" s="738"/>
      <c r="D108" s="738"/>
      <c r="E108" s="739">
        <f t="shared" si="18"/>
        <v>0</v>
      </c>
      <c r="F108" s="764"/>
      <c r="G108" s="752"/>
      <c r="H108" s="753"/>
      <c r="I108" s="752"/>
      <c r="J108" s="743"/>
      <c r="K108" s="754"/>
      <c r="L108" s="755">
        <f t="shared" si="16"/>
        <v>0</v>
      </c>
      <c r="M108" s="746"/>
      <c r="N108" s="747" t="e">
        <f t="shared" si="19"/>
        <v>#N/A</v>
      </c>
      <c r="O108" s="746"/>
      <c r="P108" s="616"/>
      <c r="Q108" s="616"/>
      <c r="R108" s="616"/>
      <c r="S108" s="616"/>
      <c r="T108" s="616"/>
      <c r="U108" s="616"/>
      <c r="V108" s="616"/>
      <c r="W108" s="616"/>
      <c r="X108" s="616"/>
      <c r="Y108" s="616"/>
      <c r="Z108" s="616"/>
      <c r="AA108" s="616"/>
      <c r="AB108" s="616"/>
      <c r="AC108" s="616"/>
      <c r="AD108" s="746"/>
      <c r="AE108" s="746"/>
      <c r="AF108" s="746"/>
      <c r="AG108" s="317"/>
      <c r="AH108" s="917" t="s">
        <v>898</v>
      </c>
      <c r="AI108" s="854">
        <f>SUM(AI104:AI107)</f>
        <v>0</v>
      </c>
      <c r="AJ108" s="854"/>
      <c r="AK108" s="918">
        <f>SUM(AK104:AK106)</f>
        <v>0</v>
      </c>
      <c r="AL108" s="900"/>
      <c r="AM108" s="901"/>
      <c r="AN108" s="733">
        <f t="shared" si="20"/>
        <v>0.6</v>
      </c>
      <c r="AO108" s="858"/>
      <c r="AP108" s="921"/>
      <c r="AQ108" s="573"/>
      <c r="AR108" s="716" t="e">
        <f t="shared" si="17"/>
        <v>#N/A</v>
      </c>
      <c r="AS108" s="746"/>
      <c r="AT108" s="746"/>
      <c r="AU108" s="746"/>
      <c r="AV108" s="746"/>
      <c r="AW108" s="746"/>
      <c r="AX108" s="746"/>
      <c r="AY108" s="746"/>
      <c r="AZ108" s="746"/>
      <c r="BA108" s="746"/>
      <c r="BB108" s="746"/>
      <c r="BC108" s="746"/>
      <c r="BD108" s="746"/>
      <c r="BE108" s="746"/>
      <c r="BF108" s="746"/>
      <c r="BG108" s="746"/>
      <c r="BH108" s="746"/>
      <c r="BI108" s="746"/>
    </row>
    <row r="109" spans="1:61">
      <c r="A109" s="750"/>
      <c r="B109" s="737"/>
      <c r="C109" s="738"/>
      <c r="D109" s="738"/>
      <c r="E109" s="739">
        <f t="shared" si="18"/>
        <v>0</v>
      </c>
      <c r="F109" s="764"/>
      <c r="G109" s="752"/>
      <c r="H109" s="753"/>
      <c r="I109" s="752"/>
      <c r="J109" s="743"/>
      <c r="K109" s="754"/>
      <c r="L109" s="755">
        <f t="shared" si="16"/>
        <v>0</v>
      </c>
      <c r="M109" s="746"/>
      <c r="N109" s="747" t="e">
        <f t="shared" si="19"/>
        <v>#N/A</v>
      </c>
      <c r="O109" s="746"/>
      <c r="P109" s="616"/>
      <c r="Q109" s="616"/>
      <c r="R109" s="616"/>
      <c r="S109" s="616"/>
      <c r="T109" s="616"/>
      <c r="U109" s="616"/>
      <c r="V109" s="616"/>
      <c r="W109" s="616"/>
      <c r="X109" s="616"/>
      <c r="Y109" s="616"/>
      <c r="Z109" s="616"/>
      <c r="AA109" s="616"/>
      <c r="AB109" s="616"/>
      <c r="AC109" s="616"/>
      <c r="AD109" s="746"/>
      <c r="AE109" s="746"/>
      <c r="AF109" s="746"/>
      <c r="AG109" s="317"/>
      <c r="AH109" s="917" t="s">
        <v>899</v>
      </c>
      <c r="AI109" s="854">
        <f>SUM(AI105:AI108)</f>
        <v>0</v>
      </c>
      <c r="AJ109" s="854"/>
      <c r="AK109" s="918">
        <f>SUM(AK105:AK107)</f>
        <v>0</v>
      </c>
      <c r="AL109" s="900"/>
      <c r="AM109" s="901"/>
      <c r="AN109" s="733">
        <f t="shared" si="20"/>
        <v>0.6</v>
      </c>
      <c r="AO109" s="858"/>
      <c r="AP109" s="921"/>
      <c r="AQ109" s="573"/>
      <c r="AR109" s="716" t="e">
        <f t="shared" si="17"/>
        <v>#N/A</v>
      </c>
      <c r="AS109" s="746"/>
      <c r="AT109" s="746"/>
      <c r="AU109" s="746"/>
      <c r="AV109" s="746"/>
      <c r="AW109" s="746"/>
      <c r="AX109" s="746"/>
      <c r="AY109" s="746"/>
      <c r="AZ109" s="746"/>
      <c r="BA109" s="746"/>
      <c r="BB109" s="746"/>
      <c r="BC109" s="746"/>
      <c r="BD109" s="746"/>
      <c r="BE109" s="746"/>
      <c r="BF109" s="746"/>
      <c r="BG109" s="746"/>
      <c r="BH109" s="746"/>
      <c r="BI109" s="746"/>
    </row>
    <row r="110" spans="1:61">
      <c r="A110" s="750"/>
      <c r="B110" s="737"/>
      <c r="C110" s="738"/>
      <c r="D110" s="738"/>
      <c r="E110" s="739">
        <f t="shared" si="18"/>
        <v>0</v>
      </c>
      <c r="F110" s="764"/>
      <c r="G110" s="752"/>
      <c r="H110" s="753"/>
      <c r="I110" s="752"/>
      <c r="J110" s="743"/>
      <c r="K110" s="754"/>
      <c r="L110" s="755">
        <f t="shared" si="16"/>
        <v>0</v>
      </c>
      <c r="M110" s="746"/>
      <c r="N110" s="747" t="e">
        <f t="shared" si="19"/>
        <v>#N/A</v>
      </c>
      <c r="O110" s="746"/>
      <c r="P110" s="616"/>
      <c r="Q110" s="616"/>
      <c r="R110" s="616"/>
      <c r="S110" s="616"/>
      <c r="T110" s="616"/>
      <c r="U110" s="616"/>
      <c r="V110" s="616"/>
      <c r="W110" s="616"/>
      <c r="X110" s="616"/>
      <c r="Y110" s="616"/>
      <c r="Z110" s="616"/>
      <c r="AA110" s="616"/>
      <c r="AB110" s="616"/>
      <c r="AC110" s="616"/>
      <c r="AD110" s="746"/>
      <c r="AE110" s="746"/>
      <c r="AF110" s="746"/>
      <c r="AG110" s="317"/>
      <c r="AH110" s="917" t="s">
        <v>900</v>
      </c>
      <c r="AI110" s="904"/>
      <c r="AJ110" s="904"/>
      <c r="AK110" s="922"/>
      <c r="AL110" s="902"/>
      <c r="AM110" s="903"/>
      <c r="AN110" s="733">
        <f t="shared" si="20"/>
        <v>0.6</v>
      </c>
      <c r="AO110" s="858"/>
      <c r="AP110" s="921"/>
      <c r="AQ110" s="573"/>
      <c r="AR110" s="716" t="e">
        <f t="shared" si="17"/>
        <v>#N/A</v>
      </c>
      <c r="AS110" s="746"/>
      <c r="AT110" s="746"/>
      <c r="AU110" s="746"/>
      <c r="AV110" s="746"/>
      <c r="AW110" s="746"/>
      <c r="AX110" s="746"/>
      <c r="AY110" s="746"/>
      <c r="AZ110" s="746"/>
      <c r="BA110" s="746"/>
      <c r="BB110" s="746"/>
      <c r="BC110" s="746"/>
      <c r="BD110" s="746"/>
      <c r="BE110" s="746"/>
      <c r="BF110" s="746"/>
      <c r="BG110" s="746"/>
      <c r="BH110" s="746"/>
      <c r="BI110" s="746"/>
    </row>
    <row r="111" spans="1:61">
      <c r="A111" s="750"/>
      <c r="B111" s="737"/>
      <c r="C111" s="738"/>
      <c r="D111" s="738"/>
      <c r="E111" s="739">
        <f t="shared" si="18"/>
        <v>0</v>
      </c>
      <c r="F111" s="764"/>
      <c r="G111" s="752"/>
      <c r="H111" s="753"/>
      <c r="I111" s="752"/>
      <c r="J111" s="743"/>
      <c r="K111" s="754"/>
      <c r="L111" s="755">
        <f t="shared" si="16"/>
        <v>0</v>
      </c>
      <c r="M111" s="746"/>
      <c r="N111" s="747" t="e">
        <f t="shared" si="19"/>
        <v>#N/A</v>
      </c>
      <c r="O111" s="746"/>
      <c r="P111" s="616"/>
      <c r="Q111" s="616"/>
      <c r="R111" s="616"/>
      <c r="S111" s="616"/>
      <c r="T111" s="616"/>
      <c r="U111" s="616"/>
      <c r="V111" s="616"/>
      <c r="W111" s="616"/>
      <c r="X111" s="616"/>
      <c r="Y111" s="616"/>
      <c r="Z111" s="616"/>
      <c r="AA111" s="616"/>
      <c r="AB111" s="616"/>
      <c r="AC111" s="616"/>
      <c r="AD111" s="746"/>
      <c r="AE111" s="746"/>
      <c r="AF111" s="746"/>
      <c r="AG111" s="317"/>
      <c r="AH111" s="917" t="s">
        <v>901</v>
      </c>
      <c r="AI111" s="904"/>
      <c r="AJ111" s="904"/>
      <c r="AK111" s="922"/>
      <c r="AL111" s="902"/>
      <c r="AM111" s="903"/>
      <c r="AN111" s="733">
        <f t="shared" si="20"/>
        <v>0.6</v>
      </c>
      <c r="AO111" s="858"/>
      <c r="AP111" s="921"/>
      <c r="AQ111" s="573"/>
      <c r="AR111" s="716" t="e">
        <f t="shared" si="17"/>
        <v>#N/A</v>
      </c>
      <c r="AS111" s="746"/>
      <c r="AT111" s="746"/>
      <c r="AU111" s="746"/>
      <c r="AV111" s="746"/>
      <c r="AW111" s="746"/>
      <c r="AX111" s="746"/>
      <c r="AY111" s="746"/>
      <c r="AZ111" s="746"/>
      <c r="BA111" s="746"/>
      <c r="BB111" s="746"/>
      <c r="BC111" s="746"/>
      <c r="BD111" s="746"/>
      <c r="BE111" s="746"/>
      <c r="BF111" s="746"/>
      <c r="BG111" s="746"/>
      <c r="BH111" s="746"/>
      <c r="BI111" s="746"/>
    </row>
    <row r="112" spans="1:61">
      <c r="A112" s="750"/>
      <c r="B112" s="737"/>
      <c r="C112" s="738"/>
      <c r="D112" s="738"/>
      <c r="E112" s="739">
        <f t="shared" si="18"/>
        <v>0</v>
      </c>
      <c r="F112" s="764"/>
      <c r="G112" s="752"/>
      <c r="H112" s="753"/>
      <c r="I112" s="752"/>
      <c r="J112" s="743"/>
      <c r="K112" s="754"/>
      <c r="L112" s="755">
        <f t="shared" si="16"/>
        <v>0</v>
      </c>
      <c r="M112" s="746"/>
      <c r="N112" s="747" t="e">
        <f t="shared" si="19"/>
        <v>#N/A</v>
      </c>
      <c r="O112" s="746"/>
      <c r="P112" s="616"/>
      <c r="Q112" s="616"/>
      <c r="R112" s="616"/>
      <c r="S112" s="616"/>
      <c r="T112" s="616"/>
      <c r="U112" s="616"/>
      <c r="V112" s="616"/>
      <c r="W112" s="616"/>
      <c r="X112" s="616"/>
      <c r="Y112" s="616"/>
      <c r="Z112" s="616"/>
      <c r="AA112" s="616"/>
      <c r="AB112" s="616"/>
      <c r="AC112" s="616"/>
      <c r="AD112" s="746"/>
      <c r="AE112" s="746"/>
      <c r="AF112" s="746"/>
      <c r="AG112" s="317"/>
      <c r="AH112" s="917" t="s">
        <v>902</v>
      </c>
      <c r="AI112" s="904"/>
      <c r="AJ112" s="904"/>
      <c r="AK112" s="922"/>
      <c r="AL112" s="902"/>
      <c r="AM112" s="903"/>
      <c r="AN112" s="733">
        <f t="shared" si="20"/>
        <v>0.6</v>
      </c>
      <c r="AO112" s="858"/>
      <c r="AP112" s="921"/>
      <c r="AQ112" s="573"/>
      <c r="AR112" s="716" t="e">
        <f t="shared" si="17"/>
        <v>#N/A</v>
      </c>
      <c r="AS112" s="746"/>
      <c r="AT112" s="746"/>
      <c r="AU112" s="746"/>
      <c r="AV112" s="746"/>
      <c r="AW112" s="746"/>
      <c r="AX112" s="746"/>
      <c r="AY112" s="746"/>
      <c r="AZ112" s="746"/>
      <c r="BA112" s="746"/>
      <c r="BB112" s="746"/>
      <c r="BC112" s="746"/>
      <c r="BD112" s="746"/>
      <c r="BE112" s="746"/>
      <c r="BF112" s="746"/>
      <c r="BG112" s="746"/>
      <c r="BH112" s="746"/>
      <c r="BI112" s="746"/>
    </row>
    <row r="113" spans="1:61">
      <c r="A113" s="750"/>
      <c r="B113" s="737"/>
      <c r="C113" s="738"/>
      <c r="D113" s="738"/>
      <c r="E113" s="739">
        <f t="shared" si="18"/>
        <v>0</v>
      </c>
      <c r="F113" s="764"/>
      <c r="G113" s="752"/>
      <c r="H113" s="753"/>
      <c r="I113" s="752"/>
      <c r="J113" s="743"/>
      <c r="K113" s="754"/>
      <c r="L113" s="755">
        <f t="shared" si="16"/>
        <v>0</v>
      </c>
      <c r="M113" s="746"/>
      <c r="N113" s="747" t="e">
        <f t="shared" si="19"/>
        <v>#N/A</v>
      </c>
      <c r="O113" s="746"/>
      <c r="P113" s="616"/>
      <c r="Q113" s="616"/>
      <c r="R113" s="616"/>
      <c r="S113" s="616"/>
      <c r="T113" s="616"/>
      <c r="U113" s="616"/>
      <c r="V113" s="616"/>
      <c r="W113" s="616"/>
      <c r="X113" s="616"/>
      <c r="Y113" s="616"/>
      <c r="Z113" s="616"/>
      <c r="AA113" s="616"/>
      <c r="AB113" s="616"/>
      <c r="AC113" s="616"/>
      <c r="AD113" s="746"/>
      <c r="AE113" s="746"/>
      <c r="AF113" s="746"/>
      <c r="AG113" s="317"/>
      <c r="AH113" s="917"/>
      <c r="AI113" s="904"/>
      <c r="AJ113" s="904"/>
      <c r="AK113" s="922"/>
      <c r="AL113" s="902"/>
      <c r="AM113" s="903"/>
      <c r="AN113" s="733"/>
      <c r="AO113" s="858"/>
      <c r="AP113" s="921"/>
      <c r="AQ113" s="573"/>
      <c r="AR113" s="716" t="e">
        <f t="shared" si="17"/>
        <v>#N/A</v>
      </c>
      <c r="AS113" s="746"/>
      <c r="AT113" s="746"/>
      <c r="AU113" s="746"/>
      <c r="AV113" s="746"/>
      <c r="AW113" s="746"/>
      <c r="AX113" s="746"/>
      <c r="AY113" s="746"/>
      <c r="AZ113" s="746"/>
      <c r="BA113" s="746"/>
      <c r="BB113" s="746"/>
      <c r="BC113" s="746"/>
      <c r="BD113" s="746"/>
      <c r="BE113" s="746"/>
      <c r="BF113" s="746"/>
      <c r="BG113" s="746"/>
      <c r="BH113" s="746"/>
      <c r="BI113" s="746"/>
    </row>
    <row r="114" spans="1:61">
      <c r="A114" s="750"/>
      <c r="B114" s="737"/>
      <c r="C114" s="738"/>
      <c r="D114" s="738"/>
      <c r="E114" s="739">
        <f t="shared" si="18"/>
        <v>0</v>
      </c>
      <c r="F114" s="764"/>
      <c r="G114" s="752"/>
      <c r="H114" s="753"/>
      <c r="I114" s="752"/>
      <c r="J114" s="743"/>
      <c r="K114" s="754"/>
      <c r="L114" s="755">
        <f t="shared" si="16"/>
        <v>0</v>
      </c>
      <c r="M114" s="746"/>
      <c r="N114" s="747" t="e">
        <f t="shared" si="19"/>
        <v>#N/A</v>
      </c>
      <c r="O114" s="746"/>
      <c r="P114" s="616"/>
      <c r="Q114" s="616"/>
      <c r="R114" s="616"/>
      <c r="S114" s="616"/>
      <c r="T114" s="616"/>
      <c r="U114" s="616"/>
      <c r="V114" s="616"/>
      <c r="W114" s="616"/>
      <c r="X114" s="616"/>
      <c r="Y114" s="616"/>
      <c r="Z114" s="616"/>
      <c r="AA114" s="616"/>
      <c r="AB114" s="616"/>
      <c r="AC114" s="616"/>
      <c r="AD114" s="746"/>
      <c r="AE114" s="746"/>
      <c r="AF114" s="746"/>
      <c r="AG114" s="195"/>
      <c r="AH114" s="923" t="s">
        <v>162</v>
      </c>
      <c r="AI114" s="862">
        <f>SUM(AI103:AI110)</f>
        <v>0</v>
      </c>
      <c r="AJ114" s="862">
        <f>SUM(AJ103:AJ110)</f>
        <v>0</v>
      </c>
      <c r="AK114" s="924">
        <f>SUM(AK103:AK107)</f>
        <v>0</v>
      </c>
      <c r="AL114" s="863" t="s">
        <v>618</v>
      </c>
      <c r="AM114" s="864"/>
      <c r="AN114" s="865" t="s">
        <v>618</v>
      </c>
      <c r="AO114" s="862">
        <f>SUM(AO104:AO107)</f>
        <v>0</v>
      </c>
      <c r="AP114" s="925">
        <f>SUM(AP104:AP107)</f>
        <v>0</v>
      </c>
      <c r="AQ114" s="573"/>
      <c r="AR114" s="716" t="e">
        <f t="shared" si="17"/>
        <v>#N/A</v>
      </c>
      <c r="AS114" s="746"/>
      <c r="AT114" s="746"/>
      <c r="AU114" s="746"/>
      <c r="AV114" s="746"/>
      <c r="AW114" s="746"/>
      <c r="AX114" s="746"/>
      <c r="AY114" s="746"/>
      <c r="AZ114" s="746"/>
      <c r="BA114" s="746"/>
      <c r="BB114" s="746"/>
      <c r="BC114" s="746"/>
      <c r="BD114" s="746"/>
      <c r="BE114" s="746"/>
      <c r="BF114" s="746"/>
      <c r="BG114" s="746"/>
      <c r="BH114" s="746"/>
      <c r="BI114" s="746"/>
    </row>
    <row r="115" spans="1:61">
      <c r="A115" s="750"/>
      <c r="B115" s="737"/>
      <c r="C115" s="738"/>
      <c r="D115" s="738"/>
      <c r="E115" s="739">
        <f t="shared" si="18"/>
        <v>0</v>
      </c>
      <c r="F115" s="764"/>
      <c r="G115" s="752"/>
      <c r="H115" s="753"/>
      <c r="I115" s="752"/>
      <c r="J115" s="743"/>
      <c r="K115" s="754"/>
      <c r="L115" s="755">
        <f t="shared" ref="L115:L178" si="21">SUM(C115:K115)-SUM(J115:K115)</f>
        <v>0</v>
      </c>
      <c r="M115" s="746"/>
      <c r="N115" s="747" t="e">
        <f t="shared" si="19"/>
        <v>#N/A</v>
      </c>
      <c r="O115" s="746"/>
      <c r="P115" s="616"/>
      <c r="Q115" s="616"/>
      <c r="R115" s="616"/>
      <c r="S115" s="616"/>
      <c r="T115" s="616"/>
      <c r="U115" s="616"/>
      <c r="V115" s="616"/>
      <c r="W115" s="616"/>
      <c r="X115" s="616"/>
      <c r="Y115" s="616"/>
      <c r="Z115" s="616"/>
      <c r="AA115" s="616"/>
      <c r="AB115" s="616"/>
      <c r="AC115" s="616"/>
      <c r="AD115" s="746"/>
      <c r="AE115" s="746"/>
      <c r="AF115" s="746"/>
      <c r="AG115" s="926"/>
      <c r="AH115" s="927"/>
      <c r="AI115" s="927"/>
      <c r="AJ115" s="927"/>
      <c r="AK115" s="927"/>
      <c r="AL115" s="927"/>
      <c r="AM115" s="927"/>
      <c r="AN115" s="927"/>
      <c r="AO115" s="927"/>
      <c r="AP115" s="927"/>
      <c r="AQ115" s="573"/>
      <c r="AR115" s="716" t="e">
        <f t="shared" si="17"/>
        <v>#N/A</v>
      </c>
      <c r="AS115" s="746"/>
      <c r="AT115" s="746"/>
      <c r="AU115" s="746"/>
      <c r="AV115" s="746"/>
      <c r="AW115" s="746"/>
      <c r="AX115" s="746"/>
      <c r="AY115" s="746"/>
      <c r="AZ115" s="746"/>
      <c r="BA115" s="746"/>
      <c r="BB115" s="746"/>
      <c r="BC115" s="746"/>
      <c r="BD115" s="746"/>
      <c r="BE115" s="746"/>
      <c r="BF115" s="746"/>
      <c r="BG115" s="746"/>
      <c r="BH115" s="746"/>
      <c r="BI115" s="746"/>
    </row>
    <row r="116" spans="1:61">
      <c r="A116" s="750"/>
      <c r="B116" s="737"/>
      <c r="C116" s="738"/>
      <c r="D116" s="738"/>
      <c r="E116" s="739">
        <f t="shared" si="18"/>
        <v>0</v>
      </c>
      <c r="F116" s="764"/>
      <c r="G116" s="752"/>
      <c r="H116" s="753"/>
      <c r="I116" s="752"/>
      <c r="J116" s="743"/>
      <c r="K116" s="754"/>
      <c r="L116" s="755">
        <f t="shared" si="21"/>
        <v>0</v>
      </c>
      <c r="M116" s="746"/>
      <c r="N116" s="747" t="e">
        <f t="shared" si="19"/>
        <v>#N/A</v>
      </c>
      <c r="O116" s="746"/>
      <c r="P116" s="616"/>
      <c r="Q116" s="616"/>
      <c r="R116" s="616"/>
      <c r="S116" s="616"/>
      <c r="T116" s="616"/>
      <c r="U116" s="616"/>
      <c r="V116" s="616"/>
      <c r="W116" s="616"/>
      <c r="X116" s="616"/>
      <c r="Y116" s="616"/>
      <c r="Z116" s="616"/>
      <c r="AA116" s="616"/>
      <c r="AB116" s="616"/>
      <c r="AC116" s="616"/>
      <c r="AD116" s="746"/>
      <c r="AE116" s="746"/>
      <c r="AF116" s="746"/>
      <c r="AG116" s="910" t="s">
        <v>903</v>
      </c>
      <c r="AH116" s="911" t="s">
        <v>11</v>
      </c>
      <c r="AI116" s="694" t="s">
        <v>799</v>
      </c>
      <c r="AJ116" s="695"/>
      <c r="AK116" s="696"/>
      <c r="AL116" s="697" t="s">
        <v>800</v>
      </c>
      <c r="AM116" s="695"/>
      <c r="AN116" s="696"/>
      <c r="AO116" s="694" t="s">
        <v>801</v>
      </c>
      <c r="AP116" s="696"/>
      <c r="AQ116" s="573"/>
      <c r="AR116" s="716" t="e">
        <f t="shared" si="17"/>
        <v>#N/A</v>
      </c>
      <c r="AS116" s="746"/>
      <c r="AT116" s="746"/>
      <c r="AU116" s="746"/>
      <c r="AV116" s="746"/>
      <c r="AW116" s="746"/>
      <c r="AX116" s="746"/>
      <c r="AY116" s="746"/>
      <c r="AZ116" s="746"/>
      <c r="BA116" s="746"/>
      <c r="BB116" s="746"/>
      <c r="BC116" s="746"/>
      <c r="BD116" s="746"/>
      <c r="BE116" s="746"/>
      <c r="BF116" s="746"/>
      <c r="BG116" s="746"/>
      <c r="BH116" s="746"/>
      <c r="BI116" s="746"/>
    </row>
    <row r="117" spans="1:61">
      <c r="A117" s="750"/>
      <c r="B117" s="737"/>
      <c r="C117" s="738"/>
      <c r="D117" s="738"/>
      <c r="E117" s="739">
        <f t="shared" si="18"/>
        <v>0</v>
      </c>
      <c r="F117" s="764"/>
      <c r="G117" s="752"/>
      <c r="H117" s="753"/>
      <c r="I117" s="752"/>
      <c r="J117" s="743"/>
      <c r="K117" s="754"/>
      <c r="L117" s="755">
        <f t="shared" si="21"/>
        <v>0</v>
      </c>
      <c r="M117" s="746"/>
      <c r="N117" s="747" t="e">
        <f t="shared" si="19"/>
        <v>#N/A</v>
      </c>
      <c r="O117" s="746"/>
      <c r="P117" s="616"/>
      <c r="Q117" s="616"/>
      <c r="R117" s="616"/>
      <c r="S117" s="616"/>
      <c r="T117" s="616"/>
      <c r="U117" s="616"/>
      <c r="V117" s="616"/>
      <c r="W117" s="616"/>
      <c r="X117" s="616"/>
      <c r="Y117" s="616"/>
      <c r="Z117" s="616"/>
      <c r="AA117" s="616"/>
      <c r="AB117" s="616"/>
      <c r="AC117" s="616"/>
      <c r="AD117" s="746"/>
      <c r="AE117" s="746"/>
      <c r="AF117" s="746"/>
      <c r="AG117" s="317"/>
      <c r="AH117" s="912"/>
      <c r="AI117" s="840" t="s">
        <v>802</v>
      </c>
      <c r="AJ117" s="840" t="s">
        <v>803</v>
      </c>
      <c r="AK117" s="841" t="s">
        <v>155</v>
      </c>
      <c r="AL117" s="842" t="s">
        <v>804</v>
      </c>
      <c r="AM117" s="843" t="s">
        <v>805</v>
      </c>
      <c r="AN117" s="705" t="s">
        <v>806</v>
      </c>
      <c r="AO117" s="840" t="s">
        <v>807</v>
      </c>
      <c r="AP117" s="844" t="s">
        <v>808</v>
      </c>
      <c r="AQ117" s="573"/>
      <c r="AR117" s="716" t="e">
        <f t="shared" si="17"/>
        <v>#N/A</v>
      </c>
      <c r="AS117" s="746"/>
      <c r="AT117" s="746"/>
      <c r="AU117" s="746"/>
      <c r="AV117" s="746"/>
      <c r="AW117" s="746"/>
      <c r="AX117" s="746"/>
      <c r="AY117" s="746"/>
      <c r="AZ117" s="746"/>
      <c r="BA117" s="746"/>
      <c r="BB117" s="746"/>
      <c r="BC117" s="746"/>
      <c r="BD117" s="746"/>
      <c r="BE117" s="746"/>
      <c r="BF117" s="746"/>
      <c r="BG117" s="746"/>
      <c r="BH117" s="746"/>
      <c r="BI117" s="746"/>
    </row>
    <row r="118" spans="1:61">
      <c r="A118" s="750"/>
      <c r="B118" s="737"/>
      <c r="C118" s="738"/>
      <c r="D118" s="738"/>
      <c r="E118" s="739">
        <f t="shared" si="18"/>
        <v>0</v>
      </c>
      <c r="F118" s="764"/>
      <c r="G118" s="752"/>
      <c r="H118" s="753"/>
      <c r="I118" s="752"/>
      <c r="J118" s="743"/>
      <c r="K118" s="754"/>
      <c r="L118" s="755">
        <f t="shared" si="21"/>
        <v>0</v>
      </c>
      <c r="M118" s="746"/>
      <c r="N118" s="747" t="e">
        <f t="shared" si="19"/>
        <v>#N/A</v>
      </c>
      <c r="O118" s="746"/>
      <c r="P118" s="616"/>
      <c r="Q118" s="616"/>
      <c r="R118" s="616"/>
      <c r="S118" s="616"/>
      <c r="T118" s="616"/>
      <c r="U118" s="616"/>
      <c r="V118" s="616"/>
      <c r="W118" s="616"/>
      <c r="X118" s="616"/>
      <c r="Y118" s="616"/>
      <c r="Z118" s="616"/>
      <c r="AA118" s="616"/>
      <c r="AB118" s="616"/>
      <c r="AC118" s="616"/>
      <c r="AD118" s="746"/>
      <c r="AE118" s="746"/>
      <c r="AF118" s="746"/>
      <c r="AG118" s="317"/>
      <c r="AH118" s="928" t="s">
        <v>208</v>
      </c>
      <c r="AI118" s="914"/>
      <c r="AJ118" s="914"/>
      <c r="AK118" s="905">
        <f>IF((AJ118-AI118)&lt;0,-200,0)</f>
        <v>0</v>
      </c>
      <c r="AL118" s="929"/>
      <c r="AM118" s="930"/>
      <c r="AN118" s="931"/>
      <c r="AO118" s="914"/>
      <c r="AP118" s="916"/>
      <c r="AQ118" s="573"/>
      <c r="AR118" s="716" t="e">
        <f t="shared" si="17"/>
        <v>#N/A</v>
      </c>
      <c r="AS118" s="746"/>
      <c r="AT118" s="746"/>
      <c r="AU118" s="746"/>
      <c r="AV118" s="746"/>
      <c r="AW118" s="746"/>
      <c r="AX118" s="746"/>
      <c r="AY118" s="746"/>
      <c r="AZ118" s="746"/>
      <c r="BA118" s="746"/>
      <c r="BB118" s="746"/>
      <c r="BC118" s="746"/>
      <c r="BD118" s="746"/>
      <c r="BE118" s="746"/>
      <c r="BF118" s="746"/>
      <c r="BG118" s="746"/>
      <c r="BH118" s="746"/>
      <c r="BI118" s="746"/>
    </row>
    <row r="119" spans="1:61">
      <c r="A119" s="750"/>
      <c r="B119" s="737"/>
      <c r="C119" s="738"/>
      <c r="D119" s="738"/>
      <c r="E119" s="739">
        <f t="shared" si="18"/>
        <v>0</v>
      </c>
      <c r="F119" s="764"/>
      <c r="G119" s="752"/>
      <c r="H119" s="753"/>
      <c r="I119" s="752"/>
      <c r="J119" s="743"/>
      <c r="K119" s="754"/>
      <c r="L119" s="755">
        <f t="shared" si="21"/>
        <v>0</v>
      </c>
      <c r="M119" s="746"/>
      <c r="N119" s="747" t="e">
        <f t="shared" si="19"/>
        <v>#N/A</v>
      </c>
      <c r="O119" s="746"/>
      <c r="P119" s="616"/>
      <c r="Q119" s="616"/>
      <c r="R119" s="616"/>
      <c r="S119" s="616"/>
      <c r="T119" s="616"/>
      <c r="U119" s="616"/>
      <c r="V119" s="616"/>
      <c r="W119" s="616"/>
      <c r="X119" s="616"/>
      <c r="Y119" s="616"/>
      <c r="Z119" s="616"/>
      <c r="AA119" s="616"/>
      <c r="AB119" s="616"/>
      <c r="AC119" s="616"/>
      <c r="AD119" s="746"/>
      <c r="AE119" s="746"/>
      <c r="AF119" s="746"/>
      <c r="AG119" s="317"/>
      <c r="AH119" s="913" t="s">
        <v>904</v>
      </c>
      <c r="AI119" s="854"/>
      <c r="AJ119" s="854"/>
      <c r="AK119" s="879"/>
      <c r="AL119" s="900"/>
      <c r="AM119" s="901"/>
      <c r="AN119" s="932"/>
      <c r="AO119" s="854"/>
      <c r="AP119" s="855"/>
      <c r="AQ119" s="573"/>
      <c r="AR119" s="716" t="e">
        <f t="shared" si="17"/>
        <v>#N/A</v>
      </c>
      <c r="AS119" s="746"/>
      <c r="AT119" s="746"/>
      <c r="AU119" s="746"/>
      <c r="AV119" s="746"/>
      <c r="AW119" s="746"/>
      <c r="AX119" s="746"/>
      <c r="AY119" s="746"/>
      <c r="AZ119" s="746"/>
      <c r="BA119" s="746"/>
      <c r="BB119" s="746"/>
      <c r="BC119" s="746"/>
      <c r="BD119" s="746"/>
      <c r="BE119" s="746"/>
      <c r="BF119" s="746"/>
      <c r="BG119" s="746"/>
      <c r="BH119" s="746"/>
      <c r="BI119" s="746"/>
    </row>
    <row r="120" spans="1:61">
      <c r="A120" s="750"/>
      <c r="B120" s="737"/>
      <c r="C120" s="738"/>
      <c r="D120" s="738"/>
      <c r="E120" s="739">
        <f t="shared" si="18"/>
        <v>0</v>
      </c>
      <c r="F120" s="764"/>
      <c r="G120" s="752"/>
      <c r="H120" s="753"/>
      <c r="I120" s="752"/>
      <c r="J120" s="743"/>
      <c r="K120" s="754"/>
      <c r="L120" s="755">
        <f t="shared" si="21"/>
        <v>0</v>
      </c>
      <c r="M120" s="746"/>
      <c r="N120" s="747" t="e">
        <f t="shared" si="19"/>
        <v>#N/A</v>
      </c>
      <c r="O120" s="746"/>
      <c r="P120" s="616"/>
      <c r="Q120" s="616"/>
      <c r="R120" s="616"/>
      <c r="S120" s="616"/>
      <c r="T120" s="616"/>
      <c r="U120" s="616"/>
      <c r="V120" s="616"/>
      <c r="W120" s="616"/>
      <c r="X120" s="616"/>
      <c r="Y120" s="616"/>
      <c r="Z120" s="616"/>
      <c r="AA120" s="616"/>
      <c r="AB120" s="616"/>
      <c r="AC120" s="616"/>
      <c r="AD120" s="746"/>
      <c r="AE120" s="746"/>
      <c r="AF120" s="746"/>
      <c r="AG120" s="317"/>
      <c r="AH120" s="913" t="s">
        <v>905</v>
      </c>
      <c r="AI120" s="854"/>
      <c r="AJ120" s="854"/>
      <c r="AK120" s="918"/>
      <c r="AL120" s="900"/>
      <c r="AM120" s="901"/>
      <c r="AN120" s="933"/>
      <c r="AO120" s="919"/>
      <c r="AP120" s="920"/>
      <c r="AQ120" s="573"/>
      <c r="AR120" s="716" t="e">
        <f t="shared" si="17"/>
        <v>#N/A</v>
      </c>
      <c r="AS120" s="746"/>
      <c r="AT120" s="746"/>
      <c r="AU120" s="746"/>
      <c r="AV120" s="746"/>
      <c r="AW120" s="746"/>
      <c r="AX120" s="746"/>
      <c r="AY120" s="746"/>
      <c r="AZ120" s="746"/>
      <c r="BA120" s="746"/>
      <c r="BB120" s="746"/>
      <c r="BC120" s="746"/>
      <c r="BD120" s="746"/>
      <c r="BE120" s="746"/>
      <c r="BF120" s="746"/>
      <c r="BG120" s="746"/>
      <c r="BH120" s="746"/>
      <c r="BI120" s="746"/>
    </row>
    <row r="121" spans="1:61">
      <c r="A121" s="750"/>
      <c r="B121" s="737"/>
      <c r="C121" s="738"/>
      <c r="D121" s="738"/>
      <c r="E121" s="739">
        <f t="shared" si="18"/>
        <v>0</v>
      </c>
      <c r="F121" s="764"/>
      <c r="G121" s="752"/>
      <c r="H121" s="753"/>
      <c r="I121" s="752"/>
      <c r="J121" s="743"/>
      <c r="K121" s="754"/>
      <c r="L121" s="755">
        <f t="shared" si="21"/>
        <v>0</v>
      </c>
      <c r="M121" s="746"/>
      <c r="N121" s="747" t="e">
        <f t="shared" si="19"/>
        <v>#N/A</v>
      </c>
      <c r="O121" s="746"/>
      <c r="P121" s="616"/>
      <c r="Q121" s="616"/>
      <c r="R121" s="616"/>
      <c r="S121" s="616"/>
      <c r="T121" s="616"/>
      <c r="U121" s="616"/>
      <c r="V121" s="616"/>
      <c r="W121" s="616"/>
      <c r="X121" s="616"/>
      <c r="Y121" s="616"/>
      <c r="Z121" s="616"/>
      <c r="AA121" s="616"/>
      <c r="AB121" s="616"/>
      <c r="AC121" s="616"/>
      <c r="AD121" s="746"/>
      <c r="AE121" s="746"/>
      <c r="AF121" s="746"/>
      <c r="AG121" s="317"/>
      <c r="AH121" s="913" t="s">
        <v>906</v>
      </c>
      <c r="AI121" s="904"/>
      <c r="AJ121" s="904"/>
      <c r="AK121" s="922"/>
      <c r="AL121" s="934"/>
      <c r="AM121" s="935"/>
      <c r="AN121" s="933"/>
      <c r="AO121" s="904"/>
      <c r="AP121" s="936"/>
      <c r="AQ121" s="573"/>
      <c r="AR121" s="716" t="e">
        <f t="shared" si="17"/>
        <v>#N/A</v>
      </c>
      <c r="AS121" s="746"/>
      <c r="AT121" s="746"/>
      <c r="AU121" s="746"/>
      <c r="AV121" s="746"/>
      <c r="AW121" s="746"/>
      <c r="AX121" s="746"/>
      <c r="AY121" s="746"/>
      <c r="AZ121" s="746"/>
      <c r="BA121" s="746"/>
      <c r="BB121" s="746"/>
      <c r="BC121" s="746"/>
      <c r="BD121" s="746"/>
      <c r="BE121" s="746"/>
      <c r="BF121" s="746"/>
      <c r="BG121" s="746"/>
      <c r="BH121" s="746"/>
      <c r="BI121" s="746"/>
    </row>
    <row r="122" spans="1:61">
      <c r="A122" s="750"/>
      <c r="B122" s="737"/>
      <c r="C122" s="738"/>
      <c r="D122" s="738"/>
      <c r="E122" s="739">
        <f t="shared" si="18"/>
        <v>0</v>
      </c>
      <c r="F122" s="764"/>
      <c r="G122" s="752"/>
      <c r="H122" s="753"/>
      <c r="I122" s="752"/>
      <c r="J122" s="743"/>
      <c r="K122" s="754"/>
      <c r="L122" s="755">
        <f t="shared" si="21"/>
        <v>0</v>
      </c>
      <c r="M122" s="746"/>
      <c r="N122" s="747" t="e">
        <f t="shared" si="19"/>
        <v>#N/A</v>
      </c>
      <c r="O122" s="746"/>
      <c r="P122" s="616"/>
      <c r="Q122" s="616"/>
      <c r="R122" s="616"/>
      <c r="S122" s="616"/>
      <c r="T122" s="616"/>
      <c r="U122" s="616"/>
      <c r="V122" s="616"/>
      <c r="W122" s="616"/>
      <c r="X122" s="616"/>
      <c r="Y122" s="616"/>
      <c r="Z122" s="616"/>
      <c r="AA122" s="616"/>
      <c r="AB122" s="616"/>
      <c r="AC122" s="616"/>
      <c r="AD122" s="746"/>
      <c r="AE122" s="746"/>
      <c r="AF122" s="746"/>
      <c r="AG122" s="317"/>
      <c r="AH122" s="913" t="s">
        <v>907</v>
      </c>
      <c r="AI122" s="904"/>
      <c r="AJ122" s="904"/>
      <c r="AK122" s="922"/>
      <c r="AL122" s="934"/>
      <c r="AM122" s="935"/>
      <c r="AN122" s="933"/>
      <c r="AO122" s="904"/>
      <c r="AP122" s="936"/>
      <c r="AQ122" s="573"/>
      <c r="AR122" s="716" t="e">
        <f t="shared" si="17"/>
        <v>#N/A</v>
      </c>
      <c r="AS122" s="746"/>
      <c r="AT122" s="746"/>
      <c r="AU122" s="746"/>
      <c r="AV122" s="746"/>
      <c r="AW122" s="746"/>
      <c r="AX122" s="746"/>
      <c r="AY122" s="746"/>
      <c r="AZ122" s="746"/>
      <c r="BA122" s="746"/>
      <c r="BB122" s="746"/>
      <c r="BC122" s="746"/>
      <c r="BD122" s="746"/>
      <c r="BE122" s="746"/>
      <c r="BF122" s="746"/>
      <c r="BG122" s="746"/>
      <c r="BH122" s="746"/>
      <c r="BI122" s="746"/>
    </row>
    <row r="123" spans="1:61">
      <c r="A123" s="750"/>
      <c r="B123" s="737"/>
      <c r="C123" s="738"/>
      <c r="D123" s="738"/>
      <c r="E123" s="739">
        <f t="shared" si="18"/>
        <v>0</v>
      </c>
      <c r="F123" s="764"/>
      <c r="G123" s="752"/>
      <c r="H123" s="753"/>
      <c r="I123" s="752"/>
      <c r="J123" s="743"/>
      <c r="K123" s="754"/>
      <c r="L123" s="755">
        <f t="shared" si="21"/>
        <v>0</v>
      </c>
      <c r="M123" s="746"/>
      <c r="N123" s="747" t="e">
        <f t="shared" si="19"/>
        <v>#N/A</v>
      </c>
      <c r="O123" s="746"/>
      <c r="P123" s="616"/>
      <c r="Q123" s="616"/>
      <c r="R123" s="616"/>
      <c r="S123" s="616"/>
      <c r="T123" s="616"/>
      <c r="U123" s="616"/>
      <c r="V123" s="616"/>
      <c r="W123" s="616"/>
      <c r="X123" s="616"/>
      <c r="Y123" s="616"/>
      <c r="Z123" s="616"/>
      <c r="AA123" s="616"/>
      <c r="AB123" s="616"/>
      <c r="AC123" s="616"/>
      <c r="AD123" s="746"/>
      <c r="AE123" s="746"/>
      <c r="AF123" s="746"/>
      <c r="AG123" s="317"/>
      <c r="AH123" s="917" t="s">
        <v>279</v>
      </c>
      <c r="AI123" s="904"/>
      <c r="AJ123" s="904"/>
      <c r="AK123" s="922"/>
      <c r="AL123" s="934"/>
      <c r="AM123" s="935"/>
      <c r="AN123" s="933"/>
      <c r="AO123" s="904"/>
      <c r="AP123" s="936"/>
      <c r="AQ123" s="573"/>
      <c r="AR123" s="716" t="e">
        <f t="shared" si="17"/>
        <v>#N/A</v>
      </c>
      <c r="AS123" s="746"/>
      <c r="AT123" s="746"/>
      <c r="AU123" s="746"/>
      <c r="AV123" s="746"/>
      <c r="AW123" s="746"/>
      <c r="AX123" s="746"/>
      <c r="AY123" s="746"/>
      <c r="AZ123" s="746"/>
      <c r="BA123" s="746"/>
      <c r="BB123" s="746"/>
      <c r="BC123" s="746"/>
      <c r="BD123" s="746"/>
      <c r="BE123" s="746"/>
      <c r="BF123" s="746"/>
      <c r="BG123" s="746"/>
      <c r="BH123" s="746"/>
      <c r="BI123" s="746"/>
    </row>
    <row r="124" spans="1:61">
      <c r="A124" s="750"/>
      <c r="B124" s="737"/>
      <c r="C124" s="738"/>
      <c r="D124" s="738"/>
      <c r="E124" s="739">
        <f t="shared" si="18"/>
        <v>0</v>
      </c>
      <c r="F124" s="764"/>
      <c r="G124" s="752"/>
      <c r="H124" s="753"/>
      <c r="I124" s="752"/>
      <c r="J124" s="743"/>
      <c r="K124" s="754"/>
      <c r="L124" s="755">
        <f t="shared" si="21"/>
        <v>0</v>
      </c>
      <c r="M124" s="746"/>
      <c r="N124" s="747" t="e">
        <f t="shared" si="19"/>
        <v>#N/A</v>
      </c>
      <c r="O124" s="746"/>
      <c r="P124" s="616"/>
      <c r="Q124" s="616"/>
      <c r="R124" s="616"/>
      <c r="S124" s="616"/>
      <c r="T124" s="616"/>
      <c r="U124" s="616"/>
      <c r="V124" s="616"/>
      <c r="W124" s="616"/>
      <c r="X124" s="616"/>
      <c r="Y124" s="616"/>
      <c r="Z124" s="616"/>
      <c r="AA124" s="616"/>
      <c r="AB124" s="616"/>
      <c r="AC124" s="616"/>
      <c r="AD124" s="746"/>
      <c r="AE124" s="746"/>
      <c r="AF124" s="746"/>
      <c r="AG124" s="317"/>
      <c r="AH124" s="917" t="s">
        <v>278</v>
      </c>
      <c r="AI124" s="904"/>
      <c r="AJ124" s="904"/>
      <c r="AK124" s="922"/>
      <c r="AL124" s="934"/>
      <c r="AM124" s="935"/>
      <c r="AN124" s="933"/>
      <c r="AO124" s="904"/>
      <c r="AP124" s="936"/>
      <c r="AQ124" s="573"/>
      <c r="AR124" s="716" t="e">
        <f t="shared" si="17"/>
        <v>#N/A</v>
      </c>
      <c r="AS124" s="746"/>
      <c r="AT124" s="746"/>
      <c r="AU124" s="746"/>
      <c r="AV124" s="746"/>
      <c r="AW124" s="746"/>
      <c r="AX124" s="746"/>
      <c r="AY124" s="746"/>
      <c r="AZ124" s="746"/>
      <c r="BA124" s="746"/>
      <c r="BB124" s="746"/>
      <c r="BC124" s="746"/>
      <c r="BD124" s="746"/>
      <c r="BE124" s="746"/>
      <c r="BF124" s="746"/>
      <c r="BG124" s="746"/>
      <c r="BH124" s="746"/>
      <c r="BI124" s="746"/>
    </row>
    <row r="125" spans="1:61">
      <c r="A125" s="750"/>
      <c r="B125" s="737"/>
      <c r="C125" s="738"/>
      <c r="D125" s="738"/>
      <c r="E125" s="739">
        <f t="shared" si="18"/>
        <v>0</v>
      </c>
      <c r="F125" s="764"/>
      <c r="G125" s="752"/>
      <c r="H125" s="753"/>
      <c r="I125" s="752"/>
      <c r="J125" s="743"/>
      <c r="K125" s="754"/>
      <c r="L125" s="755">
        <f t="shared" si="21"/>
        <v>0</v>
      </c>
      <c r="M125" s="746"/>
      <c r="N125" s="747" t="e">
        <f t="shared" si="19"/>
        <v>#N/A</v>
      </c>
      <c r="O125" s="746"/>
      <c r="P125" s="616"/>
      <c r="Q125" s="616"/>
      <c r="R125" s="616"/>
      <c r="S125" s="616"/>
      <c r="T125" s="616"/>
      <c r="U125" s="616"/>
      <c r="V125" s="616"/>
      <c r="W125" s="616"/>
      <c r="X125" s="616"/>
      <c r="Y125" s="616"/>
      <c r="Z125" s="616"/>
      <c r="AA125" s="616"/>
      <c r="AB125" s="616"/>
      <c r="AC125" s="616"/>
      <c r="AD125" s="746"/>
      <c r="AE125" s="746"/>
      <c r="AF125" s="746"/>
      <c r="AG125" s="317"/>
      <c r="AH125" s="917"/>
      <c r="AI125" s="904"/>
      <c r="AJ125" s="904"/>
      <c r="AK125" s="922"/>
      <c r="AL125" s="934"/>
      <c r="AM125" s="935"/>
      <c r="AN125" s="937"/>
      <c r="AO125" s="904"/>
      <c r="AP125" s="936"/>
      <c r="AQ125" s="573"/>
      <c r="AR125" s="716" t="e">
        <f t="shared" si="17"/>
        <v>#N/A</v>
      </c>
      <c r="AS125" s="746"/>
      <c r="AT125" s="746"/>
      <c r="AU125" s="746"/>
      <c r="AV125" s="746"/>
      <c r="AW125" s="746"/>
      <c r="AX125" s="746"/>
      <c r="AY125" s="746"/>
      <c r="AZ125" s="746"/>
      <c r="BA125" s="746"/>
      <c r="BB125" s="746"/>
      <c r="BC125" s="746"/>
      <c r="BD125" s="746"/>
      <c r="BE125" s="746"/>
      <c r="BF125" s="746"/>
      <c r="BG125" s="746"/>
      <c r="BH125" s="746"/>
      <c r="BI125" s="746"/>
    </row>
    <row r="126" spans="1:61">
      <c r="A126" s="750"/>
      <c r="B126" s="737"/>
      <c r="C126" s="738"/>
      <c r="D126" s="738"/>
      <c r="E126" s="739">
        <f t="shared" si="18"/>
        <v>0</v>
      </c>
      <c r="F126" s="764"/>
      <c r="G126" s="752"/>
      <c r="H126" s="753"/>
      <c r="I126" s="752"/>
      <c r="J126" s="743"/>
      <c r="K126" s="754"/>
      <c r="L126" s="755">
        <f t="shared" si="21"/>
        <v>0</v>
      </c>
      <c r="M126" s="746"/>
      <c r="N126" s="747" t="e">
        <f t="shared" si="19"/>
        <v>#N/A</v>
      </c>
      <c r="O126" s="746"/>
      <c r="P126" s="616"/>
      <c r="Q126" s="616"/>
      <c r="R126" s="616"/>
      <c r="S126" s="616"/>
      <c r="T126" s="616"/>
      <c r="U126" s="616"/>
      <c r="V126" s="616"/>
      <c r="W126" s="616"/>
      <c r="X126" s="616"/>
      <c r="Y126" s="616"/>
      <c r="Z126" s="616"/>
      <c r="AA126" s="616"/>
      <c r="AB126" s="616"/>
      <c r="AC126" s="616"/>
      <c r="AD126" s="746"/>
      <c r="AE126" s="746"/>
      <c r="AF126" s="746"/>
      <c r="AG126" s="317"/>
      <c r="AH126" s="917"/>
      <c r="AI126" s="904"/>
      <c r="AJ126" s="904"/>
      <c r="AK126" s="922"/>
      <c r="AL126" s="934"/>
      <c r="AM126" s="935"/>
      <c r="AN126" s="937"/>
      <c r="AO126" s="904"/>
      <c r="AP126" s="936"/>
      <c r="AQ126" s="573"/>
      <c r="AR126" s="716" t="e">
        <f t="shared" si="17"/>
        <v>#N/A</v>
      </c>
      <c r="AS126" s="746"/>
      <c r="AT126" s="746"/>
      <c r="AU126" s="746"/>
      <c r="AV126" s="746"/>
      <c r="AW126" s="746"/>
      <c r="AX126" s="746"/>
      <c r="AY126" s="746"/>
      <c r="AZ126" s="746"/>
      <c r="BA126" s="746"/>
      <c r="BB126" s="746"/>
      <c r="BC126" s="746"/>
      <c r="BD126" s="746"/>
      <c r="BE126" s="746"/>
      <c r="BF126" s="746"/>
      <c r="BG126" s="746"/>
      <c r="BH126" s="746"/>
      <c r="BI126" s="746"/>
    </row>
    <row r="127" spans="1:61">
      <c r="A127" s="750"/>
      <c r="B127" s="737"/>
      <c r="C127" s="738"/>
      <c r="D127" s="738"/>
      <c r="E127" s="739">
        <f t="shared" si="18"/>
        <v>0</v>
      </c>
      <c r="F127" s="764"/>
      <c r="G127" s="752"/>
      <c r="H127" s="753"/>
      <c r="I127" s="752"/>
      <c r="J127" s="743"/>
      <c r="K127" s="754"/>
      <c r="L127" s="755">
        <f t="shared" si="21"/>
        <v>0</v>
      </c>
      <c r="M127" s="746"/>
      <c r="N127" s="747" t="e">
        <f t="shared" si="19"/>
        <v>#N/A</v>
      </c>
      <c r="O127" s="746"/>
      <c r="P127" s="616"/>
      <c r="Q127" s="616"/>
      <c r="R127" s="616"/>
      <c r="S127" s="616"/>
      <c r="T127" s="616"/>
      <c r="U127" s="616"/>
      <c r="V127" s="616"/>
      <c r="W127" s="616"/>
      <c r="X127" s="616"/>
      <c r="Y127" s="616"/>
      <c r="Z127" s="616"/>
      <c r="AA127" s="616"/>
      <c r="AB127" s="616"/>
      <c r="AC127" s="616"/>
      <c r="AD127" s="746"/>
      <c r="AE127" s="746"/>
      <c r="AF127" s="749"/>
      <c r="AG127" s="317"/>
      <c r="AH127" s="917"/>
      <c r="AI127" s="904"/>
      <c r="AJ127" s="904"/>
      <c r="AK127" s="922"/>
      <c r="AL127" s="934"/>
      <c r="AM127" s="935"/>
      <c r="AN127" s="937"/>
      <c r="AO127" s="904"/>
      <c r="AP127" s="936"/>
      <c r="AQ127" s="573"/>
      <c r="AR127" s="716" t="e">
        <f t="shared" si="17"/>
        <v>#N/A</v>
      </c>
      <c r="AS127" s="746"/>
      <c r="AT127" s="746"/>
      <c r="AU127" s="746"/>
      <c r="AV127" s="746"/>
      <c r="AW127" s="746"/>
      <c r="AX127" s="746"/>
      <c r="AY127" s="746"/>
      <c r="AZ127" s="746"/>
      <c r="BA127" s="746"/>
      <c r="BB127" s="746"/>
      <c r="BC127" s="746"/>
      <c r="BD127" s="746"/>
      <c r="BE127" s="746"/>
      <c r="BF127" s="746"/>
      <c r="BG127" s="746"/>
      <c r="BH127" s="746"/>
      <c r="BI127" s="746"/>
    </row>
    <row r="128" spans="1:61">
      <c r="A128" s="750"/>
      <c r="B128" s="737"/>
      <c r="C128" s="738"/>
      <c r="D128" s="738"/>
      <c r="E128" s="739">
        <f t="shared" si="18"/>
        <v>0</v>
      </c>
      <c r="F128" s="764"/>
      <c r="G128" s="752"/>
      <c r="H128" s="753"/>
      <c r="I128" s="752"/>
      <c r="J128" s="743"/>
      <c r="K128" s="754"/>
      <c r="L128" s="755">
        <f t="shared" si="21"/>
        <v>0</v>
      </c>
      <c r="M128" s="746"/>
      <c r="N128" s="747" t="e">
        <f t="shared" si="19"/>
        <v>#N/A</v>
      </c>
      <c r="O128" s="746"/>
      <c r="P128" s="616"/>
      <c r="Q128" s="616"/>
      <c r="R128" s="616"/>
      <c r="S128" s="616"/>
      <c r="T128" s="616"/>
      <c r="U128" s="616"/>
      <c r="V128" s="616"/>
      <c r="W128" s="616"/>
      <c r="X128" s="616"/>
      <c r="Y128" s="616"/>
      <c r="Z128" s="616"/>
      <c r="AA128" s="616"/>
      <c r="AB128" s="616"/>
      <c r="AC128" s="616"/>
      <c r="AD128" s="746"/>
      <c r="AE128" s="746"/>
      <c r="AF128" s="749"/>
      <c r="AG128" s="317"/>
      <c r="AH128" s="917"/>
      <c r="AI128" s="904"/>
      <c r="AJ128" s="904"/>
      <c r="AK128" s="922"/>
      <c r="AL128" s="934"/>
      <c r="AM128" s="935"/>
      <c r="AN128" s="937"/>
      <c r="AO128" s="904"/>
      <c r="AP128" s="936"/>
      <c r="AQ128" s="573"/>
      <c r="AR128" s="573"/>
      <c r="AS128" s="746"/>
      <c r="AT128" s="746"/>
      <c r="AU128" s="746"/>
      <c r="AV128" s="746"/>
      <c r="AW128" s="746"/>
      <c r="AX128" s="746"/>
      <c r="AY128" s="746"/>
      <c r="AZ128" s="746"/>
      <c r="BA128" s="746"/>
      <c r="BB128" s="746"/>
      <c r="BC128" s="746"/>
      <c r="BD128" s="746"/>
      <c r="BE128" s="746"/>
      <c r="BF128" s="746"/>
      <c r="BG128" s="746"/>
      <c r="BH128" s="746"/>
      <c r="BI128" s="746"/>
    </row>
    <row r="129" spans="1:61">
      <c r="A129" s="750"/>
      <c r="B129" s="737"/>
      <c r="C129" s="738"/>
      <c r="D129" s="738"/>
      <c r="E129" s="739">
        <f t="shared" si="18"/>
        <v>0</v>
      </c>
      <c r="F129" s="764"/>
      <c r="G129" s="752"/>
      <c r="H129" s="753"/>
      <c r="I129" s="752"/>
      <c r="J129" s="743"/>
      <c r="K129" s="754"/>
      <c r="L129" s="755">
        <f t="shared" si="21"/>
        <v>0</v>
      </c>
      <c r="M129" s="746"/>
      <c r="N129" s="747" t="e">
        <f t="shared" si="19"/>
        <v>#N/A</v>
      </c>
      <c r="O129" s="746"/>
      <c r="P129" s="616"/>
      <c r="Q129" s="616"/>
      <c r="R129" s="616"/>
      <c r="S129" s="616"/>
      <c r="T129" s="616"/>
      <c r="U129" s="616"/>
      <c r="V129" s="616"/>
      <c r="W129" s="616"/>
      <c r="X129" s="616"/>
      <c r="Y129" s="616"/>
      <c r="Z129" s="616"/>
      <c r="AA129" s="616"/>
      <c r="AB129" s="616"/>
      <c r="AC129" s="616"/>
      <c r="AD129" s="746"/>
      <c r="AE129" s="746"/>
      <c r="AF129" s="749"/>
      <c r="AG129" s="195"/>
      <c r="AH129" s="923" t="s">
        <v>162</v>
      </c>
      <c r="AI129" s="862">
        <f>SUM(AI118:AI123)</f>
        <v>0</v>
      </c>
      <c r="AJ129" s="862">
        <f>SUM(AJ118:AJ123)</f>
        <v>0</v>
      </c>
      <c r="AK129" s="924">
        <f>SUM(AK118:AK123)</f>
        <v>0</v>
      </c>
      <c r="AL129" s="938"/>
      <c r="AM129" s="939"/>
      <c r="AN129" s="940" t="s">
        <v>618</v>
      </c>
      <c r="AO129" s="862"/>
      <c r="AP129" s="925"/>
      <c r="AQ129" s="573"/>
      <c r="AR129" s="573"/>
      <c r="AS129" s="746"/>
      <c r="AT129" s="746"/>
      <c r="AU129" s="746"/>
      <c r="AV129" s="746"/>
      <c r="AW129" s="746"/>
      <c r="AX129" s="746"/>
      <c r="AY129" s="746"/>
      <c r="AZ129" s="746"/>
      <c r="BA129" s="746"/>
      <c r="BB129" s="746"/>
      <c r="BC129" s="746"/>
      <c r="BD129" s="746"/>
      <c r="BE129" s="746"/>
      <c r="BF129" s="746"/>
      <c r="BG129" s="746"/>
      <c r="BH129" s="746"/>
      <c r="BI129" s="746"/>
    </row>
    <row r="130" spans="1:61">
      <c r="A130" s="750"/>
      <c r="B130" s="737"/>
      <c r="C130" s="738"/>
      <c r="D130" s="738"/>
      <c r="E130" s="739">
        <f t="shared" si="18"/>
        <v>0</v>
      </c>
      <c r="F130" s="764"/>
      <c r="G130" s="752"/>
      <c r="H130" s="753"/>
      <c r="I130" s="752"/>
      <c r="J130" s="743"/>
      <c r="K130" s="754"/>
      <c r="L130" s="755">
        <f t="shared" si="21"/>
        <v>0</v>
      </c>
      <c r="M130" s="746"/>
      <c r="N130" s="747" t="e">
        <f t="shared" si="19"/>
        <v>#N/A</v>
      </c>
      <c r="O130" s="746"/>
      <c r="P130" s="616"/>
      <c r="Q130" s="616"/>
      <c r="R130" s="616"/>
      <c r="S130" s="616"/>
      <c r="T130" s="616"/>
      <c r="U130" s="616"/>
      <c r="V130" s="616"/>
      <c r="W130" s="616"/>
      <c r="X130" s="616"/>
      <c r="Y130" s="616"/>
      <c r="Z130" s="616"/>
      <c r="AA130" s="616"/>
      <c r="AB130" s="616"/>
      <c r="AC130" s="616"/>
      <c r="AD130" s="746"/>
      <c r="AE130" s="746"/>
      <c r="AF130" s="749"/>
      <c r="AG130" s="573"/>
      <c r="AH130" s="573"/>
      <c r="AI130" s="573"/>
      <c r="AJ130" s="573"/>
      <c r="AK130" s="573"/>
      <c r="AL130" s="573"/>
      <c r="AM130" s="573"/>
      <c r="AN130" s="573"/>
      <c r="AO130" s="573"/>
      <c r="AP130" s="573"/>
      <c r="AQ130" s="573"/>
      <c r="AR130" s="746"/>
      <c r="AS130" s="746"/>
      <c r="AT130" s="746"/>
      <c r="AU130" s="746"/>
      <c r="AV130" s="746"/>
      <c r="AW130" s="746"/>
      <c r="AX130" s="746"/>
      <c r="AY130" s="746"/>
      <c r="AZ130" s="746"/>
      <c r="BA130" s="746"/>
      <c r="BB130" s="746"/>
      <c r="BC130" s="746"/>
      <c r="BD130" s="746"/>
      <c r="BE130" s="746"/>
      <c r="BF130" s="746"/>
      <c r="BG130" s="746"/>
      <c r="BH130" s="746"/>
      <c r="BI130" s="746"/>
    </row>
    <row r="131" spans="1:61">
      <c r="A131" s="750"/>
      <c r="B131" s="737"/>
      <c r="C131" s="738"/>
      <c r="D131" s="738"/>
      <c r="E131" s="739">
        <f t="shared" si="18"/>
        <v>0</v>
      </c>
      <c r="F131" s="764"/>
      <c r="G131" s="752"/>
      <c r="H131" s="753"/>
      <c r="I131" s="752"/>
      <c r="J131" s="743"/>
      <c r="K131" s="754"/>
      <c r="L131" s="755">
        <f t="shared" si="21"/>
        <v>0</v>
      </c>
      <c r="M131" s="746"/>
      <c r="N131" s="747" t="e">
        <f t="shared" si="19"/>
        <v>#N/A</v>
      </c>
      <c r="O131" s="746"/>
      <c r="P131" s="616"/>
      <c r="Q131" s="616"/>
      <c r="R131" s="616"/>
      <c r="S131" s="616"/>
      <c r="T131" s="616"/>
      <c r="U131" s="616"/>
      <c r="V131" s="616"/>
      <c r="W131" s="616"/>
      <c r="X131" s="616"/>
      <c r="Y131" s="616"/>
      <c r="Z131" s="616"/>
      <c r="AA131" s="616"/>
      <c r="AB131" s="616"/>
      <c r="AC131" s="616"/>
      <c r="AD131" s="746"/>
      <c r="AE131" s="746"/>
      <c r="AF131" s="749"/>
      <c r="AG131" s="573"/>
      <c r="AH131" s="573"/>
      <c r="AI131" s="573"/>
      <c r="AJ131" s="573"/>
      <c r="AK131" s="573"/>
      <c r="AL131" s="573"/>
      <c r="AM131" s="573"/>
      <c r="AN131" s="573"/>
      <c r="AO131" s="573"/>
      <c r="AP131" s="573"/>
      <c r="AQ131" s="573"/>
      <c r="AR131" s="746"/>
      <c r="AS131" s="746"/>
      <c r="AT131" s="746"/>
      <c r="AU131" s="746"/>
      <c r="AV131" s="746"/>
      <c r="AW131" s="746"/>
      <c r="AX131" s="746"/>
      <c r="AY131" s="746"/>
      <c r="AZ131" s="746"/>
      <c r="BA131" s="746"/>
      <c r="BB131" s="746"/>
      <c r="BC131" s="746"/>
      <c r="BD131" s="746"/>
      <c r="BE131" s="746"/>
      <c r="BF131" s="746"/>
      <c r="BG131" s="746"/>
      <c r="BH131" s="746"/>
      <c r="BI131" s="746"/>
    </row>
    <row r="132" spans="1:61">
      <c r="A132" s="750"/>
      <c r="B132" s="737"/>
      <c r="C132" s="738"/>
      <c r="D132" s="738"/>
      <c r="E132" s="739">
        <f t="shared" si="18"/>
        <v>0</v>
      </c>
      <c r="F132" s="764"/>
      <c r="G132" s="752"/>
      <c r="H132" s="753"/>
      <c r="I132" s="752"/>
      <c r="J132" s="743"/>
      <c r="K132" s="754"/>
      <c r="L132" s="755">
        <f t="shared" si="21"/>
        <v>0</v>
      </c>
      <c r="M132" s="746"/>
      <c r="N132" s="747" t="e">
        <f t="shared" si="19"/>
        <v>#N/A</v>
      </c>
      <c r="O132" s="746"/>
      <c r="P132" s="616"/>
      <c r="Q132" s="616"/>
      <c r="R132" s="616"/>
      <c r="S132" s="616"/>
      <c r="T132" s="616"/>
      <c r="U132" s="616"/>
      <c r="V132" s="616"/>
      <c r="W132" s="616"/>
      <c r="X132" s="616"/>
      <c r="Y132" s="616"/>
      <c r="Z132" s="616"/>
      <c r="AA132" s="616"/>
      <c r="AB132" s="616"/>
      <c r="AC132" s="616"/>
      <c r="AD132" s="746"/>
      <c r="AE132" s="746"/>
      <c r="AF132" s="749"/>
      <c r="AG132" s="573"/>
      <c r="AH132" s="573"/>
      <c r="AI132" s="573"/>
      <c r="AJ132" s="573"/>
      <c r="AK132" s="573"/>
      <c r="AL132" s="573"/>
      <c r="AM132" s="573"/>
      <c r="AN132" s="573"/>
      <c r="AO132" s="573"/>
      <c r="AP132" s="573"/>
      <c r="AQ132" s="573"/>
      <c r="AR132" s="746"/>
      <c r="AS132" s="746"/>
      <c r="AT132" s="746"/>
      <c r="AU132" s="746"/>
      <c r="AV132" s="746"/>
      <c r="AW132" s="746"/>
      <c r="AX132" s="746"/>
      <c r="AY132" s="746"/>
      <c r="AZ132" s="746"/>
      <c r="BA132" s="746"/>
      <c r="BB132" s="746"/>
      <c r="BC132" s="746"/>
      <c r="BD132" s="746"/>
      <c r="BE132" s="746"/>
      <c r="BF132" s="746"/>
      <c r="BG132" s="746"/>
      <c r="BH132" s="746"/>
      <c r="BI132" s="746"/>
    </row>
    <row r="133" spans="1:61">
      <c r="A133" s="750"/>
      <c r="B133" s="737"/>
      <c r="C133" s="738"/>
      <c r="D133" s="738"/>
      <c r="E133" s="739">
        <f t="shared" ref="E133:E196" si="22">SUMIF(AH:AH,B133,AK:AK)</f>
        <v>0</v>
      </c>
      <c r="F133" s="764"/>
      <c r="G133" s="752"/>
      <c r="H133" s="753"/>
      <c r="I133" s="752"/>
      <c r="J133" s="743"/>
      <c r="K133" s="754"/>
      <c r="L133" s="755">
        <f t="shared" si="21"/>
        <v>0</v>
      </c>
      <c r="M133" s="746"/>
      <c r="N133" s="747" t="e">
        <f t="shared" ref="N133:N196" si="23">INDEX(AK:AK,MATCH(B133,AH:AH,0))-E133</f>
        <v>#N/A</v>
      </c>
      <c r="O133" s="746"/>
      <c r="P133" s="616"/>
      <c r="Q133" s="616"/>
      <c r="R133" s="616"/>
      <c r="S133" s="616"/>
      <c r="T133" s="616"/>
      <c r="U133" s="616"/>
      <c r="V133" s="616"/>
      <c r="W133" s="616"/>
      <c r="X133" s="616"/>
      <c r="Y133" s="616"/>
      <c r="Z133" s="616"/>
      <c r="AA133" s="616"/>
      <c r="AB133" s="616"/>
      <c r="AC133" s="616"/>
      <c r="AD133" s="746"/>
      <c r="AE133" s="746"/>
      <c r="AF133" s="749"/>
      <c r="AG133" s="573"/>
      <c r="AH133" s="573"/>
      <c r="AI133" s="573"/>
      <c r="AJ133" s="573"/>
      <c r="AK133" s="573"/>
      <c r="AL133" s="573"/>
      <c r="AM133" s="573"/>
      <c r="AN133" s="573"/>
      <c r="AO133" s="573"/>
      <c r="AP133" s="573"/>
      <c r="AQ133" s="573"/>
      <c r="AR133" s="746"/>
      <c r="AS133" s="746"/>
      <c r="AT133" s="746"/>
      <c r="AU133" s="746"/>
      <c r="AV133" s="746"/>
      <c r="AW133" s="746"/>
      <c r="AX133" s="746"/>
      <c r="AY133" s="746"/>
      <c r="AZ133" s="746"/>
      <c r="BA133" s="746"/>
      <c r="BB133" s="746"/>
      <c r="BC133" s="746"/>
      <c r="BD133" s="746"/>
      <c r="BE133" s="746"/>
      <c r="BF133" s="746"/>
      <c r="BG133" s="746"/>
      <c r="BH133" s="746"/>
      <c r="BI133" s="746"/>
    </row>
    <row r="134" spans="1:61">
      <c r="A134" s="750"/>
      <c r="B134" s="737"/>
      <c r="C134" s="738"/>
      <c r="D134" s="738"/>
      <c r="E134" s="739">
        <f t="shared" si="22"/>
        <v>0</v>
      </c>
      <c r="F134" s="764"/>
      <c r="G134" s="752"/>
      <c r="H134" s="753"/>
      <c r="I134" s="752"/>
      <c r="J134" s="743"/>
      <c r="K134" s="754"/>
      <c r="L134" s="755">
        <f t="shared" si="21"/>
        <v>0</v>
      </c>
      <c r="M134" s="746"/>
      <c r="N134" s="747" t="e">
        <f t="shared" si="23"/>
        <v>#N/A</v>
      </c>
      <c r="O134" s="746"/>
      <c r="P134" s="616"/>
      <c r="Q134" s="616"/>
      <c r="R134" s="616"/>
      <c r="S134" s="616"/>
      <c r="T134" s="616"/>
      <c r="U134" s="616"/>
      <c r="V134" s="616"/>
      <c r="W134" s="616"/>
      <c r="X134" s="616"/>
      <c r="Y134" s="616"/>
      <c r="Z134" s="616"/>
      <c r="AA134" s="616"/>
      <c r="AB134" s="616"/>
      <c r="AC134" s="616"/>
      <c r="AD134" s="746"/>
      <c r="AE134" s="746"/>
      <c r="AF134" s="749"/>
      <c r="AG134" s="573"/>
      <c r="AH134" s="573"/>
      <c r="AI134" s="573"/>
      <c r="AJ134" s="573"/>
      <c r="AK134" s="573"/>
      <c r="AL134" s="573"/>
      <c r="AM134" s="573"/>
      <c r="AN134" s="573"/>
      <c r="AO134" s="573"/>
      <c r="AP134" s="573"/>
      <c r="AQ134" s="573"/>
      <c r="AR134" s="746"/>
      <c r="AS134" s="746"/>
      <c r="AT134" s="746"/>
      <c r="AU134" s="746"/>
      <c r="AV134" s="746"/>
      <c r="AW134" s="746"/>
      <c r="AX134" s="746"/>
      <c r="AY134" s="746"/>
      <c r="AZ134" s="746"/>
      <c r="BA134" s="746"/>
      <c r="BB134" s="746"/>
      <c r="BC134" s="746"/>
      <c r="BD134" s="746"/>
      <c r="BE134" s="746"/>
      <c r="BF134" s="746"/>
      <c r="BG134" s="746"/>
      <c r="BH134" s="746"/>
      <c r="BI134" s="746"/>
    </row>
    <row r="135" spans="1:61">
      <c r="A135" s="750"/>
      <c r="B135" s="737"/>
      <c r="C135" s="738"/>
      <c r="D135" s="738"/>
      <c r="E135" s="739">
        <f t="shared" si="22"/>
        <v>0</v>
      </c>
      <c r="F135" s="764"/>
      <c r="G135" s="752"/>
      <c r="H135" s="753"/>
      <c r="I135" s="752"/>
      <c r="J135" s="743"/>
      <c r="K135" s="754"/>
      <c r="L135" s="755">
        <f t="shared" si="21"/>
        <v>0</v>
      </c>
      <c r="M135" s="746"/>
      <c r="N135" s="747" t="e">
        <f t="shared" si="23"/>
        <v>#N/A</v>
      </c>
      <c r="O135" s="746"/>
      <c r="P135" s="616"/>
      <c r="Q135" s="616"/>
      <c r="R135" s="616"/>
      <c r="S135" s="616"/>
      <c r="T135" s="616"/>
      <c r="U135" s="616"/>
      <c r="V135" s="616"/>
      <c r="W135" s="616"/>
      <c r="X135" s="616"/>
      <c r="Y135" s="616"/>
      <c r="Z135" s="616"/>
      <c r="AA135" s="616"/>
      <c r="AB135" s="616"/>
      <c r="AC135" s="616"/>
      <c r="AD135" s="746"/>
      <c r="AE135" s="746"/>
      <c r="AF135" s="749"/>
      <c r="AG135" s="573"/>
      <c r="AH135" s="573"/>
      <c r="AI135" s="573"/>
      <c r="AJ135" s="573"/>
      <c r="AK135" s="573"/>
      <c r="AL135" s="573"/>
      <c r="AM135" s="573"/>
      <c r="AN135" s="573"/>
      <c r="AO135" s="573"/>
      <c r="AP135" s="573"/>
      <c r="AQ135" s="573"/>
      <c r="AR135" s="746"/>
      <c r="AS135" s="746"/>
      <c r="AT135" s="746"/>
      <c r="AU135" s="746"/>
      <c r="AV135" s="746"/>
      <c r="AW135" s="746"/>
      <c r="AX135" s="746"/>
      <c r="AY135" s="746"/>
      <c r="AZ135" s="746"/>
      <c r="BA135" s="746"/>
      <c r="BB135" s="746"/>
      <c r="BC135" s="746"/>
      <c r="BD135" s="746"/>
      <c r="BE135" s="746"/>
      <c r="BF135" s="746"/>
      <c r="BG135" s="746"/>
      <c r="BH135" s="746"/>
      <c r="BI135" s="746"/>
    </row>
    <row r="136" spans="1:61">
      <c r="A136" s="750"/>
      <c r="B136" s="737"/>
      <c r="C136" s="738"/>
      <c r="D136" s="738"/>
      <c r="E136" s="739">
        <f t="shared" si="22"/>
        <v>0</v>
      </c>
      <c r="F136" s="764"/>
      <c r="G136" s="752"/>
      <c r="H136" s="753"/>
      <c r="I136" s="752"/>
      <c r="J136" s="743"/>
      <c r="K136" s="754"/>
      <c r="L136" s="755">
        <f t="shared" si="21"/>
        <v>0</v>
      </c>
      <c r="M136" s="746"/>
      <c r="N136" s="747" t="e">
        <f t="shared" si="23"/>
        <v>#N/A</v>
      </c>
      <c r="O136" s="746"/>
      <c r="P136" s="616"/>
      <c r="Q136" s="616"/>
      <c r="R136" s="616"/>
      <c r="S136" s="616"/>
      <c r="T136" s="616"/>
      <c r="U136" s="616"/>
      <c r="V136" s="616"/>
      <c r="W136" s="616"/>
      <c r="X136" s="616"/>
      <c r="Y136" s="616"/>
      <c r="Z136" s="616"/>
      <c r="AA136" s="616"/>
      <c r="AB136" s="616"/>
      <c r="AC136" s="616"/>
      <c r="AD136" s="746"/>
      <c r="AE136" s="746"/>
      <c r="AF136" s="749"/>
      <c r="AG136" s="573"/>
      <c r="AH136" s="573"/>
      <c r="AI136" s="573"/>
      <c r="AJ136" s="573"/>
      <c r="AK136" s="573"/>
      <c r="AL136" s="573"/>
      <c r="AM136" s="573"/>
      <c r="AN136" s="573"/>
      <c r="AO136" s="573"/>
      <c r="AP136" s="573"/>
      <c r="AQ136" s="573"/>
      <c r="AR136" s="746"/>
      <c r="AS136" s="746"/>
      <c r="AT136" s="746"/>
      <c r="AU136" s="746"/>
      <c r="AV136" s="746"/>
      <c r="AW136" s="746"/>
      <c r="AX136" s="746"/>
      <c r="AY136" s="746"/>
      <c r="AZ136" s="746"/>
      <c r="BA136" s="746"/>
      <c r="BB136" s="746"/>
      <c r="BC136" s="746"/>
      <c r="BD136" s="746"/>
      <c r="BE136" s="746"/>
      <c r="BF136" s="746"/>
      <c r="BG136" s="746"/>
      <c r="BH136" s="746"/>
      <c r="BI136" s="746"/>
    </row>
    <row r="137" spans="1:61">
      <c r="A137" s="750"/>
      <c r="B137" s="737"/>
      <c r="C137" s="738"/>
      <c r="D137" s="738"/>
      <c r="E137" s="739">
        <f t="shared" si="22"/>
        <v>0</v>
      </c>
      <c r="F137" s="764"/>
      <c r="G137" s="752"/>
      <c r="H137" s="753"/>
      <c r="I137" s="752"/>
      <c r="J137" s="743"/>
      <c r="K137" s="754"/>
      <c r="L137" s="755">
        <f t="shared" si="21"/>
        <v>0</v>
      </c>
      <c r="M137" s="746"/>
      <c r="N137" s="747" t="e">
        <f t="shared" si="23"/>
        <v>#N/A</v>
      </c>
      <c r="O137" s="941"/>
      <c r="P137" s="942"/>
      <c r="Q137" s="942"/>
      <c r="R137" s="942"/>
      <c r="S137" s="942"/>
      <c r="T137" s="942"/>
      <c r="U137" s="942"/>
      <c r="V137" s="942"/>
      <c r="W137" s="942"/>
      <c r="X137" s="942"/>
      <c r="Y137" s="942"/>
      <c r="Z137" s="942"/>
      <c r="AA137" s="942"/>
      <c r="AB137" s="942"/>
      <c r="AC137" s="942"/>
      <c r="AD137" s="941"/>
      <c r="AE137" s="941"/>
      <c r="AF137" s="749"/>
      <c r="AG137" s="573"/>
      <c r="AH137" s="573"/>
      <c r="AI137" s="573"/>
      <c r="AJ137" s="573"/>
      <c r="AK137" s="573"/>
      <c r="AL137" s="573"/>
      <c r="AM137" s="573"/>
      <c r="AN137" s="573"/>
      <c r="AO137" s="573"/>
      <c r="AP137" s="573"/>
      <c r="AQ137" s="573"/>
      <c r="AR137" s="941"/>
      <c r="AS137" s="746"/>
      <c r="AT137" s="746"/>
      <c r="AU137" s="746"/>
      <c r="AV137" s="746"/>
      <c r="AW137" s="746"/>
      <c r="AX137" s="746"/>
      <c r="AY137" s="746"/>
      <c r="AZ137" s="746"/>
      <c r="BA137" s="746"/>
      <c r="BB137" s="746"/>
      <c r="BC137" s="746"/>
      <c r="BD137" s="746"/>
      <c r="BE137" s="746"/>
      <c r="BF137" s="746"/>
      <c r="BG137" s="746"/>
      <c r="BH137" s="746"/>
      <c r="BI137" s="746"/>
    </row>
    <row r="138" spans="1:61">
      <c r="A138" s="750"/>
      <c r="B138" s="737"/>
      <c r="C138" s="738"/>
      <c r="D138" s="738"/>
      <c r="E138" s="739">
        <f t="shared" si="22"/>
        <v>0</v>
      </c>
      <c r="F138" s="764"/>
      <c r="G138" s="752"/>
      <c r="H138" s="753"/>
      <c r="I138" s="752"/>
      <c r="J138" s="743"/>
      <c r="K138" s="754"/>
      <c r="L138" s="755">
        <f t="shared" si="21"/>
        <v>0</v>
      </c>
      <c r="M138" s="746"/>
      <c r="N138" s="747" t="e">
        <f t="shared" si="23"/>
        <v>#N/A</v>
      </c>
      <c r="O138" s="941"/>
      <c r="P138" s="942"/>
      <c r="Q138" s="942"/>
      <c r="R138" s="942"/>
      <c r="S138" s="942"/>
      <c r="T138" s="942"/>
      <c r="U138" s="942"/>
      <c r="V138" s="942"/>
      <c r="W138" s="942"/>
      <c r="X138" s="942"/>
      <c r="Y138" s="942"/>
      <c r="Z138" s="942"/>
      <c r="AA138" s="942"/>
      <c r="AB138" s="942"/>
      <c r="AC138" s="942"/>
      <c r="AD138" s="941"/>
      <c r="AE138" s="941"/>
      <c r="AF138" s="749"/>
      <c r="AG138" s="573"/>
      <c r="AH138" s="573"/>
      <c r="AI138" s="573"/>
      <c r="AJ138" s="573"/>
      <c r="AK138" s="573"/>
      <c r="AL138" s="573"/>
      <c r="AM138" s="573"/>
      <c r="AN138" s="573"/>
      <c r="AO138" s="573"/>
      <c r="AP138" s="573"/>
      <c r="AQ138" s="573"/>
      <c r="AR138" s="941"/>
      <c r="AS138" s="746"/>
      <c r="AT138" s="746"/>
      <c r="AU138" s="746"/>
      <c r="AV138" s="746"/>
      <c r="AW138" s="746"/>
      <c r="AX138" s="746"/>
      <c r="AY138" s="746"/>
      <c r="AZ138" s="746"/>
      <c r="BA138" s="746"/>
      <c r="BB138" s="746"/>
      <c r="BC138" s="746"/>
      <c r="BD138" s="746"/>
      <c r="BE138" s="746"/>
      <c r="BF138" s="746"/>
      <c r="BG138" s="746"/>
      <c r="BH138" s="746"/>
      <c r="BI138" s="746"/>
    </row>
    <row r="139" spans="1:61">
      <c r="A139" s="750"/>
      <c r="B139" s="737"/>
      <c r="C139" s="738"/>
      <c r="D139" s="738"/>
      <c r="E139" s="739">
        <f t="shared" si="22"/>
        <v>0</v>
      </c>
      <c r="F139" s="764"/>
      <c r="G139" s="752"/>
      <c r="H139" s="753"/>
      <c r="I139" s="752"/>
      <c r="J139" s="743"/>
      <c r="K139" s="754"/>
      <c r="L139" s="755">
        <f t="shared" si="21"/>
        <v>0</v>
      </c>
      <c r="M139" s="746"/>
      <c r="N139" s="747" t="e">
        <f t="shared" si="23"/>
        <v>#N/A</v>
      </c>
      <c r="O139" s="941"/>
      <c r="P139" s="942"/>
      <c r="Q139" s="942"/>
      <c r="R139" s="942"/>
      <c r="S139" s="942"/>
      <c r="T139" s="942"/>
      <c r="U139" s="942"/>
      <c r="V139" s="942"/>
      <c r="W139" s="942"/>
      <c r="X139" s="942"/>
      <c r="Y139" s="942"/>
      <c r="Z139" s="942"/>
      <c r="AA139" s="942"/>
      <c r="AB139" s="942"/>
      <c r="AC139" s="942"/>
      <c r="AD139" s="941"/>
      <c r="AE139" s="941"/>
      <c r="AF139" s="749"/>
      <c r="AG139" s="573"/>
      <c r="AH139" s="573"/>
      <c r="AI139" s="573"/>
      <c r="AJ139" s="573"/>
      <c r="AK139" s="573"/>
      <c r="AL139" s="573"/>
      <c r="AM139" s="573"/>
      <c r="AN139" s="573"/>
      <c r="AO139" s="573"/>
      <c r="AP139" s="573"/>
      <c r="AQ139" s="573"/>
      <c r="AR139" s="941"/>
      <c r="AS139" s="746"/>
      <c r="AT139" s="746"/>
      <c r="AU139" s="746"/>
      <c r="AV139" s="746"/>
      <c r="AW139" s="746"/>
      <c r="AX139" s="746"/>
      <c r="AY139" s="746"/>
      <c r="AZ139" s="746"/>
      <c r="BA139" s="746"/>
      <c r="BB139" s="746"/>
      <c r="BC139" s="746"/>
      <c r="BD139" s="746"/>
      <c r="BE139" s="746"/>
      <c r="BF139" s="746"/>
      <c r="BG139" s="746"/>
      <c r="BH139" s="746"/>
      <c r="BI139" s="746"/>
    </row>
    <row r="140" spans="1:61">
      <c r="A140" s="750"/>
      <c r="B140" s="737"/>
      <c r="C140" s="738"/>
      <c r="D140" s="738"/>
      <c r="E140" s="739">
        <f t="shared" si="22"/>
        <v>0</v>
      </c>
      <c r="F140" s="764"/>
      <c r="G140" s="752"/>
      <c r="H140" s="753"/>
      <c r="I140" s="752"/>
      <c r="J140" s="743"/>
      <c r="K140" s="754"/>
      <c r="L140" s="755">
        <f t="shared" si="21"/>
        <v>0</v>
      </c>
      <c r="M140" s="746"/>
      <c r="N140" s="747" t="e">
        <f t="shared" si="23"/>
        <v>#N/A</v>
      </c>
      <c r="O140" s="941"/>
      <c r="P140" s="942"/>
      <c r="Q140" s="942"/>
      <c r="R140" s="942"/>
      <c r="S140" s="942"/>
      <c r="T140" s="942"/>
      <c r="U140" s="942"/>
      <c r="V140" s="942"/>
      <c r="W140" s="942"/>
      <c r="X140" s="942"/>
      <c r="Y140" s="942"/>
      <c r="Z140" s="942"/>
      <c r="AA140" s="942"/>
      <c r="AB140" s="942"/>
      <c r="AC140" s="942"/>
      <c r="AD140" s="941"/>
      <c r="AE140" s="941"/>
      <c r="AF140" s="749"/>
      <c r="AG140" s="573"/>
      <c r="AH140" s="573"/>
      <c r="AI140" s="573"/>
      <c r="AJ140" s="573"/>
      <c r="AK140" s="573"/>
      <c r="AL140" s="573"/>
      <c r="AM140" s="573"/>
      <c r="AN140" s="573"/>
      <c r="AO140" s="573"/>
      <c r="AP140" s="573"/>
      <c r="AQ140" s="573"/>
      <c r="AR140" s="941"/>
      <c r="AS140" s="746"/>
      <c r="AT140" s="746"/>
      <c r="AU140" s="746"/>
      <c r="AV140" s="746"/>
      <c r="AW140" s="746"/>
      <c r="AX140" s="746"/>
      <c r="AY140" s="746"/>
      <c r="AZ140" s="746"/>
      <c r="BA140" s="746"/>
      <c r="BB140" s="746"/>
      <c r="BC140" s="746"/>
      <c r="BD140" s="746"/>
      <c r="BE140" s="746"/>
      <c r="BF140" s="746"/>
      <c r="BG140" s="746"/>
      <c r="BH140" s="746"/>
      <c r="BI140" s="746"/>
    </row>
    <row r="141" spans="1:61">
      <c r="A141" s="750"/>
      <c r="B141" s="737"/>
      <c r="C141" s="738"/>
      <c r="D141" s="738"/>
      <c r="E141" s="739">
        <f t="shared" si="22"/>
        <v>0</v>
      </c>
      <c r="F141" s="764"/>
      <c r="G141" s="752"/>
      <c r="H141" s="753"/>
      <c r="I141" s="752"/>
      <c r="J141" s="743"/>
      <c r="K141" s="754"/>
      <c r="L141" s="755">
        <f t="shared" si="21"/>
        <v>0</v>
      </c>
      <c r="M141" s="746"/>
      <c r="N141" s="747" t="e">
        <f t="shared" si="23"/>
        <v>#N/A</v>
      </c>
      <c r="O141" s="941"/>
      <c r="P141" s="942"/>
      <c r="Q141" s="942"/>
      <c r="R141" s="942"/>
      <c r="S141" s="942"/>
      <c r="T141" s="942"/>
      <c r="U141" s="942"/>
      <c r="V141" s="942"/>
      <c r="W141" s="942"/>
      <c r="X141" s="942"/>
      <c r="Y141" s="942"/>
      <c r="Z141" s="942"/>
      <c r="AA141" s="942"/>
      <c r="AB141" s="942"/>
      <c r="AC141" s="942"/>
      <c r="AD141" s="941"/>
      <c r="AE141" s="941"/>
      <c r="AF141" s="799" t="s">
        <v>162</v>
      </c>
      <c r="AK141" s="573"/>
      <c r="AL141" s="573"/>
      <c r="AM141" s="573"/>
      <c r="AN141" s="573"/>
      <c r="AO141" s="573"/>
      <c r="AP141" s="573"/>
      <c r="AQ141" s="573"/>
      <c r="AR141" s="941"/>
      <c r="AS141" s="746"/>
      <c r="AT141" s="746"/>
      <c r="AU141" s="746"/>
      <c r="AV141" s="746"/>
      <c r="AW141" s="746"/>
      <c r="AX141" s="746"/>
      <c r="AY141" s="746"/>
      <c r="AZ141" s="746"/>
      <c r="BA141" s="746"/>
      <c r="BB141" s="746"/>
      <c r="BC141" s="746"/>
      <c r="BD141" s="746"/>
      <c r="BE141" s="746"/>
      <c r="BF141" s="746"/>
      <c r="BG141" s="746"/>
      <c r="BH141" s="746"/>
      <c r="BI141" s="746"/>
    </row>
    <row r="142" spans="1:61">
      <c r="A142" s="750"/>
      <c r="B142" s="737"/>
      <c r="C142" s="738"/>
      <c r="D142" s="738"/>
      <c r="E142" s="739">
        <f t="shared" si="22"/>
        <v>0</v>
      </c>
      <c r="F142" s="875"/>
      <c r="G142" s="752"/>
      <c r="H142" s="753"/>
      <c r="I142" s="752"/>
      <c r="J142" s="743"/>
      <c r="K142" s="754"/>
      <c r="L142" s="755">
        <f t="shared" si="21"/>
        <v>0</v>
      </c>
      <c r="M142" s="746"/>
      <c r="N142" s="747" t="e">
        <f t="shared" si="23"/>
        <v>#N/A</v>
      </c>
      <c r="O142" s="941"/>
      <c r="P142" s="942"/>
      <c r="Q142" s="942"/>
      <c r="R142" s="942"/>
      <c r="S142" s="942"/>
      <c r="T142" s="942"/>
      <c r="U142" s="942"/>
      <c r="V142" s="942"/>
      <c r="W142" s="942"/>
      <c r="X142" s="942"/>
      <c r="Y142" s="942"/>
      <c r="Z142" s="942"/>
      <c r="AA142" s="942"/>
      <c r="AB142" s="942"/>
      <c r="AC142" s="942"/>
      <c r="AD142" s="941"/>
      <c r="AE142" s="941"/>
      <c r="AF142" s="941"/>
      <c r="AG142" s="573"/>
      <c r="AH142" s="573"/>
      <c r="AI142" s="573"/>
      <c r="AJ142" s="573"/>
      <c r="AK142" s="573"/>
      <c r="AL142" s="573"/>
      <c r="AM142" s="573"/>
      <c r="AN142" s="573"/>
      <c r="AO142" s="573"/>
      <c r="AP142" s="573"/>
      <c r="AQ142" s="573"/>
      <c r="AR142" s="941"/>
      <c r="AS142" s="746"/>
      <c r="AT142" s="746"/>
      <c r="AU142" s="746"/>
      <c r="AV142" s="746"/>
      <c r="AW142" s="746"/>
      <c r="AX142" s="746"/>
      <c r="AY142" s="746"/>
      <c r="AZ142" s="746"/>
      <c r="BA142" s="746"/>
      <c r="BB142" s="746"/>
      <c r="BC142" s="746"/>
      <c r="BD142" s="746"/>
      <c r="BE142" s="746"/>
      <c r="BF142" s="746"/>
      <c r="BG142" s="746"/>
      <c r="BH142" s="746"/>
      <c r="BI142" s="746"/>
    </row>
    <row r="143" spans="1:61">
      <c r="A143" s="750"/>
      <c r="B143" s="737"/>
      <c r="C143" s="738"/>
      <c r="D143" s="738"/>
      <c r="E143" s="739">
        <f t="shared" si="22"/>
        <v>0</v>
      </c>
      <c r="F143" s="875"/>
      <c r="G143" s="752"/>
      <c r="H143" s="753"/>
      <c r="I143" s="752"/>
      <c r="J143" s="743"/>
      <c r="K143" s="754"/>
      <c r="L143" s="755">
        <f t="shared" si="21"/>
        <v>0</v>
      </c>
      <c r="M143" s="746"/>
      <c r="N143" s="747" t="e">
        <f t="shared" si="23"/>
        <v>#N/A</v>
      </c>
      <c r="O143" s="941"/>
      <c r="P143" s="942"/>
      <c r="Q143" s="942"/>
      <c r="R143" s="942"/>
      <c r="S143" s="942"/>
      <c r="T143" s="942"/>
      <c r="U143" s="942"/>
      <c r="V143" s="942"/>
      <c r="W143" s="942"/>
      <c r="X143" s="942"/>
      <c r="Y143" s="942"/>
      <c r="Z143" s="942"/>
      <c r="AA143" s="942"/>
      <c r="AB143" s="942"/>
      <c r="AC143" s="942"/>
      <c r="AD143" s="941"/>
      <c r="AE143" s="941"/>
      <c r="AF143" s="941"/>
      <c r="AG143" s="573"/>
      <c r="AH143" s="573"/>
      <c r="AI143" s="573"/>
      <c r="AJ143" s="573"/>
      <c r="AK143" s="573"/>
      <c r="AL143" s="573"/>
      <c r="AM143" s="573"/>
      <c r="AN143" s="573"/>
      <c r="AO143" s="573"/>
      <c r="AP143" s="573"/>
      <c r="AQ143" s="573"/>
      <c r="AR143" s="941"/>
      <c r="AS143" s="746"/>
      <c r="AT143" s="746"/>
      <c r="AU143" s="746"/>
      <c r="AV143" s="746"/>
      <c r="AW143" s="746"/>
      <c r="AX143" s="746"/>
      <c r="AY143" s="746"/>
      <c r="AZ143" s="746"/>
      <c r="BA143" s="746"/>
      <c r="BB143" s="746"/>
      <c r="BC143" s="746"/>
      <c r="BD143" s="746"/>
      <c r="BE143" s="746"/>
      <c r="BF143" s="746"/>
      <c r="BG143" s="746"/>
      <c r="BH143" s="746"/>
      <c r="BI143" s="746"/>
    </row>
    <row r="144" spans="1:61">
      <c r="A144" s="750"/>
      <c r="B144" s="737"/>
      <c r="C144" s="738"/>
      <c r="D144" s="738"/>
      <c r="E144" s="739">
        <f t="shared" si="22"/>
        <v>0</v>
      </c>
      <c r="F144" s="764"/>
      <c r="G144" s="752"/>
      <c r="H144" s="753"/>
      <c r="I144" s="753"/>
      <c r="J144" s="743"/>
      <c r="K144" s="754"/>
      <c r="L144" s="755">
        <f t="shared" si="21"/>
        <v>0</v>
      </c>
      <c r="M144" s="746"/>
      <c r="N144" s="747" t="e">
        <f t="shared" si="23"/>
        <v>#N/A</v>
      </c>
      <c r="O144" s="941"/>
      <c r="P144" s="942"/>
      <c r="Q144" s="942"/>
      <c r="R144" s="942"/>
      <c r="S144" s="942"/>
      <c r="T144" s="942"/>
      <c r="U144" s="942"/>
      <c r="V144" s="942"/>
      <c r="W144" s="942"/>
      <c r="X144" s="942"/>
      <c r="Y144" s="942"/>
      <c r="Z144" s="942"/>
      <c r="AA144" s="942"/>
      <c r="AB144" s="942"/>
      <c r="AC144" s="942"/>
      <c r="AD144" s="941"/>
      <c r="AE144" s="941"/>
      <c r="AF144" s="941"/>
      <c r="AG144" s="573"/>
      <c r="AH144" s="573"/>
      <c r="AI144" s="573"/>
      <c r="AJ144" s="573"/>
      <c r="AK144" s="573"/>
      <c r="AL144" s="573"/>
      <c r="AM144" s="573"/>
      <c r="AN144" s="573"/>
      <c r="AO144" s="573"/>
      <c r="AP144" s="573"/>
      <c r="AQ144" s="573"/>
      <c r="AR144" s="941"/>
      <c r="AS144" s="746"/>
      <c r="AT144" s="746"/>
      <c r="AU144" s="746"/>
      <c r="AV144" s="746"/>
      <c r="AW144" s="746"/>
      <c r="AX144" s="746"/>
      <c r="AY144" s="746"/>
      <c r="AZ144" s="746"/>
      <c r="BA144" s="746"/>
      <c r="BB144" s="746"/>
      <c r="BC144" s="746"/>
      <c r="BD144" s="746"/>
      <c r="BE144" s="746"/>
      <c r="BF144" s="746"/>
      <c r="BG144" s="746"/>
      <c r="BH144" s="746"/>
      <c r="BI144" s="746"/>
    </row>
    <row r="145" spans="1:61">
      <c r="A145" s="750"/>
      <c r="B145" s="737"/>
      <c r="C145" s="738"/>
      <c r="D145" s="738"/>
      <c r="E145" s="739">
        <f t="shared" si="22"/>
        <v>0</v>
      </c>
      <c r="F145" s="764"/>
      <c r="G145" s="752"/>
      <c r="H145" s="753"/>
      <c r="I145" s="753"/>
      <c r="J145" s="743"/>
      <c r="K145" s="754"/>
      <c r="L145" s="755">
        <f t="shared" si="21"/>
        <v>0</v>
      </c>
      <c r="M145" s="746"/>
      <c r="N145" s="747" t="e">
        <f t="shared" si="23"/>
        <v>#N/A</v>
      </c>
      <c r="O145" s="941"/>
      <c r="P145" s="942"/>
      <c r="Q145" s="942"/>
      <c r="R145" s="942"/>
      <c r="S145" s="942"/>
      <c r="T145" s="942"/>
      <c r="U145" s="942"/>
      <c r="V145" s="942"/>
      <c r="W145" s="942"/>
      <c r="X145" s="942"/>
      <c r="Y145" s="942"/>
      <c r="Z145" s="942"/>
      <c r="AA145" s="942"/>
      <c r="AB145" s="942"/>
      <c r="AC145" s="942"/>
      <c r="AD145" s="941"/>
      <c r="AE145" s="941"/>
      <c r="AF145" s="941"/>
      <c r="AG145" s="573"/>
      <c r="AH145" s="573"/>
      <c r="AI145" s="573"/>
      <c r="AJ145" s="573"/>
      <c r="AK145" s="573"/>
      <c r="AL145" s="573"/>
      <c r="AM145" s="573"/>
      <c r="AN145" s="573"/>
      <c r="AO145" s="573"/>
      <c r="AP145" s="573"/>
      <c r="AQ145" s="573"/>
      <c r="AR145" s="941"/>
      <c r="AS145" s="746"/>
      <c r="AT145" s="746"/>
      <c r="AU145" s="746"/>
      <c r="AV145" s="746"/>
      <c r="AW145" s="746"/>
      <c r="AX145" s="746"/>
      <c r="AY145" s="746"/>
      <c r="AZ145" s="746"/>
      <c r="BA145" s="746"/>
      <c r="BB145" s="746"/>
      <c r="BC145" s="746"/>
      <c r="BD145" s="746"/>
      <c r="BE145" s="746"/>
      <c r="BF145" s="746"/>
      <c r="BG145" s="746"/>
      <c r="BH145" s="746"/>
      <c r="BI145" s="746"/>
    </row>
    <row r="146" spans="1:61">
      <c r="A146" s="750"/>
      <c r="B146" s="737"/>
      <c r="C146" s="738"/>
      <c r="D146" s="738"/>
      <c r="E146" s="739">
        <f t="shared" si="22"/>
        <v>0</v>
      </c>
      <c r="F146" s="764"/>
      <c r="G146" s="752"/>
      <c r="H146" s="753"/>
      <c r="I146" s="753"/>
      <c r="J146" s="743"/>
      <c r="K146" s="754"/>
      <c r="L146" s="755">
        <f t="shared" si="21"/>
        <v>0</v>
      </c>
      <c r="M146" s="746"/>
      <c r="N146" s="747" t="e">
        <f t="shared" si="23"/>
        <v>#N/A</v>
      </c>
      <c r="O146" s="941"/>
      <c r="P146" s="942"/>
      <c r="Q146" s="942"/>
      <c r="R146" s="942"/>
      <c r="S146" s="942"/>
      <c r="T146" s="942"/>
      <c r="U146" s="942"/>
      <c r="V146" s="942"/>
      <c r="W146" s="942"/>
      <c r="X146" s="942"/>
      <c r="Y146" s="942"/>
      <c r="Z146" s="942"/>
      <c r="AA146" s="942"/>
      <c r="AB146" s="942"/>
      <c r="AC146" s="942"/>
      <c r="AD146" s="941"/>
      <c r="AE146" s="941"/>
      <c r="AF146" s="941"/>
      <c r="AG146" s="573"/>
      <c r="AH146" s="573"/>
      <c r="AI146" s="573"/>
      <c r="AJ146" s="573"/>
      <c r="AK146" s="573"/>
      <c r="AL146" s="573"/>
      <c r="AM146" s="573"/>
      <c r="AN146" s="573"/>
      <c r="AO146" s="573"/>
      <c r="AP146" s="573"/>
      <c r="AQ146" s="573"/>
      <c r="AR146" s="941"/>
      <c r="AS146" s="746"/>
      <c r="AT146" s="746"/>
      <c r="AU146" s="746"/>
      <c r="AV146" s="746"/>
      <c r="AW146" s="746"/>
      <c r="AX146" s="746"/>
      <c r="AY146" s="746"/>
      <c r="AZ146" s="746"/>
      <c r="BA146" s="746"/>
      <c r="BB146" s="746"/>
      <c r="BC146" s="746"/>
      <c r="BD146" s="746"/>
      <c r="BE146" s="746"/>
      <c r="BF146" s="746"/>
      <c r="BG146" s="746"/>
      <c r="BH146" s="746"/>
      <c r="BI146" s="746"/>
    </row>
    <row r="147" spans="1:61">
      <c r="A147" s="750"/>
      <c r="B147" s="737"/>
      <c r="C147" s="738"/>
      <c r="D147" s="739">
        <f>SUMIF(AG:AG,A147,AJ:AJ)</f>
        <v>0</v>
      </c>
      <c r="E147" s="739">
        <f t="shared" si="22"/>
        <v>0</v>
      </c>
      <c r="F147" s="764"/>
      <c r="G147" s="752"/>
      <c r="H147" s="753"/>
      <c r="I147" s="753"/>
      <c r="J147" s="743"/>
      <c r="K147" s="754"/>
      <c r="L147" s="755">
        <f t="shared" si="21"/>
        <v>0</v>
      </c>
      <c r="M147" s="746"/>
      <c r="N147" s="747" t="e">
        <f t="shared" si="23"/>
        <v>#N/A</v>
      </c>
      <c r="AQ147" s="573"/>
      <c r="AS147" s="746"/>
      <c r="AT147" s="746"/>
      <c r="AU147" s="746"/>
      <c r="AV147" s="746"/>
      <c r="AW147" s="746"/>
      <c r="AX147" s="746"/>
      <c r="AY147" s="746"/>
      <c r="AZ147" s="746"/>
      <c r="BA147" s="746"/>
      <c r="BB147" s="746"/>
      <c r="BC147" s="746"/>
      <c r="BD147" s="746"/>
      <c r="BE147" s="746"/>
      <c r="BF147" s="746"/>
      <c r="BG147" s="746"/>
      <c r="BH147" s="746"/>
      <c r="BI147" s="746"/>
    </row>
    <row r="148" spans="1:61">
      <c r="A148" s="750"/>
      <c r="B148" s="737"/>
      <c r="C148" s="738"/>
      <c r="D148" s="739">
        <f>SUMIF(AG:AG,A148,AJ:AJ)</f>
        <v>0</v>
      </c>
      <c r="E148" s="739">
        <f t="shared" si="22"/>
        <v>0</v>
      </c>
      <c r="F148" s="764"/>
      <c r="G148" s="752"/>
      <c r="H148" s="753"/>
      <c r="I148" s="753"/>
      <c r="J148" s="743"/>
      <c r="K148" s="754"/>
      <c r="L148" s="755">
        <f t="shared" si="21"/>
        <v>0</v>
      </c>
      <c r="M148" s="746"/>
      <c r="N148" s="747" t="e">
        <f t="shared" si="23"/>
        <v>#N/A</v>
      </c>
      <c r="AQ148" s="573"/>
      <c r="AS148" s="746"/>
      <c r="AT148" s="746"/>
      <c r="AU148" s="746"/>
      <c r="AV148" s="746"/>
      <c r="AW148" s="746"/>
      <c r="AX148" s="746"/>
      <c r="AY148" s="746"/>
      <c r="AZ148" s="746"/>
      <c r="BA148" s="746"/>
      <c r="BB148" s="746"/>
      <c r="BC148" s="746"/>
      <c r="BD148" s="746"/>
      <c r="BE148" s="746"/>
      <c r="BF148" s="746"/>
      <c r="BG148" s="746"/>
      <c r="BH148" s="746"/>
      <c r="BI148" s="746"/>
    </row>
    <row r="149" spans="1:61">
      <c r="A149" s="750"/>
      <c r="B149" s="737"/>
      <c r="C149" s="738"/>
      <c r="D149" s="738"/>
      <c r="E149" s="739">
        <f t="shared" si="22"/>
        <v>0</v>
      </c>
      <c r="F149" s="764"/>
      <c r="G149" s="752"/>
      <c r="H149" s="753"/>
      <c r="I149" s="753"/>
      <c r="J149" s="743"/>
      <c r="K149" s="754"/>
      <c r="L149" s="755">
        <f t="shared" si="21"/>
        <v>0</v>
      </c>
      <c r="M149" s="746"/>
      <c r="N149" s="747" t="e">
        <f t="shared" si="23"/>
        <v>#N/A</v>
      </c>
      <c r="AQ149" s="573"/>
      <c r="AS149" s="746"/>
      <c r="AT149" s="746"/>
      <c r="AU149" s="746"/>
      <c r="AV149" s="746"/>
      <c r="AW149" s="746"/>
      <c r="AX149" s="746"/>
      <c r="AY149" s="746"/>
      <c r="AZ149" s="746"/>
      <c r="BA149" s="746"/>
      <c r="BB149" s="746"/>
      <c r="BC149" s="746"/>
      <c r="BD149" s="746"/>
      <c r="BE149" s="746"/>
      <c r="BF149" s="746"/>
      <c r="BG149" s="746"/>
      <c r="BH149" s="746"/>
      <c r="BI149" s="746"/>
    </row>
    <row r="150" spans="1:61">
      <c r="A150" s="750"/>
      <c r="B150" s="737"/>
      <c r="C150" s="738"/>
      <c r="D150" s="738"/>
      <c r="E150" s="739">
        <f t="shared" si="22"/>
        <v>0</v>
      </c>
      <c r="F150" s="764"/>
      <c r="G150" s="752"/>
      <c r="H150" s="753"/>
      <c r="I150" s="753"/>
      <c r="J150" s="743"/>
      <c r="K150" s="754"/>
      <c r="L150" s="755">
        <f t="shared" si="21"/>
        <v>0</v>
      </c>
      <c r="M150" s="746"/>
      <c r="N150" s="747" t="e">
        <f t="shared" si="23"/>
        <v>#N/A</v>
      </c>
      <c r="AQ150" s="573"/>
      <c r="AS150" s="746"/>
      <c r="AT150" s="746"/>
      <c r="AU150" s="746"/>
      <c r="AV150" s="746"/>
      <c r="AW150" s="746"/>
      <c r="AX150" s="746"/>
      <c r="AY150" s="746"/>
      <c r="AZ150" s="746"/>
      <c r="BA150" s="746"/>
      <c r="BB150" s="746"/>
      <c r="BC150" s="746"/>
      <c r="BD150" s="746"/>
      <c r="BE150" s="746"/>
      <c r="BF150" s="746"/>
      <c r="BG150" s="746"/>
      <c r="BH150" s="746"/>
      <c r="BI150" s="746"/>
    </row>
    <row r="151" spans="1:61">
      <c r="A151" s="750"/>
      <c r="B151" s="737"/>
      <c r="C151" s="738"/>
      <c r="D151" s="738"/>
      <c r="E151" s="739">
        <f t="shared" si="22"/>
        <v>0</v>
      </c>
      <c r="F151" s="764"/>
      <c r="G151" s="752"/>
      <c r="H151" s="753"/>
      <c r="I151" s="753"/>
      <c r="J151" s="743"/>
      <c r="K151" s="754"/>
      <c r="L151" s="755">
        <f t="shared" si="21"/>
        <v>0</v>
      </c>
      <c r="M151" s="746"/>
      <c r="N151" s="747" t="e">
        <f t="shared" si="23"/>
        <v>#N/A</v>
      </c>
      <c r="AQ151" s="573"/>
      <c r="AS151" s="746"/>
      <c r="AT151" s="746"/>
      <c r="AU151" s="746"/>
      <c r="AV151" s="746"/>
      <c r="AW151" s="746"/>
      <c r="AX151" s="746"/>
      <c r="AY151" s="746"/>
      <c r="AZ151" s="746"/>
      <c r="BA151" s="746"/>
      <c r="BB151" s="746"/>
      <c r="BC151" s="746"/>
      <c r="BD151" s="746"/>
      <c r="BE151" s="746"/>
      <c r="BF151" s="746"/>
      <c r="BG151" s="746"/>
      <c r="BH151" s="746"/>
      <c r="BI151" s="746"/>
    </row>
    <row r="152" spans="1:61">
      <c r="A152" s="750"/>
      <c r="B152" s="737"/>
      <c r="C152" s="738"/>
      <c r="D152" s="738"/>
      <c r="E152" s="739">
        <f t="shared" si="22"/>
        <v>0</v>
      </c>
      <c r="F152" s="764"/>
      <c r="G152" s="752"/>
      <c r="H152" s="753"/>
      <c r="I152" s="753"/>
      <c r="J152" s="743"/>
      <c r="K152" s="754"/>
      <c r="L152" s="755">
        <f t="shared" si="21"/>
        <v>0</v>
      </c>
      <c r="M152" s="746"/>
      <c r="N152" s="747" t="e">
        <f t="shared" si="23"/>
        <v>#N/A</v>
      </c>
      <c r="AQ152" s="573"/>
      <c r="AS152" s="746"/>
      <c r="AT152" s="746"/>
      <c r="AU152" s="746"/>
      <c r="AV152" s="746"/>
      <c r="AW152" s="746"/>
      <c r="AX152" s="746"/>
      <c r="AY152" s="746"/>
      <c r="AZ152" s="746"/>
      <c r="BA152" s="746"/>
      <c r="BB152" s="746"/>
      <c r="BC152" s="746"/>
      <c r="BD152" s="746"/>
      <c r="BE152" s="746"/>
      <c r="BF152" s="746"/>
      <c r="BG152" s="746"/>
      <c r="BH152" s="746"/>
      <c r="BI152" s="746"/>
    </row>
    <row r="153" spans="1:61">
      <c r="A153" s="750"/>
      <c r="B153" s="737"/>
      <c r="C153" s="738"/>
      <c r="D153" s="738"/>
      <c r="E153" s="739">
        <f t="shared" si="22"/>
        <v>0</v>
      </c>
      <c r="F153" s="764"/>
      <c r="G153" s="752"/>
      <c r="H153" s="753"/>
      <c r="I153" s="753"/>
      <c r="J153" s="743"/>
      <c r="K153" s="754"/>
      <c r="L153" s="755">
        <f t="shared" si="21"/>
        <v>0</v>
      </c>
      <c r="M153" s="746"/>
      <c r="N153" s="747" t="e">
        <f t="shared" si="23"/>
        <v>#N/A</v>
      </c>
      <c r="AQ153" s="573"/>
      <c r="AS153" s="746"/>
      <c r="AT153" s="746"/>
      <c r="AU153" s="746"/>
      <c r="AV153" s="746"/>
      <c r="AW153" s="746"/>
      <c r="AX153" s="746"/>
      <c r="AY153" s="746"/>
      <c r="AZ153" s="746"/>
      <c r="BA153" s="746"/>
      <c r="BB153" s="746"/>
      <c r="BC153" s="746"/>
      <c r="BD153" s="746"/>
      <c r="BE153" s="746"/>
      <c r="BF153" s="746"/>
      <c r="BG153" s="746"/>
      <c r="BH153" s="746"/>
      <c r="BI153" s="746"/>
    </row>
    <row r="154" spans="1:61">
      <c r="A154" s="750"/>
      <c r="B154" s="737"/>
      <c r="C154" s="738"/>
      <c r="D154" s="738"/>
      <c r="E154" s="739">
        <f t="shared" si="22"/>
        <v>0</v>
      </c>
      <c r="F154" s="764"/>
      <c r="G154" s="752"/>
      <c r="H154" s="753"/>
      <c r="I154" s="753"/>
      <c r="J154" s="743"/>
      <c r="K154" s="754"/>
      <c r="L154" s="755">
        <f t="shared" si="21"/>
        <v>0</v>
      </c>
      <c r="M154" s="746"/>
      <c r="N154" s="747" t="e">
        <f t="shared" si="23"/>
        <v>#N/A</v>
      </c>
      <c r="AQ154" s="573"/>
      <c r="AS154" s="746"/>
      <c r="AT154" s="746"/>
      <c r="AU154" s="746"/>
      <c r="AV154" s="746"/>
      <c r="AW154" s="746"/>
      <c r="AX154" s="746"/>
      <c r="AY154" s="746"/>
      <c r="AZ154" s="746"/>
      <c r="BA154" s="746"/>
      <c r="BB154" s="746"/>
      <c r="BC154" s="746"/>
      <c r="BD154" s="746"/>
      <c r="BE154" s="746"/>
      <c r="BF154" s="746"/>
      <c r="BG154" s="746"/>
      <c r="BH154" s="746"/>
      <c r="BI154" s="746"/>
    </row>
    <row r="155" spans="1:61">
      <c r="A155" s="750"/>
      <c r="B155" s="737"/>
      <c r="C155" s="738"/>
      <c r="D155" s="738"/>
      <c r="E155" s="739">
        <f t="shared" si="22"/>
        <v>0</v>
      </c>
      <c r="F155" s="764"/>
      <c r="G155" s="752"/>
      <c r="H155" s="753"/>
      <c r="I155" s="753"/>
      <c r="J155" s="743"/>
      <c r="K155" s="754"/>
      <c r="L155" s="755">
        <f t="shared" si="21"/>
        <v>0</v>
      </c>
      <c r="M155" s="746"/>
      <c r="N155" s="747" t="e">
        <f t="shared" si="23"/>
        <v>#N/A</v>
      </c>
      <c r="AQ155" s="573"/>
      <c r="AS155" s="746"/>
      <c r="AT155" s="746"/>
      <c r="AU155" s="746"/>
      <c r="AV155" s="746"/>
      <c r="AW155" s="746"/>
      <c r="AX155" s="746"/>
      <c r="AY155" s="746"/>
      <c r="AZ155" s="746"/>
      <c r="BA155" s="746"/>
      <c r="BB155" s="746"/>
      <c r="BC155" s="746"/>
      <c r="BD155" s="746"/>
      <c r="BE155" s="746"/>
      <c r="BF155" s="746"/>
      <c r="BG155" s="746"/>
      <c r="BH155" s="746"/>
      <c r="BI155" s="746"/>
    </row>
    <row r="156" spans="1:61">
      <c r="A156" s="750"/>
      <c r="B156" s="737"/>
      <c r="C156" s="738"/>
      <c r="D156" s="738"/>
      <c r="E156" s="739">
        <f t="shared" si="22"/>
        <v>0</v>
      </c>
      <c r="F156" s="764"/>
      <c r="G156" s="752"/>
      <c r="H156" s="753"/>
      <c r="I156" s="753"/>
      <c r="J156" s="743"/>
      <c r="K156" s="754"/>
      <c r="L156" s="755">
        <f t="shared" si="21"/>
        <v>0</v>
      </c>
      <c r="M156" s="746"/>
      <c r="N156" s="747" t="e">
        <f t="shared" si="23"/>
        <v>#N/A</v>
      </c>
      <c r="AQ156" s="573"/>
      <c r="AS156" s="746"/>
      <c r="AT156" s="746"/>
      <c r="AU156" s="746"/>
      <c r="AV156" s="746"/>
      <c r="AW156" s="746"/>
      <c r="AX156" s="746"/>
      <c r="AY156" s="746"/>
      <c r="AZ156" s="746"/>
      <c r="BA156" s="746"/>
      <c r="BB156" s="746"/>
      <c r="BC156" s="746"/>
      <c r="BD156" s="746"/>
      <c r="BE156" s="746"/>
      <c r="BF156" s="746"/>
      <c r="BG156" s="746"/>
      <c r="BH156" s="746"/>
      <c r="BI156" s="746"/>
    </row>
    <row r="157" spans="1:61">
      <c r="A157" s="750"/>
      <c r="B157" s="737"/>
      <c r="C157" s="738"/>
      <c r="D157" s="738"/>
      <c r="E157" s="739">
        <f t="shared" si="22"/>
        <v>0</v>
      </c>
      <c r="F157" s="764"/>
      <c r="G157" s="752"/>
      <c r="H157" s="753"/>
      <c r="I157" s="753"/>
      <c r="J157" s="743"/>
      <c r="K157" s="754"/>
      <c r="L157" s="755">
        <f t="shared" si="21"/>
        <v>0</v>
      </c>
      <c r="M157" s="746"/>
      <c r="N157" s="747" t="e">
        <f t="shared" si="23"/>
        <v>#N/A</v>
      </c>
      <c r="AQ157" s="573"/>
      <c r="AS157" s="746"/>
      <c r="AT157" s="746"/>
      <c r="AU157" s="746"/>
      <c r="AV157" s="746"/>
      <c r="AW157" s="746"/>
      <c r="AX157" s="746"/>
      <c r="AY157" s="746"/>
      <c r="AZ157" s="746"/>
      <c r="BA157" s="746"/>
      <c r="BB157" s="746"/>
      <c r="BC157" s="746"/>
      <c r="BD157" s="746"/>
      <c r="BE157" s="746"/>
      <c r="BF157" s="746"/>
      <c r="BG157" s="746"/>
      <c r="BH157" s="746"/>
      <c r="BI157" s="746"/>
    </row>
    <row r="158" spans="1:61">
      <c r="A158" s="750"/>
      <c r="B158" s="737"/>
      <c r="C158" s="738"/>
      <c r="D158" s="738"/>
      <c r="E158" s="739">
        <f t="shared" si="22"/>
        <v>0</v>
      </c>
      <c r="F158" s="764"/>
      <c r="G158" s="752"/>
      <c r="H158" s="753"/>
      <c r="I158" s="753"/>
      <c r="J158" s="743"/>
      <c r="K158" s="754"/>
      <c r="L158" s="755">
        <f t="shared" si="21"/>
        <v>0</v>
      </c>
      <c r="M158" s="746"/>
      <c r="N158" s="747" t="e">
        <f t="shared" si="23"/>
        <v>#N/A</v>
      </c>
      <c r="AS158" s="746"/>
      <c r="AT158" s="746"/>
      <c r="AU158" s="746"/>
      <c r="AV158" s="746"/>
      <c r="AW158" s="746"/>
      <c r="AX158" s="746"/>
      <c r="AY158" s="746"/>
      <c r="AZ158" s="746"/>
      <c r="BA158" s="746"/>
      <c r="BB158" s="746"/>
      <c r="BC158" s="746"/>
      <c r="BD158" s="746"/>
      <c r="BE158" s="746"/>
      <c r="BF158" s="746"/>
      <c r="BG158" s="746"/>
      <c r="BH158" s="746"/>
      <c r="BI158" s="746"/>
    </row>
    <row r="159" spans="1:61">
      <c r="A159" s="750"/>
      <c r="B159" s="737"/>
      <c r="C159" s="738"/>
      <c r="D159" s="738"/>
      <c r="E159" s="739">
        <f t="shared" si="22"/>
        <v>0</v>
      </c>
      <c r="F159" s="764"/>
      <c r="G159" s="752"/>
      <c r="H159" s="753"/>
      <c r="I159" s="753"/>
      <c r="J159" s="743"/>
      <c r="K159" s="754"/>
      <c r="L159" s="755">
        <f t="shared" si="21"/>
        <v>0</v>
      </c>
      <c r="M159" s="746"/>
      <c r="N159" s="747" t="e">
        <f t="shared" si="23"/>
        <v>#N/A</v>
      </c>
      <c r="AS159" s="746"/>
      <c r="AT159" s="746"/>
      <c r="AU159" s="746"/>
      <c r="AV159" s="746"/>
      <c r="AW159" s="746"/>
      <c r="AX159" s="746"/>
      <c r="AY159" s="746"/>
      <c r="AZ159" s="746"/>
      <c r="BA159" s="746"/>
      <c r="BB159" s="746"/>
      <c r="BC159" s="746"/>
      <c r="BD159" s="746"/>
      <c r="BE159" s="746"/>
      <c r="BF159" s="746"/>
      <c r="BG159" s="746"/>
      <c r="BH159" s="746"/>
      <c r="BI159" s="746"/>
    </row>
    <row r="160" spans="1:61">
      <c r="A160" s="750"/>
      <c r="B160" s="737"/>
      <c r="C160" s="738"/>
      <c r="D160" s="738"/>
      <c r="E160" s="739">
        <f t="shared" si="22"/>
        <v>0</v>
      </c>
      <c r="F160" s="764"/>
      <c r="G160" s="752"/>
      <c r="H160" s="753"/>
      <c r="I160" s="753"/>
      <c r="J160" s="743"/>
      <c r="K160" s="754"/>
      <c r="L160" s="755">
        <f t="shared" si="21"/>
        <v>0</v>
      </c>
      <c r="M160" s="746"/>
      <c r="N160" s="747" t="e">
        <f t="shared" si="23"/>
        <v>#N/A</v>
      </c>
      <c r="AS160" s="746"/>
      <c r="AT160" s="746"/>
      <c r="AU160" s="746"/>
      <c r="AV160" s="746"/>
      <c r="AW160" s="746"/>
      <c r="AX160" s="746"/>
      <c r="AY160" s="746"/>
      <c r="AZ160" s="746"/>
      <c r="BA160" s="746"/>
      <c r="BB160" s="746"/>
      <c r="BC160" s="746"/>
      <c r="BD160" s="746"/>
      <c r="BE160" s="746"/>
      <c r="BF160" s="746"/>
      <c r="BG160" s="746"/>
      <c r="BH160" s="746"/>
      <c r="BI160" s="746"/>
    </row>
    <row r="161" spans="1:61">
      <c r="A161" s="750"/>
      <c r="B161" s="737"/>
      <c r="C161" s="738"/>
      <c r="D161" s="738"/>
      <c r="E161" s="739">
        <f t="shared" si="22"/>
        <v>0</v>
      </c>
      <c r="F161" s="764"/>
      <c r="G161" s="752"/>
      <c r="H161" s="753"/>
      <c r="I161" s="753"/>
      <c r="J161" s="743"/>
      <c r="K161" s="754"/>
      <c r="L161" s="755">
        <f t="shared" si="21"/>
        <v>0</v>
      </c>
      <c r="M161" s="746"/>
      <c r="N161" s="747" t="e">
        <f t="shared" si="23"/>
        <v>#N/A</v>
      </c>
      <c r="AS161" s="746"/>
      <c r="AT161" s="746"/>
      <c r="AU161" s="746"/>
      <c r="AV161" s="746"/>
      <c r="AW161" s="746"/>
      <c r="AX161" s="746"/>
      <c r="AY161" s="746"/>
      <c r="AZ161" s="746"/>
      <c r="BA161" s="746"/>
      <c r="BB161" s="746"/>
      <c r="BC161" s="746"/>
      <c r="BD161" s="746"/>
      <c r="BE161" s="746"/>
      <c r="BF161" s="746"/>
      <c r="BG161" s="746"/>
      <c r="BH161" s="746"/>
      <c r="BI161" s="746"/>
    </row>
    <row r="162" spans="1:61">
      <c r="A162" s="750"/>
      <c r="B162" s="737"/>
      <c r="C162" s="738"/>
      <c r="D162" s="738"/>
      <c r="E162" s="739">
        <f t="shared" si="22"/>
        <v>0</v>
      </c>
      <c r="F162" s="764"/>
      <c r="G162" s="752"/>
      <c r="H162" s="753"/>
      <c r="I162" s="753"/>
      <c r="J162" s="743"/>
      <c r="K162" s="754"/>
      <c r="L162" s="755">
        <f t="shared" si="21"/>
        <v>0</v>
      </c>
      <c r="M162" s="746"/>
      <c r="N162" s="747" t="e">
        <f t="shared" si="23"/>
        <v>#N/A</v>
      </c>
      <c r="AS162" s="746"/>
      <c r="AT162" s="746"/>
      <c r="AU162" s="746"/>
      <c r="AV162" s="746"/>
      <c r="AW162" s="746"/>
      <c r="AX162" s="746"/>
      <c r="AY162" s="746"/>
      <c r="AZ162" s="746"/>
      <c r="BA162" s="746"/>
      <c r="BB162" s="746"/>
      <c r="BC162" s="746"/>
      <c r="BD162" s="746"/>
      <c r="BE162" s="746"/>
      <c r="BF162" s="746"/>
      <c r="BG162" s="746"/>
      <c r="BH162" s="746"/>
      <c r="BI162" s="746"/>
    </row>
    <row r="163" spans="1:61">
      <c r="A163" s="750"/>
      <c r="B163" s="737"/>
      <c r="C163" s="738"/>
      <c r="D163" s="738"/>
      <c r="E163" s="739">
        <f t="shared" si="22"/>
        <v>0</v>
      </c>
      <c r="F163" s="764"/>
      <c r="G163" s="752"/>
      <c r="H163" s="753"/>
      <c r="I163" s="753"/>
      <c r="J163" s="743"/>
      <c r="K163" s="754"/>
      <c r="L163" s="755">
        <f t="shared" si="21"/>
        <v>0</v>
      </c>
      <c r="M163" s="746"/>
      <c r="N163" s="747" t="e">
        <f t="shared" si="23"/>
        <v>#N/A</v>
      </c>
      <c r="AS163" s="746"/>
      <c r="AT163" s="746"/>
      <c r="AU163" s="746"/>
      <c r="AV163" s="746"/>
      <c r="AW163" s="746"/>
      <c r="AX163" s="746"/>
      <c r="AY163" s="746"/>
      <c r="AZ163" s="746"/>
      <c r="BA163" s="746"/>
      <c r="BB163" s="746"/>
      <c r="BC163" s="746"/>
      <c r="BD163" s="746"/>
      <c r="BE163" s="746"/>
      <c r="BF163" s="746"/>
      <c r="BG163" s="746"/>
      <c r="BH163" s="746"/>
      <c r="BI163" s="746"/>
    </row>
    <row r="164" spans="1:61">
      <c r="A164" s="750"/>
      <c r="B164" s="737"/>
      <c r="C164" s="738"/>
      <c r="D164" s="738"/>
      <c r="E164" s="739">
        <f t="shared" si="22"/>
        <v>0</v>
      </c>
      <c r="F164" s="764"/>
      <c r="G164" s="752"/>
      <c r="H164" s="753"/>
      <c r="I164" s="753"/>
      <c r="J164" s="743"/>
      <c r="K164" s="754"/>
      <c r="L164" s="755">
        <f t="shared" si="21"/>
        <v>0</v>
      </c>
      <c r="M164" s="746"/>
      <c r="N164" s="747" t="e">
        <f t="shared" si="23"/>
        <v>#N/A</v>
      </c>
      <c r="AS164" s="746"/>
      <c r="AT164" s="746"/>
      <c r="AU164" s="746"/>
      <c r="AV164" s="746"/>
      <c r="AW164" s="746"/>
      <c r="AX164" s="746"/>
      <c r="AY164" s="746"/>
      <c r="AZ164" s="746"/>
      <c r="BA164" s="746"/>
      <c r="BB164" s="746"/>
      <c r="BC164" s="746"/>
      <c r="BD164" s="746"/>
      <c r="BE164" s="746"/>
      <c r="BF164" s="746"/>
      <c r="BG164" s="746"/>
      <c r="BH164" s="746"/>
      <c r="BI164" s="746"/>
    </row>
    <row r="165" spans="1:61">
      <c r="A165" s="750"/>
      <c r="B165" s="737"/>
      <c r="C165" s="738"/>
      <c r="D165" s="738"/>
      <c r="E165" s="739">
        <f t="shared" si="22"/>
        <v>0</v>
      </c>
      <c r="F165" s="764"/>
      <c r="G165" s="752"/>
      <c r="H165" s="753"/>
      <c r="I165" s="753"/>
      <c r="J165" s="743"/>
      <c r="K165" s="754"/>
      <c r="L165" s="755">
        <f t="shared" si="21"/>
        <v>0</v>
      </c>
      <c r="M165" s="746"/>
      <c r="N165" s="747" t="e">
        <f t="shared" si="23"/>
        <v>#N/A</v>
      </c>
      <c r="AS165" s="746"/>
      <c r="AT165" s="746"/>
      <c r="AU165" s="746"/>
      <c r="AV165" s="746"/>
      <c r="AW165" s="746"/>
      <c r="AX165" s="746"/>
      <c r="AY165" s="746"/>
      <c r="AZ165" s="746"/>
      <c r="BA165" s="746"/>
      <c r="BB165" s="746"/>
      <c r="BC165" s="746"/>
      <c r="BD165" s="746"/>
      <c r="BE165" s="746"/>
      <c r="BF165" s="746"/>
      <c r="BG165" s="746"/>
      <c r="BH165" s="746"/>
      <c r="BI165" s="746"/>
    </row>
    <row r="166" spans="1:61">
      <c r="A166" s="750"/>
      <c r="B166" s="737"/>
      <c r="C166" s="738"/>
      <c r="D166" s="738"/>
      <c r="E166" s="739">
        <f t="shared" si="22"/>
        <v>0</v>
      </c>
      <c r="F166" s="764"/>
      <c r="G166" s="752"/>
      <c r="H166" s="753"/>
      <c r="I166" s="753"/>
      <c r="J166" s="743"/>
      <c r="K166" s="754"/>
      <c r="L166" s="755">
        <f t="shared" si="21"/>
        <v>0</v>
      </c>
      <c r="M166" s="746"/>
      <c r="N166" s="747" t="e">
        <f t="shared" si="23"/>
        <v>#N/A</v>
      </c>
      <c r="AS166" s="746"/>
      <c r="AT166" s="746"/>
      <c r="AU166" s="746"/>
      <c r="AV166" s="746"/>
      <c r="AW166" s="746"/>
      <c r="AX166" s="746"/>
      <c r="AY166" s="746"/>
      <c r="AZ166" s="746"/>
      <c r="BA166" s="746"/>
      <c r="BB166" s="746"/>
      <c r="BC166" s="746"/>
      <c r="BD166" s="746"/>
      <c r="BE166" s="746"/>
      <c r="BF166" s="746"/>
      <c r="BG166" s="746"/>
      <c r="BH166" s="746"/>
      <c r="BI166" s="746"/>
    </row>
    <row r="167" spans="1:61">
      <c r="A167" s="750"/>
      <c r="B167" s="737"/>
      <c r="C167" s="738"/>
      <c r="D167" s="738"/>
      <c r="E167" s="739">
        <f t="shared" si="22"/>
        <v>0</v>
      </c>
      <c r="F167" s="764"/>
      <c r="G167" s="752"/>
      <c r="H167" s="753"/>
      <c r="I167" s="753"/>
      <c r="J167" s="743"/>
      <c r="K167" s="754"/>
      <c r="L167" s="755">
        <f t="shared" si="21"/>
        <v>0</v>
      </c>
      <c r="M167" s="746"/>
      <c r="N167" s="747" t="e">
        <f t="shared" si="23"/>
        <v>#N/A</v>
      </c>
      <c r="AS167" s="746"/>
      <c r="AT167" s="746"/>
      <c r="AU167" s="746"/>
      <c r="AV167" s="746"/>
      <c r="AW167" s="746"/>
      <c r="AX167" s="746"/>
      <c r="AY167" s="746"/>
      <c r="AZ167" s="746"/>
      <c r="BA167" s="746"/>
      <c r="BB167" s="746"/>
      <c r="BC167" s="746"/>
      <c r="BD167" s="746"/>
      <c r="BE167" s="746"/>
      <c r="BF167" s="746"/>
      <c r="BG167" s="746"/>
      <c r="BH167" s="746"/>
      <c r="BI167" s="746"/>
    </row>
    <row r="168" spans="1:61">
      <c r="A168" s="750"/>
      <c r="B168" s="737"/>
      <c r="C168" s="738"/>
      <c r="D168" s="738"/>
      <c r="E168" s="739">
        <f t="shared" si="22"/>
        <v>0</v>
      </c>
      <c r="F168" s="764"/>
      <c r="G168" s="752"/>
      <c r="H168" s="753"/>
      <c r="I168" s="753"/>
      <c r="J168" s="743"/>
      <c r="K168" s="754"/>
      <c r="L168" s="755">
        <f t="shared" si="21"/>
        <v>0</v>
      </c>
      <c r="M168" s="746"/>
      <c r="N168" s="747" t="e">
        <f t="shared" si="23"/>
        <v>#N/A</v>
      </c>
      <c r="AS168" s="746"/>
      <c r="AT168" s="746"/>
      <c r="AU168" s="746"/>
      <c r="AV168" s="746"/>
      <c r="AW168" s="746"/>
      <c r="AX168" s="746"/>
      <c r="AY168" s="746"/>
      <c r="AZ168" s="746"/>
      <c r="BA168" s="746"/>
      <c r="BB168" s="746"/>
      <c r="BC168" s="746"/>
      <c r="BD168" s="746"/>
      <c r="BE168" s="746"/>
      <c r="BF168" s="746"/>
      <c r="BG168" s="746"/>
      <c r="BH168" s="746"/>
      <c r="BI168" s="746"/>
    </row>
    <row r="169" spans="1:61">
      <c r="A169" s="750"/>
      <c r="B169" s="737"/>
      <c r="C169" s="738"/>
      <c r="D169" s="738"/>
      <c r="E169" s="739">
        <f t="shared" si="22"/>
        <v>0</v>
      </c>
      <c r="F169" s="764"/>
      <c r="G169" s="752"/>
      <c r="H169" s="753"/>
      <c r="I169" s="753"/>
      <c r="J169" s="743"/>
      <c r="K169" s="754"/>
      <c r="L169" s="755">
        <f t="shared" si="21"/>
        <v>0</v>
      </c>
      <c r="M169" s="746"/>
      <c r="N169" s="747" t="e">
        <f t="shared" si="23"/>
        <v>#N/A</v>
      </c>
      <c r="AS169" s="746"/>
      <c r="AT169" s="746"/>
      <c r="AU169" s="746"/>
      <c r="AV169" s="746"/>
      <c r="AW169" s="746"/>
      <c r="AX169" s="746"/>
      <c r="AY169" s="746"/>
      <c r="AZ169" s="746"/>
      <c r="BA169" s="746"/>
      <c r="BB169" s="746"/>
      <c r="BC169" s="746"/>
      <c r="BD169" s="746"/>
      <c r="BE169" s="746"/>
      <c r="BF169" s="746"/>
      <c r="BG169" s="746"/>
      <c r="BH169" s="746"/>
      <c r="BI169" s="746"/>
    </row>
    <row r="170" spans="1:61">
      <c r="A170" s="750"/>
      <c r="B170" s="737"/>
      <c r="C170" s="738"/>
      <c r="D170" s="738"/>
      <c r="E170" s="739">
        <f t="shared" si="22"/>
        <v>0</v>
      </c>
      <c r="F170" s="764"/>
      <c r="G170" s="752"/>
      <c r="H170" s="753"/>
      <c r="I170" s="753"/>
      <c r="J170" s="743"/>
      <c r="K170" s="754"/>
      <c r="L170" s="755">
        <f t="shared" si="21"/>
        <v>0</v>
      </c>
      <c r="M170" s="746"/>
      <c r="N170" s="747" t="e">
        <f t="shared" si="23"/>
        <v>#N/A</v>
      </c>
      <c r="AS170" s="746"/>
      <c r="AT170" s="746"/>
      <c r="AU170" s="746"/>
      <c r="AV170" s="746"/>
      <c r="AW170" s="746"/>
      <c r="AX170" s="746"/>
      <c r="AY170" s="746"/>
      <c r="AZ170" s="746"/>
      <c r="BA170" s="746"/>
      <c r="BB170" s="746"/>
      <c r="BC170" s="746"/>
      <c r="BD170" s="746"/>
      <c r="BE170" s="746"/>
      <c r="BF170" s="746"/>
      <c r="BG170" s="746"/>
      <c r="BH170" s="746"/>
      <c r="BI170" s="746"/>
    </row>
    <row r="171" spans="1:61">
      <c r="A171" s="750"/>
      <c r="B171" s="737"/>
      <c r="C171" s="738"/>
      <c r="D171" s="738"/>
      <c r="E171" s="739">
        <f t="shared" si="22"/>
        <v>0</v>
      </c>
      <c r="F171" s="764"/>
      <c r="G171" s="752"/>
      <c r="H171" s="753"/>
      <c r="I171" s="753"/>
      <c r="J171" s="743"/>
      <c r="K171" s="754"/>
      <c r="L171" s="755">
        <f t="shared" si="21"/>
        <v>0</v>
      </c>
      <c r="M171" s="746"/>
      <c r="N171" s="747" t="e">
        <f t="shared" si="23"/>
        <v>#N/A</v>
      </c>
      <c r="AS171" s="746"/>
      <c r="AT171" s="746"/>
      <c r="AU171" s="746"/>
      <c r="AV171" s="746"/>
      <c r="AW171" s="746"/>
      <c r="AX171" s="746"/>
      <c r="AY171" s="746"/>
      <c r="AZ171" s="746"/>
      <c r="BA171" s="746"/>
      <c r="BB171" s="746"/>
      <c r="BC171" s="746"/>
      <c r="BD171" s="746"/>
      <c r="BE171" s="746"/>
      <c r="BF171" s="746"/>
      <c r="BG171" s="746"/>
      <c r="BH171" s="746"/>
      <c r="BI171" s="746"/>
    </row>
    <row r="172" spans="1:61">
      <c r="A172" s="750"/>
      <c r="B172" s="737"/>
      <c r="C172" s="738"/>
      <c r="D172" s="738"/>
      <c r="E172" s="739">
        <f t="shared" si="22"/>
        <v>0</v>
      </c>
      <c r="F172" s="764"/>
      <c r="G172" s="752"/>
      <c r="H172" s="753"/>
      <c r="I172" s="753"/>
      <c r="J172" s="743"/>
      <c r="K172" s="754"/>
      <c r="L172" s="755">
        <f t="shared" si="21"/>
        <v>0</v>
      </c>
      <c r="M172" s="746"/>
      <c r="N172" s="747" t="e">
        <f t="shared" si="23"/>
        <v>#N/A</v>
      </c>
      <c r="AS172" s="746"/>
      <c r="AT172" s="746"/>
      <c r="AU172" s="746"/>
      <c r="AV172" s="746"/>
      <c r="AW172" s="746"/>
      <c r="AX172" s="746"/>
      <c r="AY172" s="746"/>
      <c r="AZ172" s="746"/>
      <c r="BA172" s="746"/>
      <c r="BB172" s="746"/>
      <c r="BC172" s="746"/>
      <c r="BD172" s="746"/>
      <c r="BE172" s="746"/>
      <c r="BF172" s="746"/>
      <c r="BG172" s="746"/>
      <c r="BH172" s="746"/>
      <c r="BI172" s="746"/>
    </row>
    <row r="173" spans="1:61">
      <c r="A173" s="750"/>
      <c r="B173" s="737"/>
      <c r="C173" s="738"/>
      <c r="D173" s="738"/>
      <c r="E173" s="739">
        <f t="shared" si="22"/>
        <v>0</v>
      </c>
      <c r="F173" s="764"/>
      <c r="G173" s="753"/>
      <c r="H173" s="753"/>
      <c r="I173" s="753"/>
      <c r="J173" s="743"/>
      <c r="K173" s="754"/>
      <c r="L173" s="755">
        <f t="shared" si="21"/>
        <v>0</v>
      </c>
      <c r="M173" s="746"/>
      <c r="N173" s="747" t="e">
        <f t="shared" si="23"/>
        <v>#N/A</v>
      </c>
      <c r="AS173" s="746"/>
      <c r="AT173" s="746"/>
      <c r="AU173" s="746"/>
      <c r="AV173" s="746"/>
      <c r="AW173" s="746"/>
      <c r="AX173" s="746"/>
      <c r="AY173" s="746"/>
      <c r="AZ173" s="746"/>
      <c r="BA173" s="746"/>
      <c r="BB173" s="746"/>
      <c r="BC173" s="746"/>
      <c r="BD173" s="746"/>
      <c r="BE173" s="746"/>
      <c r="BF173" s="746"/>
      <c r="BG173" s="746"/>
      <c r="BH173" s="746"/>
      <c r="BI173" s="746"/>
    </row>
    <row r="174" spans="1:61">
      <c r="A174" s="750"/>
      <c r="B174" s="737"/>
      <c r="C174" s="738"/>
      <c r="D174" s="738"/>
      <c r="E174" s="739">
        <f t="shared" si="22"/>
        <v>0</v>
      </c>
      <c r="F174" s="764"/>
      <c r="G174" s="753"/>
      <c r="H174" s="753"/>
      <c r="I174" s="753"/>
      <c r="J174" s="743"/>
      <c r="K174" s="754"/>
      <c r="L174" s="755">
        <f t="shared" si="21"/>
        <v>0</v>
      </c>
      <c r="M174" s="746"/>
      <c r="N174" s="747" t="e">
        <f t="shared" si="23"/>
        <v>#N/A</v>
      </c>
      <c r="AS174" s="746"/>
      <c r="AT174" s="746"/>
      <c r="AU174" s="746"/>
      <c r="AV174" s="746"/>
      <c r="AW174" s="746"/>
      <c r="AX174" s="746"/>
      <c r="AY174" s="746"/>
      <c r="AZ174" s="746"/>
      <c r="BA174" s="746"/>
      <c r="BB174" s="746"/>
      <c r="BC174" s="746"/>
      <c r="BD174" s="746"/>
      <c r="BE174" s="746"/>
      <c r="BF174" s="746"/>
      <c r="BG174" s="746"/>
      <c r="BH174" s="746"/>
      <c r="BI174" s="746"/>
    </row>
    <row r="175" spans="1:61">
      <c r="A175" s="750"/>
      <c r="B175" s="737"/>
      <c r="C175" s="738"/>
      <c r="D175" s="738"/>
      <c r="E175" s="739">
        <f t="shared" si="22"/>
        <v>0</v>
      </c>
      <c r="F175" s="764"/>
      <c r="G175" s="753"/>
      <c r="H175" s="753"/>
      <c r="I175" s="753"/>
      <c r="J175" s="743"/>
      <c r="K175" s="754"/>
      <c r="L175" s="755">
        <f t="shared" si="21"/>
        <v>0</v>
      </c>
      <c r="M175" s="746"/>
      <c r="N175" s="747" t="e">
        <f t="shared" si="23"/>
        <v>#N/A</v>
      </c>
      <c r="AS175" s="746"/>
      <c r="AT175" s="746"/>
      <c r="AU175" s="746"/>
      <c r="AV175" s="746"/>
      <c r="AW175" s="746"/>
      <c r="AX175" s="746"/>
      <c r="AY175" s="746"/>
      <c r="AZ175" s="746"/>
      <c r="BA175" s="746"/>
      <c r="BB175" s="746"/>
      <c r="BC175" s="746"/>
      <c r="BD175" s="746"/>
      <c r="BE175" s="746"/>
      <c r="BF175" s="746"/>
      <c r="BG175" s="746"/>
      <c r="BH175" s="746"/>
      <c r="BI175" s="746"/>
    </row>
    <row r="176" spans="1:61">
      <c r="A176" s="750"/>
      <c r="B176" s="737"/>
      <c r="C176" s="738"/>
      <c r="D176" s="738"/>
      <c r="E176" s="739">
        <f t="shared" si="22"/>
        <v>0</v>
      </c>
      <c r="F176" s="764"/>
      <c r="G176" s="753"/>
      <c r="H176" s="753"/>
      <c r="I176" s="753"/>
      <c r="J176" s="743"/>
      <c r="K176" s="754"/>
      <c r="L176" s="755">
        <f t="shared" si="21"/>
        <v>0</v>
      </c>
      <c r="M176" s="746"/>
      <c r="N176" s="747" t="e">
        <f t="shared" si="23"/>
        <v>#N/A</v>
      </c>
      <c r="AS176" s="746"/>
      <c r="AT176" s="746"/>
      <c r="AU176" s="746"/>
      <c r="AV176" s="746"/>
      <c r="AW176" s="746"/>
      <c r="AX176" s="746"/>
      <c r="AY176" s="746"/>
      <c r="AZ176" s="746"/>
      <c r="BA176" s="746"/>
      <c r="BB176" s="746"/>
      <c r="BC176" s="746"/>
      <c r="BD176" s="746"/>
      <c r="BE176" s="746"/>
      <c r="BF176" s="746"/>
      <c r="BG176" s="746"/>
      <c r="BH176" s="746"/>
      <c r="BI176" s="746"/>
    </row>
    <row r="177" spans="1:61">
      <c r="A177" s="750"/>
      <c r="B177" s="737"/>
      <c r="C177" s="738"/>
      <c r="D177" s="738"/>
      <c r="E177" s="739">
        <f t="shared" si="22"/>
        <v>0</v>
      </c>
      <c r="F177" s="764"/>
      <c r="G177" s="753"/>
      <c r="H177" s="753"/>
      <c r="I177" s="753"/>
      <c r="J177" s="743"/>
      <c r="K177" s="754"/>
      <c r="L177" s="755">
        <f t="shared" si="21"/>
        <v>0</v>
      </c>
      <c r="M177" s="746"/>
      <c r="N177" s="747" t="e">
        <f t="shared" si="23"/>
        <v>#N/A</v>
      </c>
      <c r="AS177" s="746"/>
      <c r="AT177" s="746"/>
      <c r="AU177" s="746"/>
      <c r="AV177" s="746"/>
      <c r="AW177" s="746"/>
      <c r="AX177" s="746"/>
      <c r="AY177" s="746"/>
      <c r="AZ177" s="746"/>
      <c r="BA177" s="746"/>
      <c r="BB177" s="746"/>
      <c r="BC177" s="746"/>
      <c r="BD177" s="746"/>
      <c r="BE177" s="746"/>
      <c r="BF177" s="746"/>
      <c r="BG177" s="746"/>
      <c r="BH177" s="746"/>
      <c r="BI177" s="746"/>
    </row>
    <row r="178" spans="1:61">
      <c r="A178" s="750"/>
      <c r="B178" s="737"/>
      <c r="C178" s="738"/>
      <c r="D178" s="738"/>
      <c r="E178" s="739">
        <f t="shared" si="22"/>
        <v>0</v>
      </c>
      <c r="F178" s="764"/>
      <c r="G178" s="753"/>
      <c r="H178" s="753"/>
      <c r="I178" s="753"/>
      <c r="J178" s="743"/>
      <c r="K178" s="754"/>
      <c r="L178" s="755">
        <f t="shared" si="21"/>
        <v>0</v>
      </c>
      <c r="M178" s="746"/>
      <c r="N178" s="747" t="e">
        <f t="shared" si="23"/>
        <v>#N/A</v>
      </c>
      <c r="AS178" s="746"/>
      <c r="AT178" s="746"/>
      <c r="AU178" s="746"/>
      <c r="AV178" s="746"/>
      <c r="AW178" s="746"/>
      <c r="AX178" s="746"/>
      <c r="AY178" s="746"/>
      <c r="AZ178" s="746"/>
      <c r="BA178" s="746"/>
      <c r="BB178" s="746"/>
      <c r="BC178" s="746"/>
      <c r="BD178" s="746"/>
      <c r="BE178" s="746"/>
      <c r="BF178" s="746"/>
      <c r="BG178" s="746"/>
      <c r="BH178" s="746"/>
      <c r="BI178" s="746"/>
    </row>
    <row r="179" spans="1:61">
      <c r="A179" s="750"/>
      <c r="B179" s="737"/>
      <c r="C179" s="738"/>
      <c r="D179" s="738"/>
      <c r="E179" s="739">
        <f t="shared" si="22"/>
        <v>0</v>
      </c>
      <c r="F179" s="764"/>
      <c r="G179" s="753"/>
      <c r="H179" s="753"/>
      <c r="I179" s="753"/>
      <c r="J179" s="743"/>
      <c r="K179" s="754"/>
      <c r="L179" s="755">
        <f t="shared" ref="L179:L226" si="24">SUM(C179:K179)-SUM(J179:K179)</f>
        <v>0</v>
      </c>
      <c r="M179" s="746"/>
      <c r="N179" s="747" t="e">
        <f t="shared" si="23"/>
        <v>#N/A</v>
      </c>
      <c r="AS179" s="746"/>
      <c r="AT179" s="746"/>
      <c r="AU179" s="746"/>
      <c r="AV179" s="746"/>
      <c r="AW179" s="746"/>
      <c r="AX179" s="746"/>
      <c r="AY179" s="746"/>
      <c r="AZ179" s="746"/>
      <c r="BA179" s="746"/>
      <c r="BB179" s="746"/>
      <c r="BC179" s="746"/>
      <c r="BD179" s="746"/>
      <c r="BE179" s="746"/>
      <c r="BF179" s="746"/>
      <c r="BG179" s="746"/>
      <c r="BH179" s="746"/>
      <c r="BI179" s="746"/>
    </row>
    <row r="180" spans="1:61">
      <c r="A180" s="750"/>
      <c r="B180" s="737"/>
      <c r="C180" s="738"/>
      <c r="D180" s="738"/>
      <c r="E180" s="739">
        <f t="shared" si="22"/>
        <v>0</v>
      </c>
      <c r="F180" s="764"/>
      <c r="G180" s="753"/>
      <c r="H180" s="753"/>
      <c r="I180" s="753"/>
      <c r="J180" s="743"/>
      <c r="K180" s="754"/>
      <c r="L180" s="755">
        <f t="shared" si="24"/>
        <v>0</v>
      </c>
      <c r="M180" s="746"/>
      <c r="N180" s="747" t="e">
        <f t="shared" si="23"/>
        <v>#N/A</v>
      </c>
      <c r="AS180" s="746"/>
      <c r="AT180" s="746"/>
      <c r="AU180" s="746"/>
      <c r="AV180" s="746"/>
      <c r="AW180" s="746"/>
      <c r="AX180" s="746"/>
      <c r="AY180" s="746"/>
      <c r="AZ180" s="746"/>
      <c r="BA180" s="746"/>
      <c r="BB180" s="746"/>
      <c r="BC180" s="746"/>
      <c r="BD180" s="746"/>
      <c r="BE180" s="746"/>
      <c r="BF180" s="746"/>
      <c r="BG180" s="746"/>
      <c r="BH180" s="746"/>
      <c r="BI180" s="746"/>
    </row>
    <row r="181" spans="1:61">
      <c r="A181" s="750"/>
      <c r="B181" s="737"/>
      <c r="C181" s="738"/>
      <c r="D181" s="738"/>
      <c r="E181" s="739">
        <f t="shared" si="22"/>
        <v>0</v>
      </c>
      <c r="F181" s="764"/>
      <c r="G181" s="753"/>
      <c r="H181" s="753"/>
      <c r="I181" s="753"/>
      <c r="J181" s="743"/>
      <c r="K181" s="754"/>
      <c r="L181" s="755">
        <f t="shared" si="24"/>
        <v>0</v>
      </c>
      <c r="M181" s="746"/>
      <c r="N181" s="747" t="e">
        <f t="shared" si="23"/>
        <v>#N/A</v>
      </c>
      <c r="AS181" s="746"/>
      <c r="AT181" s="746"/>
      <c r="AU181" s="746"/>
      <c r="AV181" s="746"/>
      <c r="AW181" s="746"/>
      <c r="AX181" s="746"/>
      <c r="AY181" s="746"/>
      <c r="AZ181" s="746"/>
      <c r="BA181" s="746"/>
      <c r="BB181" s="746"/>
      <c r="BC181" s="746"/>
      <c r="BD181" s="746"/>
      <c r="BE181" s="746"/>
      <c r="BF181" s="746"/>
      <c r="BG181" s="746"/>
      <c r="BH181" s="746"/>
      <c r="BI181" s="746"/>
    </row>
    <row r="182" spans="1:61">
      <c r="A182" s="750"/>
      <c r="B182" s="737"/>
      <c r="C182" s="738"/>
      <c r="D182" s="738"/>
      <c r="E182" s="739">
        <f t="shared" si="22"/>
        <v>0</v>
      </c>
      <c r="F182" s="764"/>
      <c r="G182" s="753"/>
      <c r="H182" s="753"/>
      <c r="I182" s="753"/>
      <c r="J182" s="743"/>
      <c r="K182" s="754"/>
      <c r="L182" s="755">
        <f t="shared" si="24"/>
        <v>0</v>
      </c>
      <c r="M182" s="746"/>
      <c r="N182" s="747" t="e">
        <f t="shared" si="23"/>
        <v>#N/A</v>
      </c>
      <c r="AS182" s="746"/>
      <c r="AT182" s="746"/>
      <c r="AU182" s="746"/>
      <c r="AV182" s="746"/>
      <c r="AW182" s="746"/>
      <c r="AX182" s="746"/>
      <c r="AY182" s="746"/>
      <c r="AZ182" s="746"/>
      <c r="BA182" s="746"/>
      <c r="BB182" s="746"/>
      <c r="BC182" s="746"/>
      <c r="BD182" s="746"/>
      <c r="BE182" s="746"/>
      <c r="BF182" s="746"/>
      <c r="BG182" s="746"/>
      <c r="BH182" s="746"/>
      <c r="BI182" s="746"/>
    </row>
    <row r="183" spans="1:61">
      <c r="A183" s="750"/>
      <c r="B183" s="737"/>
      <c r="C183" s="738"/>
      <c r="D183" s="738"/>
      <c r="E183" s="739">
        <f t="shared" si="22"/>
        <v>0</v>
      </c>
      <c r="F183" s="764"/>
      <c r="G183" s="753"/>
      <c r="H183" s="753"/>
      <c r="I183" s="753"/>
      <c r="J183" s="743"/>
      <c r="K183" s="754"/>
      <c r="L183" s="755">
        <f t="shared" si="24"/>
        <v>0</v>
      </c>
      <c r="M183" s="746"/>
      <c r="N183" s="747" t="e">
        <f t="shared" si="23"/>
        <v>#N/A</v>
      </c>
      <c r="AS183" s="746"/>
      <c r="AT183" s="746"/>
      <c r="AU183" s="746"/>
      <c r="AV183" s="746"/>
      <c r="AW183" s="746"/>
      <c r="AX183" s="746"/>
      <c r="AY183" s="746"/>
      <c r="AZ183" s="746"/>
      <c r="BA183" s="746"/>
      <c r="BB183" s="746"/>
      <c r="BC183" s="746"/>
      <c r="BD183" s="746"/>
      <c r="BE183" s="746"/>
      <c r="BF183" s="746"/>
      <c r="BG183" s="746"/>
      <c r="BH183" s="746"/>
      <c r="BI183" s="746"/>
    </row>
    <row r="184" spans="1:61">
      <c r="A184" s="750"/>
      <c r="B184" s="737"/>
      <c r="C184" s="738"/>
      <c r="D184" s="738"/>
      <c r="E184" s="739">
        <f t="shared" si="22"/>
        <v>0</v>
      </c>
      <c r="F184" s="764"/>
      <c r="G184" s="753"/>
      <c r="H184" s="753"/>
      <c r="I184" s="753"/>
      <c r="J184" s="743"/>
      <c r="K184" s="754"/>
      <c r="L184" s="755">
        <f t="shared" si="24"/>
        <v>0</v>
      </c>
      <c r="M184" s="746"/>
      <c r="N184" s="747" t="e">
        <f t="shared" si="23"/>
        <v>#N/A</v>
      </c>
      <c r="AS184" s="746"/>
      <c r="AT184" s="746"/>
      <c r="AU184" s="746"/>
      <c r="AV184" s="746"/>
      <c r="AW184" s="746"/>
      <c r="AX184" s="746"/>
      <c r="AY184" s="746"/>
      <c r="AZ184" s="746"/>
      <c r="BA184" s="746"/>
      <c r="BB184" s="746"/>
      <c r="BC184" s="746"/>
      <c r="BD184" s="746"/>
      <c r="BE184" s="746"/>
      <c r="BF184" s="746"/>
      <c r="BG184" s="746"/>
      <c r="BH184" s="746"/>
      <c r="BI184" s="746"/>
    </row>
    <row r="185" spans="1:61">
      <c r="A185" s="750"/>
      <c r="B185" s="737"/>
      <c r="C185" s="738"/>
      <c r="D185" s="738"/>
      <c r="E185" s="739">
        <f t="shared" si="22"/>
        <v>0</v>
      </c>
      <c r="F185" s="943"/>
      <c r="G185" s="753"/>
      <c r="H185" s="753"/>
      <c r="I185" s="753"/>
      <c r="J185" s="743"/>
      <c r="K185" s="754"/>
      <c r="L185" s="755">
        <f t="shared" si="24"/>
        <v>0</v>
      </c>
      <c r="M185" s="941"/>
      <c r="N185" s="747" t="e">
        <f t="shared" si="23"/>
        <v>#N/A</v>
      </c>
      <c r="AS185" s="746"/>
      <c r="AT185" s="746"/>
      <c r="AU185" s="746"/>
      <c r="AV185" s="746"/>
      <c r="AW185" s="746"/>
      <c r="AX185" s="746"/>
      <c r="AY185" s="746"/>
      <c r="AZ185" s="746"/>
      <c r="BA185" s="746"/>
      <c r="BB185" s="746"/>
      <c r="BC185" s="746"/>
      <c r="BD185" s="746"/>
      <c r="BE185" s="746"/>
      <c r="BF185" s="746"/>
      <c r="BG185" s="746"/>
      <c r="BH185" s="746"/>
      <c r="BI185" s="746"/>
    </row>
    <row r="186" spans="1:61">
      <c r="A186" s="750"/>
      <c r="B186" s="737"/>
      <c r="C186" s="738"/>
      <c r="D186" s="738"/>
      <c r="E186" s="739">
        <f t="shared" si="22"/>
        <v>0</v>
      </c>
      <c r="F186" s="943"/>
      <c r="G186" s="753"/>
      <c r="H186" s="753"/>
      <c r="I186" s="753"/>
      <c r="J186" s="743"/>
      <c r="K186" s="754"/>
      <c r="L186" s="755">
        <f t="shared" si="24"/>
        <v>0</v>
      </c>
      <c r="M186" s="941"/>
      <c r="N186" s="747" t="e">
        <f t="shared" si="23"/>
        <v>#N/A</v>
      </c>
      <c r="AS186" s="746"/>
      <c r="AT186" s="746"/>
      <c r="AU186" s="746"/>
      <c r="AV186" s="746"/>
      <c r="AW186" s="746"/>
      <c r="AX186" s="746"/>
      <c r="AY186" s="746"/>
      <c r="AZ186" s="746"/>
      <c r="BA186" s="746"/>
      <c r="BB186" s="746"/>
      <c r="BC186" s="746"/>
      <c r="BD186" s="746"/>
      <c r="BE186" s="746"/>
      <c r="BF186" s="746"/>
      <c r="BG186" s="746"/>
      <c r="BH186" s="746"/>
      <c r="BI186" s="746"/>
    </row>
    <row r="187" spans="1:61">
      <c r="A187" s="750"/>
      <c r="B187" s="737"/>
      <c r="C187" s="738"/>
      <c r="D187" s="738"/>
      <c r="E187" s="739">
        <f t="shared" si="22"/>
        <v>0</v>
      </c>
      <c r="F187" s="943"/>
      <c r="G187" s="753"/>
      <c r="H187" s="753"/>
      <c r="I187" s="753"/>
      <c r="J187" s="743"/>
      <c r="K187" s="754"/>
      <c r="L187" s="755">
        <f t="shared" si="24"/>
        <v>0</v>
      </c>
      <c r="M187" s="941"/>
      <c r="N187" s="747" t="e">
        <f t="shared" si="23"/>
        <v>#N/A</v>
      </c>
      <c r="AS187" s="746"/>
      <c r="AT187" s="746"/>
      <c r="AU187" s="746"/>
      <c r="AV187" s="746"/>
      <c r="AW187" s="746"/>
      <c r="AX187" s="746"/>
      <c r="AY187" s="746"/>
      <c r="AZ187" s="746"/>
      <c r="BA187" s="746"/>
      <c r="BB187" s="746"/>
      <c r="BC187" s="746"/>
      <c r="BD187" s="746"/>
      <c r="BE187" s="746"/>
      <c r="BF187" s="746"/>
      <c r="BG187" s="746"/>
      <c r="BH187" s="746"/>
      <c r="BI187" s="746"/>
    </row>
    <row r="188" spans="1:61">
      <c r="A188" s="750"/>
      <c r="B188" s="737"/>
      <c r="C188" s="738"/>
      <c r="D188" s="738"/>
      <c r="E188" s="739">
        <f t="shared" si="22"/>
        <v>0</v>
      </c>
      <c r="F188" s="943"/>
      <c r="G188" s="753"/>
      <c r="H188" s="753"/>
      <c r="I188" s="753"/>
      <c r="J188" s="743"/>
      <c r="K188" s="754"/>
      <c r="L188" s="755">
        <f t="shared" si="24"/>
        <v>0</v>
      </c>
      <c r="M188" s="941"/>
      <c r="N188" s="747" t="e">
        <f t="shared" si="23"/>
        <v>#N/A</v>
      </c>
      <c r="AS188" s="746"/>
      <c r="AT188" s="746"/>
      <c r="AU188" s="746"/>
      <c r="AV188" s="746"/>
      <c r="AW188" s="746"/>
      <c r="AX188" s="746"/>
      <c r="AY188" s="746"/>
      <c r="AZ188" s="746"/>
      <c r="BA188" s="746"/>
      <c r="BB188" s="746"/>
      <c r="BC188" s="746"/>
      <c r="BD188" s="746"/>
      <c r="BE188" s="746"/>
      <c r="BF188" s="746"/>
      <c r="BG188" s="746"/>
      <c r="BH188" s="746"/>
      <c r="BI188" s="746"/>
    </row>
    <row r="189" spans="1:61">
      <c r="A189" s="750"/>
      <c r="B189" s="737"/>
      <c r="C189" s="738"/>
      <c r="D189" s="738"/>
      <c r="E189" s="739">
        <f t="shared" si="22"/>
        <v>0</v>
      </c>
      <c r="F189" s="943"/>
      <c r="G189" s="753"/>
      <c r="H189" s="753"/>
      <c r="I189" s="753"/>
      <c r="J189" s="743"/>
      <c r="K189" s="754"/>
      <c r="L189" s="755">
        <f t="shared" si="24"/>
        <v>0</v>
      </c>
      <c r="M189" s="941"/>
      <c r="N189" s="747" t="e">
        <f t="shared" si="23"/>
        <v>#N/A</v>
      </c>
      <c r="O189" s="941"/>
      <c r="P189" s="942"/>
      <c r="Q189" s="942"/>
      <c r="R189" s="942"/>
      <c r="S189" s="942"/>
      <c r="T189" s="942"/>
      <c r="U189" s="942"/>
      <c r="V189" s="942"/>
      <c r="W189" s="942"/>
      <c r="X189" s="942"/>
      <c r="Y189" s="942"/>
      <c r="Z189" s="942"/>
      <c r="AA189" s="942"/>
      <c r="AB189" s="942"/>
      <c r="AC189" s="942"/>
      <c r="AD189" s="941"/>
      <c r="AE189" s="941"/>
      <c r="AF189" s="941"/>
      <c r="AG189" s="573"/>
      <c r="AH189" s="573"/>
      <c r="AI189" s="573"/>
      <c r="AJ189" s="573"/>
      <c r="AK189" s="573"/>
      <c r="AL189" s="573"/>
      <c r="AM189" s="573"/>
      <c r="AN189" s="573"/>
      <c r="AO189" s="573"/>
      <c r="AP189" s="573"/>
      <c r="AQ189" s="874"/>
      <c r="AS189" s="746"/>
      <c r="AT189" s="746"/>
      <c r="AU189" s="746"/>
      <c r="AV189" s="746"/>
      <c r="AW189" s="746"/>
      <c r="AX189" s="746"/>
      <c r="AY189" s="746"/>
      <c r="AZ189" s="746"/>
      <c r="BA189" s="746"/>
      <c r="BB189" s="746"/>
      <c r="BC189" s="746"/>
      <c r="BD189" s="746"/>
      <c r="BE189" s="746"/>
      <c r="BF189" s="746"/>
      <c r="BG189" s="746"/>
      <c r="BH189" s="746"/>
      <c r="BI189" s="746"/>
    </row>
    <row r="190" spans="1:61">
      <c r="A190" s="750"/>
      <c r="B190" s="737"/>
      <c r="C190" s="738"/>
      <c r="D190" s="738"/>
      <c r="E190" s="739">
        <f t="shared" si="22"/>
        <v>0</v>
      </c>
      <c r="F190" s="943"/>
      <c r="G190" s="753"/>
      <c r="H190" s="753"/>
      <c r="I190" s="753"/>
      <c r="J190" s="743"/>
      <c r="K190" s="754"/>
      <c r="L190" s="755">
        <f t="shared" si="24"/>
        <v>0</v>
      </c>
      <c r="M190" s="941"/>
      <c r="N190" s="747" t="e">
        <f t="shared" si="23"/>
        <v>#N/A</v>
      </c>
      <c r="O190" s="941"/>
      <c r="P190" s="942"/>
      <c r="Q190" s="942"/>
      <c r="R190" s="942"/>
      <c r="S190" s="942"/>
      <c r="T190" s="942"/>
      <c r="U190" s="942"/>
      <c r="V190" s="942"/>
      <c r="W190" s="942"/>
      <c r="X190" s="942"/>
      <c r="Y190" s="942"/>
      <c r="Z190" s="942"/>
      <c r="AA190" s="942"/>
      <c r="AB190" s="942"/>
      <c r="AC190" s="942"/>
      <c r="AD190" s="941"/>
      <c r="AE190" s="941"/>
      <c r="AF190" s="941"/>
      <c r="AG190" s="573"/>
      <c r="AH190" s="573"/>
      <c r="AI190" s="573"/>
      <c r="AJ190" s="573"/>
      <c r="AK190" s="573"/>
      <c r="AL190" s="573"/>
      <c r="AM190" s="573"/>
      <c r="AN190" s="573"/>
      <c r="AO190" s="573"/>
      <c r="AP190" s="573"/>
      <c r="AQ190" s="874"/>
      <c r="AS190" s="746"/>
      <c r="AT190" s="746"/>
      <c r="AU190" s="746"/>
      <c r="AV190" s="746"/>
      <c r="AW190" s="746"/>
      <c r="AX190" s="746"/>
      <c r="AY190" s="746"/>
      <c r="AZ190" s="746"/>
      <c r="BA190" s="746"/>
      <c r="BB190" s="746"/>
      <c r="BC190" s="746"/>
      <c r="BD190" s="746"/>
      <c r="BE190" s="746"/>
      <c r="BF190" s="746"/>
      <c r="BG190" s="746"/>
      <c r="BH190" s="746"/>
      <c r="BI190" s="746"/>
    </row>
    <row r="191" spans="1:61">
      <c r="A191" s="750"/>
      <c r="B191" s="737"/>
      <c r="C191" s="738"/>
      <c r="D191" s="738"/>
      <c r="E191" s="739">
        <f t="shared" si="22"/>
        <v>0</v>
      </c>
      <c r="F191" s="943"/>
      <c r="G191" s="753"/>
      <c r="H191" s="753"/>
      <c r="I191" s="753"/>
      <c r="J191" s="743"/>
      <c r="K191" s="754"/>
      <c r="L191" s="755">
        <f t="shared" si="24"/>
        <v>0</v>
      </c>
      <c r="M191" s="941"/>
      <c r="N191" s="747" t="e">
        <f t="shared" si="23"/>
        <v>#N/A</v>
      </c>
      <c r="O191" s="941"/>
      <c r="P191" s="942"/>
      <c r="Q191" s="942"/>
      <c r="R191" s="942"/>
      <c r="S191" s="942"/>
      <c r="T191" s="942"/>
      <c r="U191" s="942"/>
      <c r="V191" s="942"/>
      <c r="W191" s="942"/>
      <c r="X191" s="942"/>
      <c r="Y191" s="942"/>
      <c r="Z191" s="942"/>
      <c r="AA191" s="942"/>
      <c r="AB191" s="942"/>
      <c r="AC191" s="942"/>
      <c r="AD191" s="941"/>
      <c r="AE191" s="941"/>
      <c r="AF191" s="941"/>
      <c r="AG191" s="573"/>
      <c r="AH191" s="573"/>
      <c r="AI191" s="573"/>
      <c r="AJ191" s="573"/>
      <c r="AK191" s="573"/>
      <c r="AL191" s="573"/>
      <c r="AM191" s="573"/>
      <c r="AN191" s="573"/>
      <c r="AO191" s="573"/>
      <c r="AP191" s="573"/>
      <c r="AQ191" s="874"/>
      <c r="AS191" s="746"/>
      <c r="AT191" s="746"/>
      <c r="AU191" s="746"/>
      <c r="AV191" s="746"/>
      <c r="AW191" s="746"/>
      <c r="AX191" s="746"/>
      <c r="AY191" s="746"/>
      <c r="AZ191" s="746"/>
      <c r="BA191" s="746"/>
      <c r="BB191" s="746"/>
      <c r="BC191" s="746"/>
      <c r="BD191" s="746"/>
      <c r="BE191" s="746"/>
      <c r="BF191" s="746"/>
      <c r="BG191" s="746"/>
      <c r="BH191" s="746"/>
      <c r="BI191" s="746"/>
    </row>
    <row r="192" spans="1:61">
      <c r="A192" s="750"/>
      <c r="B192" s="737"/>
      <c r="C192" s="738"/>
      <c r="D192" s="738"/>
      <c r="E192" s="739">
        <f t="shared" si="22"/>
        <v>0</v>
      </c>
      <c r="F192" s="943"/>
      <c r="G192" s="753"/>
      <c r="H192" s="753"/>
      <c r="I192" s="753"/>
      <c r="J192" s="743"/>
      <c r="K192" s="754"/>
      <c r="L192" s="755">
        <f t="shared" si="24"/>
        <v>0</v>
      </c>
      <c r="M192" s="941"/>
      <c r="N192" s="747" t="e">
        <f t="shared" si="23"/>
        <v>#N/A</v>
      </c>
      <c r="AS192" s="746"/>
      <c r="AT192" s="746"/>
      <c r="AU192" s="746"/>
      <c r="AV192" s="746"/>
      <c r="AW192" s="746"/>
      <c r="AX192" s="746"/>
      <c r="AY192" s="746"/>
      <c r="AZ192" s="746"/>
      <c r="BA192" s="746"/>
      <c r="BB192" s="746"/>
      <c r="BC192" s="746"/>
      <c r="BD192" s="746"/>
      <c r="BE192" s="746"/>
      <c r="BF192" s="746"/>
      <c r="BG192" s="746"/>
      <c r="BH192" s="746"/>
      <c r="BI192" s="746"/>
    </row>
    <row r="193" spans="1:61">
      <c r="A193" s="750"/>
      <c r="B193" s="737"/>
      <c r="C193" s="738"/>
      <c r="D193" s="738"/>
      <c r="E193" s="739">
        <f t="shared" si="22"/>
        <v>0</v>
      </c>
      <c r="F193" s="943"/>
      <c r="G193" s="753"/>
      <c r="H193" s="753"/>
      <c r="I193" s="753"/>
      <c r="J193" s="743"/>
      <c r="K193" s="754"/>
      <c r="L193" s="755">
        <f t="shared" si="24"/>
        <v>0</v>
      </c>
      <c r="M193" s="941"/>
      <c r="N193" s="747" t="e">
        <f t="shared" si="23"/>
        <v>#N/A</v>
      </c>
      <c r="AS193" s="746"/>
      <c r="AT193" s="746"/>
      <c r="AU193" s="746"/>
      <c r="AV193" s="746"/>
      <c r="AW193" s="746"/>
      <c r="AX193" s="746"/>
      <c r="AY193" s="746"/>
      <c r="AZ193" s="746"/>
      <c r="BA193" s="746"/>
      <c r="BB193" s="746"/>
      <c r="BC193" s="746"/>
      <c r="BD193" s="746"/>
      <c r="BE193" s="746"/>
      <c r="BF193" s="746"/>
      <c r="BG193" s="746"/>
      <c r="BH193" s="746"/>
      <c r="BI193" s="746"/>
    </row>
    <row r="194" spans="1:61">
      <c r="A194" s="750"/>
      <c r="B194" s="737"/>
      <c r="C194" s="738"/>
      <c r="D194" s="738"/>
      <c r="E194" s="739">
        <f t="shared" si="22"/>
        <v>0</v>
      </c>
      <c r="F194" s="943"/>
      <c r="G194" s="753"/>
      <c r="H194" s="753"/>
      <c r="I194" s="753"/>
      <c r="J194" s="743"/>
      <c r="K194" s="754"/>
      <c r="L194" s="755">
        <f t="shared" si="24"/>
        <v>0</v>
      </c>
      <c r="M194" s="941"/>
      <c r="N194" s="747" t="e">
        <f t="shared" si="23"/>
        <v>#N/A</v>
      </c>
      <c r="AS194" s="746"/>
      <c r="AT194" s="746"/>
      <c r="AU194" s="746"/>
      <c r="AV194" s="746"/>
      <c r="AW194" s="746"/>
      <c r="AX194" s="746"/>
      <c r="AY194" s="746"/>
      <c r="AZ194" s="746"/>
      <c r="BA194" s="746"/>
      <c r="BB194" s="746"/>
      <c r="BC194" s="746"/>
      <c r="BD194" s="746"/>
      <c r="BE194" s="746"/>
      <c r="BF194" s="746"/>
      <c r="BG194" s="746"/>
      <c r="BH194" s="746"/>
      <c r="BI194" s="746"/>
    </row>
    <row r="195" spans="1:61">
      <c r="A195" s="750"/>
      <c r="B195" s="737"/>
      <c r="C195" s="738"/>
      <c r="D195" s="738"/>
      <c r="E195" s="739">
        <f t="shared" si="22"/>
        <v>0</v>
      </c>
      <c r="F195" s="943"/>
      <c r="G195" s="753"/>
      <c r="H195" s="753"/>
      <c r="I195" s="753"/>
      <c r="J195" s="743"/>
      <c r="K195" s="754"/>
      <c r="L195" s="755">
        <f t="shared" si="24"/>
        <v>0</v>
      </c>
      <c r="M195" s="941"/>
      <c r="N195" s="747" t="e">
        <f t="shared" si="23"/>
        <v>#N/A</v>
      </c>
      <c r="AS195" s="746"/>
      <c r="AT195" s="746"/>
      <c r="AU195" s="746"/>
      <c r="AV195" s="746"/>
      <c r="AW195" s="746"/>
      <c r="AX195" s="746"/>
      <c r="AY195" s="746"/>
      <c r="AZ195" s="746"/>
      <c r="BA195" s="746"/>
      <c r="BB195" s="746"/>
      <c r="BC195" s="746"/>
      <c r="BD195" s="746"/>
      <c r="BE195" s="746"/>
      <c r="BF195" s="746"/>
      <c r="BG195" s="746"/>
      <c r="BH195" s="746"/>
      <c r="BI195" s="746"/>
    </row>
    <row r="196" spans="1:61">
      <c r="A196" s="750"/>
      <c r="B196" s="737"/>
      <c r="C196" s="738"/>
      <c r="D196" s="738"/>
      <c r="E196" s="739">
        <f t="shared" si="22"/>
        <v>0</v>
      </c>
      <c r="F196" s="943"/>
      <c r="G196" s="753"/>
      <c r="H196" s="753"/>
      <c r="I196" s="753"/>
      <c r="J196" s="743"/>
      <c r="K196" s="754"/>
      <c r="L196" s="755">
        <f t="shared" si="24"/>
        <v>0</v>
      </c>
      <c r="M196" s="941"/>
      <c r="N196" s="747" t="e">
        <f t="shared" si="23"/>
        <v>#N/A</v>
      </c>
      <c r="AS196" s="746"/>
      <c r="AT196" s="746"/>
      <c r="AU196" s="746"/>
      <c r="AV196" s="746"/>
      <c r="AW196" s="746"/>
      <c r="AX196" s="746"/>
      <c r="AY196" s="746"/>
      <c r="AZ196" s="746"/>
      <c r="BA196" s="746"/>
      <c r="BB196" s="746"/>
      <c r="BC196" s="746"/>
      <c r="BD196" s="746"/>
      <c r="BE196" s="746"/>
      <c r="BF196" s="746"/>
      <c r="BG196" s="746"/>
      <c r="BH196" s="746"/>
      <c r="BI196" s="746"/>
    </row>
    <row r="197" spans="1:61">
      <c r="A197" s="750"/>
      <c r="B197" s="737"/>
      <c r="C197" s="738"/>
      <c r="D197" s="738"/>
      <c r="E197" s="739">
        <f t="shared" ref="E197:E226" si="25">SUMIF(AH:AH,B197,AK:AK)</f>
        <v>0</v>
      </c>
      <c r="F197" s="943"/>
      <c r="G197" s="753"/>
      <c r="H197" s="753"/>
      <c r="I197" s="753"/>
      <c r="J197" s="743"/>
      <c r="K197" s="754"/>
      <c r="L197" s="755">
        <f t="shared" si="24"/>
        <v>0</v>
      </c>
      <c r="M197" s="941"/>
      <c r="N197" s="747" t="e">
        <f t="shared" ref="N197:N226" si="26">INDEX(AK:AK,MATCH(B197,AH:AH,0))-E197</f>
        <v>#N/A</v>
      </c>
      <c r="AS197" s="746"/>
      <c r="AT197" s="746"/>
      <c r="AU197" s="746"/>
      <c r="AV197" s="746"/>
      <c r="AW197" s="746"/>
      <c r="AX197" s="746"/>
      <c r="AY197" s="746"/>
      <c r="AZ197" s="746"/>
      <c r="BA197" s="746"/>
      <c r="BB197" s="746"/>
      <c r="BC197" s="746"/>
      <c r="BD197" s="746"/>
      <c r="BE197" s="746"/>
      <c r="BF197" s="746"/>
      <c r="BG197" s="746"/>
      <c r="BH197" s="746"/>
      <c r="BI197" s="746"/>
    </row>
    <row r="198" spans="1:61">
      <c r="A198" s="750"/>
      <c r="B198" s="737"/>
      <c r="C198" s="738"/>
      <c r="D198" s="738"/>
      <c r="E198" s="739">
        <f t="shared" si="25"/>
        <v>0</v>
      </c>
      <c r="F198" s="943"/>
      <c r="G198" s="753"/>
      <c r="H198" s="753"/>
      <c r="I198" s="753"/>
      <c r="J198" s="743"/>
      <c r="K198" s="754"/>
      <c r="L198" s="755">
        <f t="shared" si="24"/>
        <v>0</v>
      </c>
      <c r="M198" s="941"/>
      <c r="N198" s="747" t="e">
        <f t="shared" si="26"/>
        <v>#N/A</v>
      </c>
      <c r="AS198" s="746"/>
      <c r="AT198" s="746"/>
      <c r="AU198" s="746"/>
      <c r="AV198" s="746"/>
      <c r="AW198" s="746"/>
      <c r="AX198" s="746"/>
      <c r="AY198" s="746"/>
      <c r="AZ198" s="746"/>
      <c r="BA198" s="746"/>
      <c r="BB198" s="746"/>
      <c r="BC198" s="746"/>
      <c r="BD198" s="746"/>
      <c r="BE198" s="746"/>
      <c r="BF198" s="746"/>
      <c r="BG198" s="746"/>
      <c r="BH198" s="746"/>
      <c r="BI198" s="746"/>
    </row>
    <row r="199" spans="1:61">
      <c r="A199" s="750"/>
      <c r="B199" s="737"/>
      <c r="C199" s="738"/>
      <c r="D199" s="738"/>
      <c r="E199" s="739">
        <f t="shared" si="25"/>
        <v>0</v>
      </c>
      <c r="F199" s="943"/>
      <c r="G199" s="753"/>
      <c r="H199" s="753"/>
      <c r="I199" s="753"/>
      <c r="J199" s="743"/>
      <c r="K199" s="754"/>
      <c r="L199" s="755">
        <f t="shared" si="24"/>
        <v>0</v>
      </c>
      <c r="M199" s="941"/>
      <c r="N199" s="747" t="e">
        <f t="shared" si="26"/>
        <v>#N/A</v>
      </c>
      <c r="AS199" s="746"/>
      <c r="AT199" s="746"/>
      <c r="AU199" s="746"/>
      <c r="AV199" s="746"/>
      <c r="AW199" s="746"/>
      <c r="AX199" s="746"/>
      <c r="AY199" s="746"/>
      <c r="AZ199" s="746"/>
      <c r="BA199" s="746"/>
      <c r="BB199" s="746"/>
      <c r="BC199" s="746"/>
      <c r="BD199" s="746"/>
      <c r="BE199" s="746"/>
      <c r="BF199" s="746"/>
      <c r="BG199" s="746"/>
      <c r="BH199" s="746"/>
      <c r="BI199" s="746"/>
    </row>
    <row r="200" spans="1:61">
      <c r="A200" s="750"/>
      <c r="B200" s="737"/>
      <c r="C200" s="738"/>
      <c r="D200" s="738"/>
      <c r="E200" s="739">
        <f t="shared" si="25"/>
        <v>0</v>
      </c>
      <c r="F200" s="943"/>
      <c r="G200" s="753"/>
      <c r="H200" s="753"/>
      <c r="I200" s="753"/>
      <c r="J200" s="743"/>
      <c r="K200" s="754"/>
      <c r="L200" s="755">
        <f t="shared" si="24"/>
        <v>0</v>
      </c>
      <c r="M200" s="941"/>
      <c r="N200" s="747" t="e">
        <f t="shared" si="26"/>
        <v>#N/A</v>
      </c>
      <c r="O200" s="941"/>
      <c r="P200" s="942"/>
      <c r="Q200" s="942"/>
      <c r="R200" s="942"/>
      <c r="S200" s="942"/>
      <c r="T200" s="942"/>
      <c r="U200" s="942"/>
      <c r="V200" s="942"/>
      <c r="W200" s="942"/>
      <c r="X200" s="942"/>
      <c r="Y200" s="942"/>
      <c r="Z200" s="942"/>
      <c r="AA200" s="942"/>
      <c r="AB200" s="942"/>
      <c r="AC200" s="942"/>
      <c r="AD200" s="941"/>
      <c r="AE200" s="941"/>
      <c r="AF200" s="941"/>
      <c r="AG200" s="573"/>
      <c r="AH200" s="573"/>
      <c r="AI200" s="573"/>
      <c r="AJ200" s="573"/>
      <c r="AK200" s="573"/>
      <c r="AL200" s="573"/>
      <c r="AM200" s="573"/>
      <c r="AN200" s="573"/>
      <c r="AO200" s="573"/>
      <c r="AP200" s="573"/>
      <c r="AQ200" s="874"/>
      <c r="AS200" s="746"/>
      <c r="AT200" s="746"/>
      <c r="AU200" s="746"/>
      <c r="AV200" s="746"/>
      <c r="AW200" s="746"/>
      <c r="AX200" s="746"/>
      <c r="AY200" s="746"/>
      <c r="AZ200" s="746"/>
      <c r="BA200" s="746"/>
      <c r="BB200" s="746"/>
      <c r="BC200" s="746"/>
      <c r="BD200" s="746"/>
      <c r="BE200" s="746"/>
      <c r="BF200" s="746"/>
      <c r="BG200" s="746"/>
      <c r="BH200" s="746"/>
      <c r="BI200" s="746"/>
    </row>
    <row r="201" spans="1:61">
      <c r="A201" s="750"/>
      <c r="B201" s="737"/>
      <c r="C201" s="738"/>
      <c r="D201" s="738"/>
      <c r="E201" s="739">
        <f t="shared" si="25"/>
        <v>0</v>
      </c>
      <c r="F201" s="943"/>
      <c r="G201" s="753"/>
      <c r="H201" s="753"/>
      <c r="I201" s="753"/>
      <c r="J201" s="743"/>
      <c r="K201" s="754"/>
      <c r="L201" s="755">
        <f t="shared" si="24"/>
        <v>0</v>
      </c>
      <c r="M201" s="941"/>
      <c r="N201" s="747" t="e">
        <f t="shared" si="26"/>
        <v>#N/A</v>
      </c>
      <c r="O201" s="941"/>
      <c r="P201" s="942"/>
      <c r="Q201" s="942"/>
      <c r="R201" s="942"/>
      <c r="S201" s="942"/>
      <c r="T201" s="942"/>
      <c r="U201" s="942"/>
      <c r="V201" s="942"/>
      <c r="W201" s="942"/>
      <c r="X201" s="942"/>
      <c r="Y201" s="942"/>
      <c r="Z201" s="942"/>
      <c r="AA201" s="942"/>
      <c r="AB201" s="942"/>
      <c r="AC201" s="942"/>
      <c r="AD201" s="941"/>
      <c r="AE201" s="941"/>
      <c r="AF201" s="941"/>
      <c r="AG201" s="573"/>
      <c r="AH201" s="573"/>
      <c r="AI201" s="573"/>
      <c r="AJ201" s="573"/>
      <c r="AK201" s="573"/>
      <c r="AL201" s="573"/>
      <c r="AM201" s="573"/>
      <c r="AN201" s="573"/>
      <c r="AO201" s="573"/>
      <c r="AP201" s="573"/>
      <c r="AQ201" s="874"/>
      <c r="AS201" s="746"/>
      <c r="AT201" s="746"/>
      <c r="AU201" s="746"/>
      <c r="AV201" s="746"/>
      <c r="AW201" s="746"/>
      <c r="AX201" s="746"/>
      <c r="AY201" s="746"/>
      <c r="AZ201" s="746"/>
      <c r="BA201" s="746"/>
      <c r="BB201" s="746"/>
      <c r="BC201" s="746"/>
      <c r="BD201" s="746"/>
      <c r="BE201" s="746"/>
      <c r="BF201" s="746"/>
      <c r="BG201" s="746"/>
      <c r="BH201" s="746"/>
      <c r="BI201" s="746"/>
    </row>
    <row r="202" spans="1:61">
      <c r="A202" s="750"/>
      <c r="B202" s="737"/>
      <c r="C202" s="738"/>
      <c r="D202" s="738"/>
      <c r="E202" s="739">
        <f t="shared" si="25"/>
        <v>0</v>
      </c>
      <c r="F202" s="943"/>
      <c r="G202" s="753"/>
      <c r="H202" s="753"/>
      <c r="I202" s="753"/>
      <c r="J202" s="743"/>
      <c r="K202" s="754"/>
      <c r="L202" s="755">
        <f t="shared" si="24"/>
        <v>0</v>
      </c>
      <c r="M202" s="941"/>
      <c r="N202" s="747" t="e">
        <f t="shared" si="26"/>
        <v>#N/A</v>
      </c>
      <c r="O202" s="941"/>
      <c r="P202" s="942"/>
      <c r="Q202" s="942"/>
      <c r="R202" s="942"/>
      <c r="S202" s="942"/>
      <c r="T202" s="942"/>
      <c r="U202" s="942"/>
      <c r="V202" s="942"/>
      <c r="W202" s="942"/>
      <c r="X202" s="942"/>
      <c r="Y202" s="942"/>
      <c r="Z202" s="942"/>
      <c r="AA202" s="942"/>
      <c r="AB202" s="942"/>
      <c r="AC202" s="942"/>
      <c r="AD202" s="941"/>
      <c r="AE202" s="941"/>
      <c r="AF202" s="941"/>
      <c r="AG202" s="573"/>
      <c r="AH202" s="573"/>
      <c r="AI202" s="573"/>
      <c r="AJ202" s="573"/>
      <c r="AK202" s="573"/>
      <c r="AL202" s="573"/>
      <c r="AM202" s="573"/>
      <c r="AN202" s="573"/>
      <c r="AO202" s="573"/>
      <c r="AP202" s="573"/>
      <c r="AQ202" s="874"/>
      <c r="AS202" s="746"/>
      <c r="AT202" s="746"/>
      <c r="AU202" s="746"/>
      <c r="AV202" s="746"/>
      <c r="AW202" s="746"/>
      <c r="AX202" s="746"/>
      <c r="AY202" s="746"/>
      <c r="AZ202" s="746"/>
      <c r="BA202" s="746"/>
      <c r="BB202" s="746"/>
      <c r="BC202" s="746"/>
      <c r="BD202" s="746"/>
      <c r="BE202" s="746"/>
      <c r="BF202" s="746"/>
      <c r="BG202" s="746"/>
      <c r="BH202" s="746"/>
      <c r="BI202" s="746"/>
    </row>
    <row r="203" spans="1:61">
      <c r="A203" s="750"/>
      <c r="B203" s="737"/>
      <c r="C203" s="738"/>
      <c r="D203" s="738"/>
      <c r="E203" s="739">
        <f t="shared" si="25"/>
        <v>0</v>
      </c>
      <c r="F203" s="943"/>
      <c r="G203" s="753"/>
      <c r="H203" s="753"/>
      <c r="I203" s="753"/>
      <c r="J203" s="743"/>
      <c r="K203" s="754"/>
      <c r="L203" s="755">
        <f t="shared" si="24"/>
        <v>0</v>
      </c>
      <c r="M203" s="941"/>
      <c r="N203" s="747" t="e">
        <f t="shared" si="26"/>
        <v>#N/A</v>
      </c>
      <c r="AS203" s="746"/>
      <c r="AT203" s="746"/>
      <c r="AU203" s="746"/>
      <c r="AV203" s="746"/>
      <c r="AW203" s="746"/>
      <c r="AX203" s="746"/>
      <c r="AY203" s="746"/>
      <c r="AZ203" s="746"/>
      <c r="BA203" s="746"/>
      <c r="BB203" s="746"/>
      <c r="BC203" s="746"/>
      <c r="BD203" s="746"/>
      <c r="BE203" s="746"/>
      <c r="BF203" s="746"/>
      <c r="BG203" s="746"/>
      <c r="BH203" s="746"/>
      <c r="BI203" s="746"/>
    </row>
    <row r="204" spans="1:61">
      <c r="A204" s="750"/>
      <c r="B204" s="737"/>
      <c r="C204" s="738"/>
      <c r="D204" s="738"/>
      <c r="E204" s="739">
        <f t="shared" si="25"/>
        <v>0</v>
      </c>
      <c r="F204" s="943"/>
      <c r="G204" s="753"/>
      <c r="H204" s="753"/>
      <c r="I204" s="753"/>
      <c r="J204" s="743"/>
      <c r="K204" s="754"/>
      <c r="L204" s="755">
        <f t="shared" si="24"/>
        <v>0</v>
      </c>
      <c r="M204" s="941"/>
      <c r="N204" s="747" t="e">
        <f t="shared" si="26"/>
        <v>#N/A</v>
      </c>
      <c r="AS204" s="746"/>
      <c r="AT204" s="746"/>
      <c r="AU204" s="746"/>
      <c r="AV204" s="746"/>
      <c r="AW204" s="746"/>
      <c r="AX204" s="746"/>
      <c r="AY204" s="746"/>
      <c r="AZ204" s="746"/>
      <c r="BA204" s="746"/>
      <c r="BB204" s="746"/>
      <c r="BC204" s="746"/>
      <c r="BD204" s="746"/>
      <c r="BE204" s="746"/>
      <c r="BF204" s="746"/>
      <c r="BG204" s="746"/>
      <c r="BH204" s="746"/>
      <c r="BI204" s="746"/>
    </row>
    <row r="205" spans="1:61">
      <c r="A205" s="750"/>
      <c r="B205" s="737"/>
      <c r="C205" s="738"/>
      <c r="D205" s="738"/>
      <c r="E205" s="739">
        <f t="shared" si="25"/>
        <v>0</v>
      </c>
      <c r="F205" s="943"/>
      <c r="G205" s="753"/>
      <c r="H205" s="753"/>
      <c r="I205" s="753"/>
      <c r="J205" s="743"/>
      <c r="K205" s="754"/>
      <c r="L205" s="755">
        <f t="shared" si="24"/>
        <v>0</v>
      </c>
      <c r="M205" s="941"/>
      <c r="N205" s="747" t="e">
        <f t="shared" si="26"/>
        <v>#N/A</v>
      </c>
      <c r="AS205" s="746"/>
      <c r="AT205" s="746"/>
      <c r="AU205" s="746"/>
      <c r="AV205" s="746"/>
      <c r="AW205" s="746"/>
      <c r="AX205" s="746"/>
      <c r="AY205" s="746"/>
      <c r="AZ205" s="746"/>
      <c r="BA205" s="746"/>
      <c r="BB205" s="746"/>
      <c r="BC205" s="746"/>
      <c r="BD205" s="746"/>
      <c r="BE205" s="746"/>
      <c r="BF205" s="746"/>
      <c r="BG205" s="746"/>
      <c r="BH205" s="746"/>
      <c r="BI205" s="746"/>
    </row>
    <row r="206" spans="1:61">
      <c r="A206" s="750"/>
      <c r="B206" s="737"/>
      <c r="C206" s="738"/>
      <c r="D206" s="738"/>
      <c r="E206" s="739">
        <f t="shared" si="25"/>
        <v>0</v>
      </c>
      <c r="F206" s="943"/>
      <c r="G206" s="753"/>
      <c r="H206" s="753"/>
      <c r="I206" s="753"/>
      <c r="J206" s="743"/>
      <c r="K206" s="754"/>
      <c r="L206" s="755">
        <f t="shared" si="24"/>
        <v>0</v>
      </c>
      <c r="M206" s="941"/>
      <c r="N206" s="747" t="e">
        <f t="shared" si="26"/>
        <v>#N/A</v>
      </c>
      <c r="AS206" s="746"/>
      <c r="AT206" s="746"/>
      <c r="AU206" s="746"/>
      <c r="AV206" s="746"/>
      <c r="AW206" s="746"/>
      <c r="AX206" s="746"/>
      <c r="AY206" s="746"/>
      <c r="AZ206" s="746"/>
      <c r="BA206" s="746"/>
      <c r="BB206" s="746"/>
      <c r="BC206" s="746"/>
      <c r="BD206" s="746"/>
      <c r="BE206" s="746"/>
      <c r="BF206" s="746"/>
      <c r="BG206" s="746"/>
      <c r="BH206" s="746"/>
      <c r="BI206" s="746"/>
    </row>
    <row r="207" spans="1:61">
      <c r="A207" s="750"/>
      <c r="B207" s="737"/>
      <c r="C207" s="738"/>
      <c r="D207" s="738"/>
      <c r="E207" s="739">
        <f t="shared" si="25"/>
        <v>0</v>
      </c>
      <c r="F207" s="943"/>
      <c r="G207" s="753"/>
      <c r="H207" s="753"/>
      <c r="I207" s="753"/>
      <c r="J207" s="743"/>
      <c r="K207" s="754"/>
      <c r="L207" s="755">
        <f t="shared" si="24"/>
        <v>0</v>
      </c>
      <c r="M207" s="941"/>
      <c r="N207" s="747" t="e">
        <f t="shared" si="26"/>
        <v>#N/A</v>
      </c>
      <c r="AS207" s="746"/>
      <c r="AT207" s="746"/>
      <c r="AU207" s="746"/>
      <c r="AV207" s="746"/>
      <c r="AW207" s="746"/>
      <c r="AX207" s="746"/>
      <c r="AY207" s="746"/>
      <c r="AZ207" s="746"/>
      <c r="BA207" s="746"/>
      <c r="BB207" s="746"/>
      <c r="BC207" s="746"/>
      <c r="BD207" s="746"/>
      <c r="BE207" s="746"/>
      <c r="BF207" s="746"/>
      <c r="BG207" s="746"/>
      <c r="BH207" s="746"/>
      <c r="BI207" s="746"/>
    </row>
    <row r="208" spans="1:61">
      <c r="A208" s="750"/>
      <c r="B208" s="737"/>
      <c r="C208" s="738"/>
      <c r="D208" s="738"/>
      <c r="E208" s="739">
        <f t="shared" si="25"/>
        <v>0</v>
      </c>
      <c r="F208" s="943"/>
      <c r="G208" s="753"/>
      <c r="H208" s="753"/>
      <c r="I208" s="753"/>
      <c r="J208" s="743"/>
      <c r="K208" s="754"/>
      <c r="L208" s="755">
        <f t="shared" si="24"/>
        <v>0</v>
      </c>
      <c r="M208" s="941"/>
      <c r="N208" s="747" t="e">
        <f t="shared" si="26"/>
        <v>#N/A</v>
      </c>
      <c r="AS208" s="746"/>
      <c r="AT208" s="746"/>
      <c r="AU208" s="746"/>
      <c r="AV208" s="746"/>
      <c r="AW208" s="746"/>
      <c r="AX208" s="746"/>
      <c r="AY208" s="746"/>
      <c r="AZ208" s="746"/>
      <c r="BA208" s="746"/>
      <c r="BB208" s="746"/>
      <c r="BC208" s="746"/>
      <c r="BD208" s="746"/>
      <c r="BE208" s="746"/>
      <c r="BF208" s="746"/>
      <c r="BG208" s="746"/>
      <c r="BH208" s="746"/>
      <c r="BI208" s="746"/>
    </row>
    <row r="209" spans="1:61">
      <c r="A209" s="750"/>
      <c r="B209" s="737"/>
      <c r="C209" s="738"/>
      <c r="D209" s="738"/>
      <c r="E209" s="739">
        <f t="shared" si="25"/>
        <v>0</v>
      </c>
      <c r="F209" s="943"/>
      <c r="G209" s="753"/>
      <c r="H209" s="753"/>
      <c r="I209" s="753"/>
      <c r="J209" s="743"/>
      <c r="K209" s="754"/>
      <c r="L209" s="755">
        <f t="shared" si="24"/>
        <v>0</v>
      </c>
      <c r="M209" s="941"/>
      <c r="N209" s="747" t="e">
        <f t="shared" si="26"/>
        <v>#N/A</v>
      </c>
      <c r="AS209" s="746"/>
      <c r="AT209" s="746"/>
      <c r="AU209" s="746"/>
      <c r="AV209" s="746"/>
      <c r="AW209" s="746"/>
      <c r="AX209" s="746"/>
      <c r="AY209" s="746"/>
      <c r="AZ209" s="746"/>
      <c r="BA209" s="746"/>
      <c r="BB209" s="746"/>
      <c r="BC209" s="746"/>
      <c r="BD209" s="746"/>
      <c r="BE209" s="746"/>
      <c r="BF209" s="746"/>
      <c r="BG209" s="746"/>
      <c r="BH209" s="746"/>
      <c r="BI209" s="746"/>
    </row>
    <row r="210" spans="1:61">
      <c r="A210" s="750"/>
      <c r="B210" s="737"/>
      <c r="C210" s="738"/>
      <c r="D210" s="738"/>
      <c r="E210" s="739">
        <f t="shared" si="25"/>
        <v>0</v>
      </c>
      <c r="F210" s="943"/>
      <c r="G210" s="753"/>
      <c r="H210" s="753"/>
      <c r="I210" s="753"/>
      <c r="J210" s="743"/>
      <c r="K210" s="754"/>
      <c r="L210" s="755">
        <f t="shared" si="24"/>
        <v>0</v>
      </c>
      <c r="M210" s="941"/>
      <c r="N210" s="747" t="e">
        <f t="shared" si="26"/>
        <v>#N/A</v>
      </c>
      <c r="AS210" s="746"/>
      <c r="AT210" s="746"/>
      <c r="AU210" s="746"/>
      <c r="AV210" s="746"/>
      <c r="AW210" s="746"/>
      <c r="AX210" s="746"/>
      <c r="AY210" s="746"/>
      <c r="AZ210" s="746"/>
      <c r="BA210" s="746"/>
      <c r="BB210" s="746"/>
      <c r="BC210" s="746"/>
      <c r="BD210" s="746"/>
      <c r="BE210" s="746"/>
      <c r="BF210" s="746"/>
      <c r="BG210" s="746"/>
      <c r="BH210" s="746"/>
      <c r="BI210" s="746"/>
    </row>
    <row r="211" spans="1:61">
      <c r="A211" s="750"/>
      <c r="B211" s="737"/>
      <c r="C211" s="738"/>
      <c r="D211" s="738"/>
      <c r="E211" s="739">
        <f t="shared" si="25"/>
        <v>0</v>
      </c>
      <c r="F211" s="943"/>
      <c r="G211" s="753"/>
      <c r="H211" s="753"/>
      <c r="I211" s="753"/>
      <c r="J211" s="743"/>
      <c r="K211" s="754"/>
      <c r="L211" s="755">
        <f t="shared" si="24"/>
        <v>0</v>
      </c>
      <c r="M211" s="941"/>
      <c r="N211" s="747" t="e">
        <f t="shared" si="26"/>
        <v>#N/A</v>
      </c>
      <c r="AS211" s="746"/>
      <c r="AT211" s="746"/>
      <c r="AU211" s="746"/>
      <c r="AV211" s="746"/>
      <c r="AW211" s="746"/>
      <c r="AX211" s="746"/>
      <c r="AY211" s="746"/>
      <c r="AZ211" s="746"/>
      <c r="BA211" s="746"/>
      <c r="BB211" s="746"/>
      <c r="BC211" s="746"/>
      <c r="BD211" s="746"/>
      <c r="BE211" s="746"/>
      <c r="BF211" s="746"/>
      <c r="BG211" s="746"/>
      <c r="BH211" s="746"/>
      <c r="BI211" s="746"/>
    </row>
    <row r="212" spans="1:61">
      <c r="A212" s="750"/>
      <c r="B212" s="737"/>
      <c r="C212" s="738"/>
      <c r="D212" s="738"/>
      <c r="E212" s="739">
        <f t="shared" si="25"/>
        <v>0</v>
      </c>
      <c r="F212" s="943"/>
      <c r="G212" s="753"/>
      <c r="H212" s="753"/>
      <c r="I212" s="753"/>
      <c r="J212" s="743"/>
      <c r="K212" s="754"/>
      <c r="L212" s="755">
        <f t="shared" si="24"/>
        <v>0</v>
      </c>
      <c r="M212" s="941"/>
      <c r="N212" s="747" t="e">
        <f t="shared" si="26"/>
        <v>#N/A</v>
      </c>
      <c r="AS212" s="746"/>
      <c r="AT212" s="746"/>
      <c r="AU212" s="746"/>
      <c r="AV212" s="746"/>
      <c r="AW212" s="746"/>
      <c r="AX212" s="746"/>
      <c r="AY212" s="746"/>
      <c r="AZ212" s="746"/>
      <c r="BA212" s="746"/>
      <c r="BB212" s="746"/>
      <c r="BC212" s="746"/>
      <c r="BD212" s="746"/>
      <c r="BE212" s="746"/>
      <c r="BF212" s="746"/>
      <c r="BG212" s="746"/>
      <c r="BH212" s="746"/>
      <c r="BI212" s="746"/>
    </row>
    <row r="213" spans="1:61">
      <c r="A213" s="750"/>
      <c r="B213" s="737"/>
      <c r="C213" s="738"/>
      <c r="D213" s="738"/>
      <c r="E213" s="739">
        <f t="shared" si="25"/>
        <v>0</v>
      </c>
      <c r="F213" s="943"/>
      <c r="G213" s="753"/>
      <c r="H213" s="753"/>
      <c r="I213" s="753"/>
      <c r="J213" s="743"/>
      <c r="K213" s="754"/>
      <c r="L213" s="755">
        <f t="shared" si="24"/>
        <v>0</v>
      </c>
      <c r="M213" s="941"/>
      <c r="N213" s="747" t="e">
        <f t="shared" si="26"/>
        <v>#N/A</v>
      </c>
      <c r="AS213" s="746"/>
      <c r="AT213" s="746"/>
      <c r="AU213" s="746"/>
      <c r="AV213" s="746"/>
      <c r="AW213" s="746"/>
      <c r="AX213" s="746"/>
      <c r="AY213" s="746"/>
      <c r="AZ213" s="746"/>
      <c r="BA213" s="746"/>
      <c r="BB213" s="746"/>
      <c r="BC213" s="746"/>
      <c r="BD213" s="746"/>
      <c r="BE213" s="746"/>
      <c r="BF213" s="746"/>
      <c r="BG213" s="746"/>
      <c r="BH213" s="746"/>
      <c r="BI213" s="746"/>
    </row>
    <row r="214" spans="1:61">
      <c r="A214" s="750"/>
      <c r="B214" s="737"/>
      <c r="C214" s="738"/>
      <c r="D214" s="738"/>
      <c r="E214" s="739">
        <f t="shared" si="25"/>
        <v>0</v>
      </c>
      <c r="F214" s="943"/>
      <c r="G214" s="753"/>
      <c r="H214" s="753"/>
      <c r="I214" s="753"/>
      <c r="J214" s="743"/>
      <c r="K214" s="754"/>
      <c r="L214" s="755">
        <f t="shared" si="24"/>
        <v>0</v>
      </c>
      <c r="M214" s="941"/>
      <c r="N214" s="747" t="e">
        <f t="shared" si="26"/>
        <v>#N/A</v>
      </c>
      <c r="AS214" s="746"/>
      <c r="AT214" s="746"/>
      <c r="AU214" s="746"/>
      <c r="AV214" s="746"/>
      <c r="AW214" s="746"/>
      <c r="AX214" s="746"/>
      <c r="AY214" s="746"/>
      <c r="AZ214" s="746"/>
      <c r="BA214" s="746"/>
      <c r="BB214" s="746"/>
      <c r="BC214" s="746"/>
      <c r="BD214" s="746"/>
      <c r="BE214" s="746"/>
      <c r="BF214" s="746"/>
      <c r="BG214" s="746"/>
      <c r="BH214" s="746"/>
      <c r="BI214" s="746"/>
    </row>
    <row r="215" spans="1:61">
      <c r="A215" s="750"/>
      <c r="B215" s="737"/>
      <c r="C215" s="738"/>
      <c r="D215" s="738"/>
      <c r="E215" s="739">
        <f t="shared" si="25"/>
        <v>0</v>
      </c>
      <c r="F215" s="943"/>
      <c r="G215" s="753"/>
      <c r="H215" s="753"/>
      <c r="I215" s="753"/>
      <c r="J215" s="743"/>
      <c r="K215" s="754"/>
      <c r="L215" s="755">
        <f t="shared" si="24"/>
        <v>0</v>
      </c>
      <c r="M215" s="941"/>
      <c r="N215" s="747" t="e">
        <f t="shared" si="26"/>
        <v>#N/A</v>
      </c>
      <c r="AS215" s="746"/>
      <c r="AT215" s="746"/>
      <c r="AU215" s="746"/>
      <c r="AV215" s="746"/>
      <c r="AW215" s="746"/>
      <c r="AX215" s="746"/>
      <c r="AY215" s="746"/>
      <c r="AZ215" s="746"/>
      <c r="BA215" s="746"/>
      <c r="BB215" s="746"/>
      <c r="BC215" s="746"/>
      <c r="BD215" s="746"/>
      <c r="BE215" s="746"/>
      <c r="BF215" s="746"/>
      <c r="BG215" s="746"/>
      <c r="BH215" s="746"/>
      <c r="BI215" s="746"/>
    </row>
    <row r="216" spans="1:61">
      <c r="A216" s="750"/>
      <c r="B216" s="737"/>
      <c r="C216" s="738"/>
      <c r="D216" s="738"/>
      <c r="E216" s="739">
        <f t="shared" si="25"/>
        <v>0</v>
      </c>
      <c r="F216" s="943"/>
      <c r="G216" s="753"/>
      <c r="H216" s="753"/>
      <c r="I216" s="753"/>
      <c r="J216" s="743"/>
      <c r="K216" s="754"/>
      <c r="L216" s="755">
        <f t="shared" si="24"/>
        <v>0</v>
      </c>
      <c r="M216" s="941"/>
      <c r="N216" s="747" t="e">
        <f t="shared" si="26"/>
        <v>#N/A</v>
      </c>
      <c r="AS216" s="746"/>
      <c r="AT216" s="746"/>
      <c r="AU216" s="746"/>
      <c r="AV216" s="746"/>
      <c r="AW216" s="746"/>
      <c r="AX216" s="746"/>
      <c r="AY216" s="746"/>
      <c r="AZ216" s="746"/>
      <c r="BA216" s="746"/>
      <c r="BB216" s="746"/>
      <c r="BC216" s="746"/>
      <c r="BD216" s="746"/>
      <c r="BE216" s="746"/>
      <c r="BF216" s="746"/>
      <c r="BG216" s="746"/>
      <c r="BH216" s="746"/>
      <c r="BI216" s="746"/>
    </row>
    <row r="217" spans="1:61">
      <c r="A217" s="750"/>
      <c r="B217" s="737"/>
      <c r="C217" s="738"/>
      <c r="D217" s="738"/>
      <c r="E217" s="739">
        <f t="shared" si="25"/>
        <v>0</v>
      </c>
      <c r="F217" s="943"/>
      <c r="G217" s="753"/>
      <c r="H217" s="753"/>
      <c r="I217" s="753"/>
      <c r="J217" s="743"/>
      <c r="K217" s="754"/>
      <c r="L217" s="755">
        <f t="shared" si="24"/>
        <v>0</v>
      </c>
      <c r="M217" s="941"/>
      <c r="N217" s="747" t="e">
        <f t="shared" si="26"/>
        <v>#N/A</v>
      </c>
      <c r="AS217" s="746"/>
      <c r="AT217" s="746"/>
      <c r="AU217" s="746"/>
      <c r="AV217" s="746"/>
      <c r="AW217" s="746"/>
      <c r="AX217" s="746"/>
      <c r="AY217" s="746"/>
      <c r="AZ217" s="746"/>
      <c r="BA217" s="746"/>
      <c r="BB217" s="746"/>
      <c r="BC217" s="746"/>
      <c r="BD217" s="746"/>
      <c r="BE217" s="746"/>
      <c r="BF217" s="746"/>
      <c r="BG217" s="746"/>
      <c r="BH217" s="746"/>
      <c r="BI217" s="746"/>
    </row>
    <row r="218" spans="1:61">
      <c r="A218" s="750"/>
      <c r="B218" s="737"/>
      <c r="C218" s="738"/>
      <c r="D218" s="738"/>
      <c r="E218" s="739">
        <f t="shared" si="25"/>
        <v>0</v>
      </c>
      <c r="F218" s="943"/>
      <c r="G218" s="753"/>
      <c r="H218" s="753"/>
      <c r="I218" s="753"/>
      <c r="J218" s="743"/>
      <c r="K218" s="754"/>
      <c r="L218" s="755">
        <f t="shared" si="24"/>
        <v>0</v>
      </c>
      <c r="M218" s="941"/>
      <c r="N218" s="747" t="e">
        <f t="shared" si="26"/>
        <v>#N/A</v>
      </c>
    </row>
    <row r="219" spans="1:61">
      <c r="A219" s="750"/>
      <c r="B219" s="737"/>
      <c r="C219" s="738"/>
      <c r="D219" s="738"/>
      <c r="E219" s="739">
        <f t="shared" si="25"/>
        <v>0</v>
      </c>
      <c r="F219" s="943"/>
      <c r="G219" s="753"/>
      <c r="H219" s="753"/>
      <c r="I219" s="753"/>
      <c r="J219" s="743"/>
      <c r="K219" s="754"/>
      <c r="L219" s="755">
        <f t="shared" si="24"/>
        <v>0</v>
      </c>
      <c r="M219" s="941"/>
      <c r="N219" s="747" t="e">
        <f t="shared" si="26"/>
        <v>#N/A</v>
      </c>
    </row>
    <row r="220" spans="1:61">
      <c r="A220" s="750"/>
      <c r="B220" s="737"/>
      <c r="C220" s="738"/>
      <c r="D220" s="738"/>
      <c r="E220" s="739">
        <f t="shared" si="25"/>
        <v>0</v>
      </c>
      <c r="F220" s="943"/>
      <c r="G220" s="753"/>
      <c r="H220" s="753"/>
      <c r="I220" s="753"/>
      <c r="J220" s="743"/>
      <c r="K220" s="754"/>
      <c r="L220" s="755">
        <f t="shared" si="24"/>
        <v>0</v>
      </c>
      <c r="M220" s="941"/>
      <c r="N220" s="747" t="e">
        <f t="shared" si="26"/>
        <v>#N/A</v>
      </c>
    </row>
    <row r="221" spans="1:61">
      <c r="A221" s="750"/>
      <c r="B221" s="737"/>
      <c r="C221" s="738"/>
      <c r="D221" s="738"/>
      <c r="E221" s="739">
        <f t="shared" si="25"/>
        <v>0</v>
      </c>
      <c r="F221" s="943"/>
      <c r="G221" s="753"/>
      <c r="H221" s="753"/>
      <c r="I221" s="753"/>
      <c r="J221" s="743"/>
      <c r="K221" s="754"/>
      <c r="L221" s="755">
        <f t="shared" si="24"/>
        <v>0</v>
      </c>
      <c r="M221" s="941"/>
      <c r="N221" s="747" t="e">
        <f t="shared" si="26"/>
        <v>#N/A</v>
      </c>
    </row>
    <row r="222" spans="1:61">
      <c r="A222" s="750"/>
      <c r="B222" s="737"/>
      <c r="C222" s="738"/>
      <c r="D222" s="738"/>
      <c r="E222" s="739">
        <f t="shared" si="25"/>
        <v>0</v>
      </c>
      <c r="F222" s="943"/>
      <c r="G222" s="753"/>
      <c r="H222" s="753"/>
      <c r="I222" s="753"/>
      <c r="J222" s="743"/>
      <c r="K222" s="754"/>
      <c r="L222" s="755">
        <f t="shared" si="24"/>
        <v>0</v>
      </c>
      <c r="M222" s="941"/>
      <c r="N222" s="747" t="e">
        <f t="shared" si="26"/>
        <v>#N/A</v>
      </c>
    </row>
    <row r="223" spans="1:61">
      <c r="A223" s="750"/>
      <c r="B223" s="737"/>
      <c r="C223" s="738"/>
      <c r="D223" s="738"/>
      <c r="E223" s="739">
        <f t="shared" si="25"/>
        <v>0</v>
      </c>
      <c r="F223" s="943"/>
      <c r="G223" s="753"/>
      <c r="H223" s="753"/>
      <c r="I223" s="753"/>
      <c r="J223" s="743"/>
      <c r="K223" s="754"/>
      <c r="L223" s="755">
        <f t="shared" si="24"/>
        <v>0</v>
      </c>
      <c r="M223" s="941"/>
      <c r="N223" s="747" t="e">
        <f t="shared" si="26"/>
        <v>#N/A</v>
      </c>
    </row>
    <row r="224" spans="1:61">
      <c r="A224" s="750"/>
      <c r="B224" s="737"/>
      <c r="C224" s="738"/>
      <c r="D224" s="738"/>
      <c r="E224" s="739">
        <f t="shared" si="25"/>
        <v>0</v>
      </c>
      <c r="F224" s="943"/>
      <c r="G224" s="753"/>
      <c r="H224" s="753"/>
      <c r="I224" s="753"/>
      <c r="J224" s="743"/>
      <c r="K224" s="754"/>
      <c r="L224" s="755">
        <f t="shared" si="24"/>
        <v>0</v>
      </c>
      <c r="M224" s="941"/>
      <c r="N224" s="747" t="e">
        <f t="shared" si="26"/>
        <v>#N/A</v>
      </c>
    </row>
    <row r="225" spans="1:58">
      <c r="A225" s="750"/>
      <c r="B225" s="737"/>
      <c r="C225" s="738"/>
      <c r="D225" s="738"/>
      <c r="E225" s="739">
        <f t="shared" si="25"/>
        <v>0</v>
      </c>
      <c r="F225" s="943"/>
      <c r="G225" s="753"/>
      <c r="H225" s="753"/>
      <c r="I225" s="753"/>
      <c r="J225" s="743"/>
      <c r="K225" s="754"/>
      <c r="L225" s="755">
        <f t="shared" si="24"/>
        <v>0</v>
      </c>
      <c r="M225" s="941"/>
      <c r="N225" s="747" t="e">
        <f t="shared" si="26"/>
        <v>#N/A</v>
      </c>
    </row>
    <row r="226" spans="1:58">
      <c r="A226" s="750"/>
      <c r="B226" s="737"/>
      <c r="C226" s="738"/>
      <c r="D226" s="738"/>
      <c r="E226" s="739">
        <f t="shared" si="25"/>
        <v>0</v>
      </c>
      <c r="F226" s="943"/>
      <c r="G226" s="753"/>
      <c r="H226" s="753"/>
      <c r="I226" s="753"/>
      <c r="J226" s="743"/>
      <c r="K226" s="754"/>
      <c r="L226" s="755">
        <f t="shared" si="24"/>
        <v>0</v>
      </c>
      <c r="M226" s="941"/>
      <c r="N226" s="747" t="e">
        <f t="shared" si="26"/>
        <v>#N/A</v>
      </c>
    </row>
    <row r="227" spans="1:58">
      <c r="A227" s="944" t="s">
        <v>162</v>
      </c>
      <c r="B227" s="737"/>
      <c r="C227" s="738">
        <f t="shared" ref="C227:L227" si="27">SUM(C5:C226)</f>
        <v>0</v>
      </c>
      <c r="D227" s="945">
        <f t="shared" si="27"/>
        <v>0</v>
      </c>
      <c r="E227" s="946">
        <f t="shared" si="27"/>
        <v>0</v>
      </c>
      <c r="F227" s="946">
        <f t="shared" si="27"/>
        <v>0</v>
      </c>
      <c r="G227" s="946">
        <f t="shared" si="27"/>
        <v>0</v>
      </c>
      <c r="H227" s="946">
        <f t="shared" si="27"/>
        <v>0</v>
      </c>
      <c r="I227" s="947">
        <f t="shared" si="27"/>
        <v>0</v>
      </c>
      <c r="J227" s="948">
        <f t="shared" si="27"/>
        <v>0</v>
      </c>
      <c r="K227" s="949">
        <f t="shared" si="27"/>
        <v>0</v>
      </c>
      <c r="L227" s="950">
        <f t="shared" si="27"/>
        <v>0</v>
      </c>
      <c r="M227" s="941"/>
      <c r="N227" s="951"/>
    </row>
    <row r="228" spans="1:58">
      <c r="A228" s="952"/>
      <c r="B228" s="942"/>
      <c r="C228" s="942"/>
      <c r="D228" s="942"/>
      <c r="E228" s="942"/>
      <c r="F228" s="953"/>
      <c r="G228" s="942"/>
      <c r="H228" s="942"/>
      <c r="I228" s="942"/>
      <c r="J228" s="942"/>
      <c r="K228" s="942"/>
      <c r="L228" s="942"/>
      <c r="M228" s="942"/>
      <c r="N228" s="942"/>
      <c r="O228" s="941"/>
      <c r="P228" s="942"/>
      <c r="Q228" s="942"/>
      <c r="R228" s="942"/>
      <c r="S228" s="942"/>
      <c r="T228" s="942"/>
      <c r="U228" s="942"/>
      <c r="V228" s="942"/>
      <c r="W228" s="942"/>
      <c r="X228" s="942"/>
      <c r="Y228" s="942"/>
      <c r="Z228" s="942"/>
      <c r="AA228" s="942"/>
      <c r="AB228" s="942"/>
      <c r="AC228" s="942"/>
      <c r="AD228" s="941"/>
      <c r="AE228" s="941"/>
      <c r="AF228" s="941"/>
      <c r="AG228" s="573"/>
      <c r="AH228" s="573"/>
      <c r="AI228" s="573"/>
      <c r="AJ228" s="573"/>
      <c r="AK228" s="573"/>
      <c r="AL228" s="573"/>
      <c r="AM228" s="573"/>
      <c r="AN228" s="573"/>
      <c r="AO228" s="573"/>
      <c r="AP228" s="573"/>
      <c r="AQ228" s="874"/>
      <c r="BF228" s="941"/>
    </row>
    <row r="229" spans="1:58">
      <c r="B229" s="942" t="s">
        <v>908</v>
      </c>
      <c r="C229" s="954"/>
      <c r="E229" s="942">
        <f>AK28+AK55+AK99</f>
        <v>0</v>
      </c>
      <c r="H229" s="942"/>
      <c r="J229" s="942"/>
      <c r="BF229" s="955"/>
    </row>
    <row r="230" spans="1:58">
      <c r="B230" s="942" t="s">
        <v>909</v>
      </c>
      <c r="C230" s="954">
        <f t="shared" ref="C230:I230" si="28">C227-C229</f>
        <v>0</v>
      </c>
      <c r="D230" s="954">
        <f t="shared" si="28"/>
        <v>0</v>
      </c>
      <c r="E230" s="954">
        <f t="shared" si="28"/>
        <v>0</v>
      </c>
      <c r="F230" s="956">
        <f t="shared" si="28"/>
        <v>0</v>
      </c>
      <c r="G230" s="956">
        <f t="shared" si="28"/>
        <v>0</v>
      </c>
      <c r="H230" s="954">
        <f t="shared" si="28"/>
        <v>0</v>
      </c>
      <c r="I230" s="954">
        <f t="shared" si="28"/>
        <v>0</v>
      </c>
      <c r="J230" s="954">
        <f>J229-J227</f>
        <v>0</v>
      </c>
      <c r="K230" s="954">
        <f>K227-K229</f>
        <v>0</v>
      </c>
    </row>
    <row r="303" spans="2:2">
      <c r="B303" s="954"/>
    </row>
    <row r="369" spans="2:2">
      <c r="B369" s="954"/>
    </row>
    <row r="379" spans="2:2">
      <c r="B379" s="954"/>
    </row>
  </sheetData>
  <mergeCells count="50">
    <mergeCell ref="AI1:AK1"/>
    <mergeCell ref="AL1:AN1"/>
    <mergeCell ref="AO1:AP1"/>
    <mergeCell ref="AT5:BE5"/>
    <mergeCell ref="AT6:BE6"/>
    <mergeCell ref="AT7:BE7"/>
    <mergeCell ref="AT8:BE8"/>
    <mergeCell ref="AT9:BE9"/>
    <mergeCell ref="R10:U10"/>
    <mergeCell ref="V10:Z10"/>
    <mergeCell ref="AG28:AH28"/>
    <mergeCell ref="AI30:AK30"/>
    <mergeCell ref="AL30:AN30"/>
    <mergeCell ref="AO30:AP30"/>
    <mergeCell ref="AG55:AH55"/>
    <mergeCell ref="AI57:AK57"/>
    <mergeCell ref="AL57:AN57"/>
    <mergeCell ref="AO57:AP57"/>
    <mergeCell ref="AI101:AK101"/>
    <mergeCell ref="AL101:AN101"/>
    <mergeCell ref="AO101:AP101"/>
    <mergeCell ref="AI116:AK116"/>
    <mergeCell ref="AL116:AN116"/>
    <mergeCell ref="AO116:AP116"/>
    <mergeCell ref="AF141:AJ141"/>
    <mergeCell ref="AG1:AG2"/>
    <mergeCell ref="AG30:AG31"/>
    <mergeCell ref="AG32:AG41"/>
    <mergeCell ref="AG42:AG54"/>
    <mergeCell ref="AG57:AG58"/>
    <mergeCell ref="AG59:AG66"/>
    <mergeCell ref="AG67:AG71"/>
    <mergeCell ref="AG72:AG78"/>
    <mergeCell ref="AG79:AG84"/>
    <mergeCell ref="AG85:AG90"/>
    <mergeCell ref="AG91:AG98"/>
    <mergeCell ref="AG101:AG114"/>
    <mergeCell ref="AG116:AG129"/>
    <mergeCell ref="AH1:AH2"/>
    <mergeCell ref="AH30:AH31"/>
    <mergeCell ref="AH57:AH58"/>
    <mergeCell ref="AH101:AH102"/>
    <mergeCell ref="AH116:AH117"/>
    <mergeCell ref="AQ2:AQ55"/>
    <mergeCell ref="AT11:AT16"/>
    <mergeCell ref="AU11:AU16"/>
    <mergeCell ref="AV11:AV16"/>
    <mergeCell ref="AW11:AW16"/>
    <mergeCell ref="AX11:AX16"/>
    <mergeCell ref="AY11:AY1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87"/>
  <sheetViews>
    <sheetView workbookViewId="0">
      <selection activeCell="A1" sqref="A1"/>
    </sheetView>
  </sheetViews>
  <sheetFormatPr defaultColWidth="9" defaultRowHeight="16.8"/>
  <cols>
    <col min="1" max="1" width="14.4423076923077" customWidth="1"/>
    <col min="2" max="2" width="10.4423076923077" customWidth="1"/>
    <col min="3" max="3" width="14.8846153846154" customWidth="1"/>
    <col min="4" max="4" width="8.88461538461539" customWidth="1"/>
    <col min="5" max="5" width="25.4423076923077" customWidth="1"/>
    <col min="6" max="6" width="9.11538461538461" customWidth="1"/>
    <col min="8" max="8" width="15" customWidth="1"/>
    <col min="9" max="9" width="21.4423076923077" customWidth="1"/>
    <col min="10" max="10" width="38.4423076923077" customWidth="1"/>
    <col min="11" max="11" width="11.4423076923077" customWidth="1"/>
    <col min="12" max="12" width="15.4423076923077" customWidth="1"/>
    <col min="13" max="13" width="9.88461538461538" customWidth="1"/>
    <col min="14" max="14" width="14" customWidth="1"/>
    <col min="15" max="15" width="10" customWidth="1"/>
    <col min="16" max="16" width="10.8846153846154" customWidth="1"/>
    <col min="17" max="17" width="13.4423076923077" customWidth="1"/>
    <col min="18" max="18" width="11.1153846153846" customWidth="1"/>
    <col min="19" max="19" width="20.4423076923077" customWidth="1"/>
    <col min="20" max="20" width="19.4423076923077" customWidth="1"/>
    <col min="21" max="21" width="15.4423076923077" customWidth="1"/>
    <col min="23" max="23" width="12.4423076923077" customWidth="1"/>
    <col min="24" max="24" width="15.1153846153846" customWidth="1"/>
    <col min="25" max="25" width="14.4423076923077" customWidth="1"/>
    <col min="26" max="26" width="10" customWidth="1"/>
    <col min="27" max="27" width="19.4423076923077" customWidth="1"/>
    <col min="28" max="28" width="15.4423076923077" customWidth="1"/>
    <col min="29" max="29" width="12.4423076923077" customWidth="1"/>
    <col min="30" max="30" width="15.1153846153846" customWidth="1"/>
    <col min="31" max="31" width="2" customWidth="1"/>
    <col min="32" max="32" width="19.4423076923077" customWidth="1"/>
    <col min="33" max="33" width="15.4423076923077" customWidth="1"/>
    <col min="34" max="34" width="12.4423076923077" customWidth="1"/>
    <col min="35" max="35" width="15.1153846153846" customWidth="1"/>
    <col min="36" max="36" width="10" customWidth="1"/>
  </cols>
  <sheetData>
    <row r="1" ht="31.95" customHeight="1" spans="1:35">
      <c r="A1" s="600"/>
      <c r="B1" s="601"/>
      <c r="C1" s="602"/>
      <c r="D1" s="602"/>
      <c r="E1" s="603"/>
      <c r="F1" s="604"/>
      <c r="G1" s="604"/>
      <c r="H1" s="605"/>
      <c r="I1" s="606"/>
      <c r="J1" s="602"/>
      <c r="K1" s="433"/>
      <c r="L1" s="452"/>
      <c r="M1" s="452"/>
      <c r="N1" s="607"/>
      <c r="P1" s="608" t="s">
        <v>910</v>
      </c>
      <c r="Q1" s="609"/>
      <c r="R1" s="609"/>
      <c r="S1" s="609"/>
      <c r="T1" s="609"/>
      <c r="U1" s="609"/>
      <c r="V1" s="609"/>
      <c r="W1" s="609"/>
      <c r="X1" s="609"/>
      <c r="Y1" s="607"/>
      <c r="AA1" s="610"/>
      <c r="AB1" s="192"/>
      <c r="AC1" s="192"/>
      <c r="AD1" s="192"/>
      <c r="AE1" s="192"/>
      <c r="AF1" s="192"/>
      <c r="AG1" s="192"/>
      <c r="AH1" s="192"/>
      <c r="AI1" s="193"/>
    </row>
    <row r="2" ht="20.1" customHeight="1" spans="1:35">
      <c r="A2" s="576" t="s">
        <v>911</v>
      </c>
      <c r="B2" s="611" t="s">
        <v>6</v>
      </c>
      <c r="C2" s="611" t="s">
        <v>912</v>
      </c>
      <c r="D2" s="611" t="s">
        <v>913</v>
      </c>
      <c r="E2" s="611" t="s">
        <v>914</v>
      </c>
      <c r="F2" s="611" t="s">
        <v>915</v>
      </c>
      <c r="G2" s="611" t="s">
        <v>916</v>
      </c>
      <c r="H2" s="611" t="s">
        <v>917</v>
      </c>
      <c r="I2" s="611" t="s">
        <v>918</v>
      </c>
      <c r="J2" s="611" t="s">
        <v>919</v>
      </c>
      <c r="K2" s="612" t="s">
        <v>920</v>
      </c>
      <c r="L2" s="576" t="s">
        <v>921</v>
      </c>
      <c r="M2" s="576" t="s">
        <v>922</v>
      </c>
      <c r="N2" s="613" t="str">
        <f t="shared" ref="N2:N22" si="0">M2</f>
        <v>销售追加奖励</v>
      </c>
      <c r="P2" s="614"/>
      <c r="Q2" s="614"/>
      <c r="R2" s="614"/>
      <c r="S2" s="614"/>
      <c r="T2" s="614"/>
      <c r="U2" s="614"/>
      <c r="V2" s="614"/>
      <c r="W2" s="614"/>
      <c r="X2" s="615"/>
      <c r="Y2" s="616"/>
      <c r="Z2" s="617">
        <f t="shared" ref="Z2:Z51" si="1">COUNTIF(Q:Q,Q2)</f>
        <v>0</v>
      </c>
      <c r="AA2" s="618" t="s">
        <v>923</v>
      </c>
      <c r="AB2" s="618" t="s">
        <v>924</v>
      </c>
      <c r="AC2" s="618" t="s">
        <v>925</v>
      </c>
      <c r="AD2" s="618"/>
      <c r="AF2" s="618" t="s">
        <v>923</v>
      </c>
      <c r="AG2" s="618" t="s">
        <v>924</v>
      </c>
      <c r="AH2" s="618" t="s">
        <v>925</v>
      </c>
      <c r="AI2" s="618"/>
    </row>
    <row r="3" ht="20.1" customHeight="1" spans="1:35">
      <c r="A3" s="576" t="s">
        <v>926</v>
      </c>
      <c r="B3" s="619" t="s">
        <v>863</v>
      </c>
      <c r="C3" s="619" t="s">
        <v>927</v>
      </c>
      <c r="D3" s="619" t="s">
        <v>928</v>
      </c>
      <c r="E3" s="619" t="s">
        <v>929</v>
      </c>
      <c r="F3" s="619"/>
      <c r="G3" s="619"/>
      <c r="H3" s="619" t="s">
        <v>930</v>
      </c>
      <c r="I3" s="619" t="s">
        <v>931</v>
      </c>
      <c r="J3" s="619" t="s">
        <v>932</v>
      </c>
      <c r="K3" s="612"/>
      <c r="L3" s="576"/>
      <c r="M3" s="576"/>
      <c r="N3" s="613">
        <f t="shared" si="0"/>
        <v>0</v>
      </c>
      <c r="O3" s="620" t="s">
        <v>933</v>
      </c>
      <c r="P3" s="621" t="s">
        <v>12</v>
      </c>
      <c r="Q3" s="622" t="s">
        <v>381</v>
      </c>
      <c r="R3" s="622" t="s">
        <v>934</v>
      </c>
      <c r="S3" s="623" t="s">
        <v>935</v>
      </c>
      <c r="T3" s="623" t="s">
        <v>936</v>
      </c>
      <c r="U3" s="623" t="s">
        <v>937</v>
      </c>
      <c r="V3" s="623" t="s">
        <v>938</v>
      </c>
      <c r="W3" s="623" t="s">
        <v>939</v>
      </c>
      <c r="X3" s="624" t="s">
        <v>939</v>
      </c>
      <c r="Y3" s="616"/>
      <c r="Z3" s="617">
        <f t="shared" si="1"/>
        <v>3</v>
      </c>
      <c r="AA3" s="623" t="s">
        <v>937</v>
      </c>
      <c r="AB3" s="623" t="s">
        <v>937</v>
      </c>
      <c r="AC3" s="623" t="s">
        <v>937</v>
      </c>
      <c r="AD3" s="623" t="s">
        <v>939</v>
      </c>
      <c r="AF3" s="623" t="s">
        <v>937</v>
      </c>
      <c r="AG3" s="623" t="s">
        <v>937</v>
      </c>
      <c r="AH3" s="623" t="s">
        <v>937</v>
      </c>
      <c r="AI3" s="623" t="s">
        <v>939</v>
      </c>
    </row>
    <row r="4" ht="20.1" customHeight="1" spans="1:35">
      <c r="A4" s="576" t="s">
        <v>926</v>
      </c>
      <c r="B4" s="619" t="s">
        <v>940</v>
      </c>
      <c r="C4" s="619" t="s">
        <v>941</v>
      </c>
      <c r="D4" s="619" t="s">
        <v>942</v>
      </c>
      <c r="E4" s="619" t="s">
        <v>943</v>
      </c>
      <c r="F4" s="619"/>
      <c r="G4" s="619"/>
      <c r="H4" s="619" t="s">
        <v>930</v>
      </c>
      <c r="I4" s="619" t="s">
        <v>194</v>
      </c>
      <c r="J4" s="619" t="s">
        <v>944</v>
      </c>
      <c r="K4" s="612"/>
      <c r="L4" s="576"/>
      <c r="M4" s="576"/>
      <c r="N4" s="613">
        <f t="shared" si="0"/>
        <v>0</v>
      </c>
      <c r="P4" s="621"/>
      <c r="Q4" s="622"/>
      <c r="R4" s="622"/>
      <c r="S4" s="623"/>
      <c r="T4" s="623"/>
      <c r="U4" s="623"/>
      <c r="V4" s="623"/>
      <c r="W4" s="623"/>
      <c r="X4" s="624">
        <f t="shared" ref="X4:X24" si="2">SUM(U4:W4)</f>
        <v>0</v>
      </c>
      <c r="Y4" s="616"/>
      <c r="Z4" s="617">
        <f t="shared" si="1"/>
        <v>0</v>
      </c>
      <c r="AA4" s="623"/>
      <c r="AB4" s="623"/>
      <c r="AC4" s="623"/>
      <c r="AD4" s="624">
        <f t="shared" ref="AD4:AD12" si="3">SUM(AA4:AC4)</f>
        <v>0</v>
      </c>
      <c r="AF4" s="623">
        <f>SUMIFS(O:O,I:I,'重功超期+活动'!Q4,B:B,"豪越L")</f>
        <v>0</v>
      </c>
      <c r="AG4" s="623">
        <f>SUMIFS(O:O,I:I,'重功超期+活动'!Q4,B:B,"第4代帝豪")</f>
        <v>0</v>
      </c>
      <c r="AH4" s="623">
        <f>SUMIFS(O:O,I:I,'重功超期+活动'!Q4,B:B,"第5代帝豪")</f>
        <v>0</v>
      </c>
      <c r="AI4" s="624">
        <f t="shared" ref="AI4:AI12" si="4">SUM(AF4:AH4)</f>
        <v>0</v>
      </c>
    </row>
    <row r="5" ht="20.1" customHeight="1" spans="1:35">
      <c r="A5" s="576" t="s">
        <v>945</v>
      </c>
      <c r="B5" s="619" t="s">
        <v>946</v>
      </c>
      <c r="C5" s="619" t="s">
        <v>947</v>
      </c>
      <c r="D5" s="619" t="s">
        <v>948</v>
      </c>
      <c r="E5" s="619" t="s">
        <v>949</v>
      </c>
      <c r="F5" s="619"/>
      <c r="G5" s="619"/>
      <c r="H5" s="619" t="s">
        <v>930</v>
      </c>
      <c r="I5" s="619" t="s">
        <v>950</v>
      </c>
      <c r="J5" s="619" t="s">
        <v>951</v>
      </c>
      <c r="K5" s="612"/>
      <c r="L5" s="576"/>
      <c r="M5" s="576"/>
      <c r="N5" s="613">
        <f t="shared" si="0"/>
        <v>0</v>
      </c>
      <c r="P5" s="621"/>
      <c r="Q5" s="622"/>
      <c r="R5" s="622"/>
      <c r="S5" s="623"/>
      <c r="T5" s="623"/>
      <c r="U5" s="623"/>
      <c r="V5" s="623"/>
      <c r="W5" s="623"/>
      <c r="X5" s="624">
        <f t="shared" si="2"/>
        <v>0</v>
      </c>
      <c r="Y5" s="616"/>
      <c r="Z5" s="617">
        <f t="shared" si="1"/>
        <v>0</v>
      </c>
      <c r="AA5" s="623"/>
      <c r="AB5" s="623"/>
      <c r="AC5" s="623"/>
      <c r="AD5" s="624">
        <f t="shared" si="3"/>
        <v>0</v>
      </c>
      <c r="AF5" s="623">
        <f>SUMIFS(O:O,I:I,'重功超期+活动'!Q5,B:B,"豪越L")</f>
        <v>0</v>
      </c>
      <c r="AG5" s="623">
        <f>SUMIFS(O:O,I:I,'重功超期+活动'!Q5,B:B,"第4代帝豪")</f>
        <v>0</v>
      </c>
      <c r="AH5" s="623">
        <f>SUMIFS(O:O,I:I,'重功超期+活动'!Q5,B:B,"第5代帝豪")</f>
        <v>0</v>
      </c>
      <c r="AI5" s="624">
        <f t="shared" si="4"/>
        <v>0</v>
      </c>
    </row>
    <row r="6" ht="20.1" customHeight="1" spans="1:35">
      <c r="A6" s="576" t="s">
        <v>945</v>
      </c>
      <c r="B6" s="619" t="s">
        <v>686</v>
      </c>
      <c r="C6" s="619" t="s">
        <v>952</v>
      </c>
      <c r="D6" s="619" t="s">
        <v>942</v>
      </c>
      <c r="E6" s="619" t="s">
        <v>953</v>
      </c>
      <c r="F6" s="619"/>
      <c r="G6" s="619"/>
      <c r="H6" s="619" t="s">
        <v>930</v>
      </c>
      <c r="I6" s="619" t="s">
        <v>954</v>
      </c>
      <c r="J6" s="619" t="s">
        <v>955</v>
      </c>
      <c r="K6" s="612"/>
      <c r="L6" s="576"/>
      <c r="M6" s="576"/>
      <c r="N6" s="613">
        <f t="shared" si="0"/>
        <v>0</v>
      </c>
      <c r="P6" s="621"/>
      <c r="Q6" s="622"/>
      <c r="R6" s="622"/>
      <c r="S6" s="623"/>
      <c r="T6" s="623"/>
      <c r="U6" s="623"/>
      <c r="V6" s="623"/>
      <c r="W6" s="623"/>
      <c r="X6" s="624">
        <f t="shared" si="2"/>
        <v>0</v>
      </c>
      <c r="Y6" s="616"/>
      <c r="Z6" s="617">
        <f t="shared" si="1"/>
        <v>0</v>
      </c>
      <c r="AA6" s="623"/>
      <c r="AB6" s="623"/>
      <c r="AC6" s="623"/>
      <c r="AD6" s="624">
        <f t="shared" si="3"/>
        <v>0</v>
      </c>
      <c r="AF6" s="623">
        <f>SUMIFS(O:O,I:I,'重功超期+活动'!Q6,B:B,"豪越L")</f>
        <v>0</v>
      </c>
      <c r="AG6" s="623">
        <f>SUMIFS(O:O,I:I,'重功超期+活动'!Q6,B:B,"第4代帝豪")</f>
        <v>0</v>
      </c>
      <c r="AH6" s="623">
        <f>SUMIFS(O:O,I:I,'重功超期+活动'!Q6,B:B,"第5代帝豪")</f>
        <v>0</v>
      </c>
      <c r="AI6" s="624">
        <f t="shared" si="4"/>
        <v>0</v>
      </c>
    </row>
    <row r="7" ht="20.1" customHeight="1" spans="1:35">
      <c r="A7" s="576" t="s">
        <v>945</v>
      </c>
      <c r="B7" s="619" t="s">
        <v>946</v>
      </c>
      <c r="C7" s="619" t="s">
        <v>941</v>
      </c>
      <c r="D7" s="619" t="s">
        <v>956</v>
      </c>
      <c r="E7" s="619" t="s">
        <v>957</v>
      </c>
      <c r="F7" s="619"/>
      <c r="G7" s="619"/>
      <c r="H7" s="619" t="s">
        <v>930</v>
      </c>
      <c r="I7" s="619" t="s">
        <v>958</v>
      </c>
      <c r="J7" s="619" t="s">
        <v>959</v>
      </c>
      <c r="K7" s="612"/>
      <c r="L7" s="576"/>
      <c r="M7" s="576"/>
      <c r="N7" s="613">
        <f t="shared" si="0"/>
        <v>0</v>
      </c>
      <c r="P7" s="621"/>
      <c r="Q7" s="622"/>
      <c r="R7" s="622"/>
      <c r="S7" s="623"/>
      <c r="T7" s="623"/>
      <c r="U7" s="623"/>
      <c r="V7" s="623"/>
      <c r="W7" s="623"/>
      <c r="X7" s="624">
        <f t="shared" si="2"/>
        <v>0</v>
      </c>
      <c r="Y7" s="616"/>
      <c r="Z7" s="617">
        <f t="shared" si="1"/>
        <v>0</v>
      </c>
      <c r="AA7" s="623"/>
      <c r="AB7" s="623"/>
      <c r="AC7" s="623"/>
      <c r="AD7" s="624">
        <f t="shared" si="3"/>
        <v>0</v>
      </c>
      <c r="AF7" s="623">
        <f>SUMIFS(O:O,I:I,'重功超期+活动'!Q7,B:B,"豪越L")</f>
        <v>0</v>
      </c>
      <c r="AG7" s="623">
        <f>SUMIFS(O:O,I:I,'重功超期+活动'!Q7,B:B,"第4代帝豪")</f>
        <v>0</v>
      </c>
      <c r="AH7" s="623">
        <f>SUMIFS(O:O,I:I,'重功超期+活动'!Q7,B:B,"第5代帝豪")</f>
        <v>0</v>
      </c>
      <c r="AI7" s="624">
        <f t="shared" si="4"/>
        <v>0</v>
      </c>
    </row>
    <row r="8" ht="20.1" customHeight="1" spans="1:35">
      <c r="A8" s="576" t="s">
        <v>945</v>
      </c>
      <c r="B8" s="619" t="s">
        <v>960</v>
      </c>
      <c r="C8" s="619" t="s">
        <v>961</v>
      </c>
      <c r="D8" s="619" t="s">
        <v>942</v>
      </c>
      <c r="E8" s="619" t="s">
        <v>962</v>
      </c>
      <c r="F8" s="619"/>
      <c r="G8" s="619"/>
      <c r="H8" s="619" t="s">
        <v>930</v>
      </c>
      <c r="I8" s="619" t="s">
        <v>963</v>
      </c>
      <c r="J8" s="619" t="s">
        <v>964</v>
      </c>
      <c r="K8" s="612"/>
      <c r="L8" s="576"/>
      <c r="M8" s="576"/>
      <c r="N8" s="613">
        <f t="shared" si="0"/>
        <v>0</v>
      </c>
      <c r="P8" s="621"/>
      <c r="Q8" s="622"/>
      <c r="R8" s="622"/>
      <c r="S8" s="623"/>
      <c r="T8" s="623"/>
      <c r="U8" s="623"/>
      <c r="V8" s="623"/>
      <c r="W8" s="623"/>
      <c r="X8" s="624">
        <f t="shared" si="2"/>
        <v>0</v>
      </c>
      <c r="Y8" s="616"/>
      <c r="Z8" s="617">
        <f t="shared" si="1"/>
        <v>0</v>
      </c>
      <c r="AA8" s="623"/>
      <c r="AB8" s="623"/>
      <c r="AC8" s="623"/>
      <c r="AD8" s="624">
        <f t="shared" si="3"/>
        <v>0</v>
      </c>
      <c r="AF8" s="623">
        <f>SUMIFS(O:O,I:I,'重功超期+活动'!Q8,B:B,"豪越L")</f>
        <v>0</v>
      </c>
      <c r="AG8" s="623">
        <f>SUMIFS(O:O,I:I,'重功超期+活动'!Q8,B:B,"第4代帝豪")</f>
        <v>0</v>
      </c>
      <c r="AH8" s="623">
        <f>SUMIFS(O:O,I:I,'重功超期+活动'!Q8,B:B,"第5代帝豪")</f>
        <v>0</v>
      </c>
      <c r="AI8" s="624">
        <f t="shared" si="4"/>
        <v>0</v>
      </c>
    </row>
    <row r="9" ht="20.1" customHeight="1" spans="1:35">
      <c r="A9" s="576" t="s">
        <v>945</v>
      </c>
      <c r="B9" s="619" t="s">
        <v>960</v>
      </c>
      <c r="C9" s="619" t="s">
        <v>961</v>
      </c>
      <c r="D9" s="619" t="s">
        <v>942</v>
      </c>
      <c r="E9" s="619" t="s">
        <v>965</v>
      </c>
      <c r="F9" s="619"/>
      <c r="G9" s="619"/>
      <c r="H9" s="619" t="s">
        <v>930</v>
      </c>
      <c r="I9" s="619" t="s">
        <v>963</v>
      </c>
      <c r="J9" s="619" t="s">
        <v>966</v>
      </c>
      <c r="K9" s="612"/>
      <c r="L9" s="576"/>
      <c r="M9" s="576"/>
      <c r="N9" s="613">
        <f t="shared" si="0"/>
        <v>0</v>
      </c>
      <c r="P9" s="621"/>
      <c r="Q9" s="622"/>
      <c r="R9" s="622"/>
      <c r="S9" s="623"/>
      <c r="T9" s="623"/>
      <c r="U9" s="623"/>
      <c r="V9" s="623"/>
      <c r="W9" s="623"/>
      <c r="X9" s="624">
        <f t="shared" si="2"/>
        <v>0</v>
      </c>
      <c r="Y9" s="616"/>
      <c r="Z9" s="617">
        <f t="shared" si="1"/>
        <v>0</v>
      </c>
      <c r="AA9" s="623"/>
      <c r="AB9" s="623"/>
      <c r="AC9" s="623"/>
      <c r="AD9" s="624">
        <f t="shared" si="3"/>
        <v>0</v>
      </c>
      <c r="AF9" s="623">
        <f>SUMIFS(O:O,I:I,'重功超期+活动'!Q9,B:B,"豪越L")</f>
        <v>0</v>
      </c>
      <c r="AG9" s="623">
        <f>SUMIFS(O:O,I:I,'重功超期+活动'!Q9,B:B,"第4代帝豪")</f>
        <v>0</v>
      </c>
      <c r="AH9" s="623">
        <f>SUMIFS(O:O,I:I,'重功超期+活动'!Q9,B:B,"第5代帝豪")</f>
        <v>0</v>
      </c>
      <c r="AI9" s="624">
        <f t="shared" si="4"/>
        <v>0</v>
      </c>
    </row>
    <row r="10" ht="20.1" customHeight="1" spans="1:35">
      <c r="A10" s="576" t="s">
        <v>945</v>
      </c>
      <c r="B10" s="576" t="s">
        <v>946</v>
      </c>
      <c r="C10" s="625" t="s">
        <v>941</v>
      </c>
      <c r="D10" s="576" t="s">
        <v>948</v>
      </c>
      <c r="E10" s="626" t="s">
        <v>967</v>
      </c>
      <c r="F10" s="627"/>
      <c r="G10" s="627"/>
      <c r="H10" s="619" t="s">
        <v>930</v>
      </c>
      <c r="I10" s="576" t="s">
        <v>968</v>
      </c>
      <c r="J10" s="619" t="s">
        <v>969</v>
      </c>
      <c r="K10" s="576"/>
      <c r="L10" s="576"/>
      <c r="M10" s="576"/>
      <c r="N10" s="613">
        <f t="shared" si="0"/>
        <v>0</v>
      </c>
      <c r="P10" s="621"/>
      <c r="Q10" s="622"/>
      <c r="R10" s="622"/>
      <c r="S10" s="623"/>
      <c r="T10" s="623"/>
      <c r="U10" s="623"/>
      <c r="V10" s="623"/>
      <c r="W10" s="623"/>
      <c r="X10" s="624">
        <f t="shared" si="2"/>
        <v>0</v>
      </c>
      <c r="Y10" s="616"/>
      <c r="Z10" s="617">
        <f t="shared" si="1"/>
        <v>0</v>
      </c>
      <c r="AA10" s="623"/>
      <c r="AB10" s="623"/>
      <c r="AC10" s="623"/>
      <c r="AD10" s="624">
        <f t="shared" si="3"/>
        <v>0</v>
      </c>
      <c r="AF10" s="623">
        <f>SUMIFS(O:O,I:I,'重功超期+活动'!Q10,B:B,"豪越L")</f>
        <v>0</v>
      </c>
      <c r="AG10" s="623">
        <f>SUMIFS(O:O,I:I,'重功超期+活动'!Q10,B:B,"第4代帝豪")</f>
        <v>0</v>
      </c>
      <c r="AH10" s="623">
        <f>SUMIFS(O:O,I:I,'重功超期+活动'!Q10,B:B,"第5代帝豪")</f>
        <v>0</v>
      </c>
      <c r="AI10" s="624">
        <f t="shared" si="4"/>
        <v>0</v>
      </c>
    </row>
    <row r="11" ht="20.1" customHeight="1" spans="1:35">
      <c r="A11" s="576" t="s">
        <v>945</v>
      </c>
      <c r="B11" s="576" t="s">
        <v>946</v>
      </c>
      <c r="C11" s="625" t="s">
        <v>970</v>
      </c>
      <c r="D11" s="576" t="s">
        <v>971</v>
      </c>
      <c r="E11" s="626" t="s">
        <v>972</v>
      </c>
      <c r="F11" s="627"/>
      <c r="G11" s="627"/>
      <c r="H11" s="619" t="s">
        <v>930</v>
      </c>
      <c r="I11" s="576" t="s">
        <v>973</v>
      </c>
      <c r="J11" s="619" t="s">
        <v>974</v>
      </c>
      <c r="K11" s="576"/>
      <c r="L11" s="576"/>
      <c r="M11" s="576"/>
      <c r="N11" s="613">
        <f t="shared" si="0"/>
        <v>0</v>
      </c>
      <c r="O11" s="617"/>
      <c r="P11" s="621"/>
      <c r="Q11" s="622"/>
      <c r="R11" s="622"/>
      <c r="S11" s="623"/>
      <c r="T11" s="623"/>
      <c r="U11" s="623"/>
      <c r="V11" s="623"/>
      <c r="W11" s="623"/>
      <c r="X11" s="624">
        <f t="shared" si="2"/>
        <v>0</v>
      </c>
      <c r="Y11" s="616"/>
      <c r="Z11" s="617">
        <f t="shared" si="1"/>
        <v>0</v>
      </c>
      <c r="AA11" s="623"/>
      <c r="AB11" s="623"/>
      <c r="AC11" s="623"/>
      <c r="AD11" s="624">
        <f t="shared" si="3"/>
        <v>0</v>
      </c>
      <c r="AF11" s="623">
        <f>SUMIFS(O:O,I:I,'重功超期+活动'!Q11,B:B,"豪越L")</f>
        <v>0</v>
      </c>
      <c r="AG11" s="623">
        <f>SUMIFS(O:O,I:I,'重功超期+活动'!Q11,B:B,"第4代帝豪")</f>
        <v>0</v>
      </c>
      <c r="AH11" s="623">
        <f>SUMIFS(O:O,I:I,'重功超期+活动'!Q11,B:B,"第5代帝豪")</f>
        <v>0</v>
      </c>
      <c r="AI11" s="624">
        <f t="shared" si="4"/>
        <v>0</v>
      </c>
    </row>
    <row r="12" ht="20.4" customHeight="1" spans="1:35">
      <c r="A12" s="576" t="s">
        <v>945</v>
      </c>
      <c r="B12" s="576" t="s">
        <v>946</v>
      </c>
      <c r="C12" s="625" t="s">
        <v>941</v>
      </c>
      <c r="D12" s="576" t="s">
        <v>956</v>
      </c>
      <c r="E12" s="626" t="s">
        <v>975</v>
      </c>
      <c r="F12" s="627"/>
      <c r="G12" s="627"/>
      <c r="H12" s="619" t="s">
        <v>930</v>
      </c>
      <c r="I12" s="576" t="s">
        <v>968</v>
      </c>
      <c r="J12" s="619" t="s">
        <v>959</v>
      </c>
      <c r="K12" s="576"/>
      <c r="L12" s="576"/>
      <c r="M12" s="576"/>
      <c r="N12" s="613">
        <f t="shared" si="0"/>
        <v>0</v>
      </c>
      <c r="O12" s="617"/>
      <c r="P12" s="621"/>
      <c r="Q12" s="622"/>
      <c r="R12" s="622"/>
      <c r="S12" s="623"/>
      <c r="T12" s="623"/>
      <c r="U12" s="623"/>
      <c r="V12" s="623"/>
      <c r="W12" s="623"/>
      <c r="X12" s="624">
        <f t="shared" si="2"/>
        <v>0</v>
      </c>
      <c r="Y12" s="616"/>
      <c r="Z12" s="617">
        <f t="shared" si="1"/>
        <v>0</v>
      </c>
      <c r="AA12" s="623"/>
      <c r="AB12" s="623"/>
      <c r="AC12" s="623"/>
      <c r="AD12" s="624">
        <f t="shared" si="3"/>
        <v>0</v>
      </c>
      <c r="AF12" s="623">
        <f>SUMIFS(O:O,I:I,'重功超期+活动'!Q12,B:B,"豪越L")</f>
        <v>0</v>
      </c>
      <c r="AG12" s="623">
        <f>SUMIFS(O:O,I:I,'重功超期+活动'!Q12,B:B,"第4代帝豪")</f>
        <v>0</v>
      </c>
      <c r="AH12" s="623">
        <f>SUMIFS(O:O,I:I,'重功超期+活动'!Q12,B:B,"第5代帝豪")</f>
        <v>0</v>
      </c>
      <c r="AI12" s="624">
        <f t="shared" si="4"/>
        <v>0</v>
      </c>
    </row>
    <row r="13" ht="14.4" customHeight="1" spans="1:35">
      <c r="A13" s="576" t="s">
        <v>733</v>
      </c>
      <c r="B13" s="576" t="s">
        <v>663</v>
      </c>
      <c r="C13" s="628" t="s">
        <v>976</v>
      </c>
      <c r="D13" s="576" t="s">
        <v>942</v>
      </c>
      <c r="E13" s="576" t="s">
        <v>977</v>
      </c>
      <c r="F13" s="576"/>
      <c r="G13" s="619"/>
      <c r="H13" s="619" t="s">
        <v>930</v>
      </c>
      <c r="I13" s="576" t="s">
        <v>263</v>
      </c>
      <c r="J13" s="576" t="s">
        <v>978</v>
      </c>
      <c r="K13" s="612"/>
      <c r="L13" s="576"/>
      <c r="M13" s="576"/>
      <c r="N13" s="613">
        <f t="shared" si="0"/>
        <v>0</v>
      </c>
      <c r="P13" s="621"/>
      <c r="Q13" s="629"/>
      <c r="R13" s="629"/>
      <c r="S13" s="630"/>
      <c r="T13" s="630"/>
      <c r="U13" s="630"/>
      <c r="V13" s="630"/>
      <c r="W13" s="630"/>
      <c r="X13" s="631">
        <f t="shared" si="2"/>
        <v>0</v>
      </c>
      <c r="Y13" s="616"/>
      <c r="Z13" s="617">
        <f t="shared" si="1"/>
        <v>0</v>
      </c>
      <c r="AA13" s="630"/>
      <c r="AB13" s="630"/>
      <c r="AC13" s="630"/>
      <c r="AD13" s="631">
        <f>SUM(AB13:AC13)</f>
        <v>0</v>
      </c>
      <c r="AF13" s="630"/>
      <c r="AG13" s="630"/>
      <c r="AH13" s="630"/>
      <c r="AI13" s="631">
        <f>SUM(AG13:AH13)</f>
        <v>0</v>
      </c>
    </row>
    <row r="14" ht="45" customHeight="1" spans="1:35">
      <c r="A14" s="576" t="s">
        <v>733</v>
      </c>
      <c r="B14" s="576" t="s">
        <v>979</v>
      </c>
      <c r="C14" s="628" t="s">
        <v>961</v>
      </c>
      <c r="D14" s="576" t="s">
        <v>942</v>
      </c>
      <c r="E14" s="576" t="s">
        <v>980</v>
      </c>
      <c r="F14" s="576"/>
      <c r="G14" s="619"/>
      <c r="H14" s="619" t="s">
        <v>930</v>
      </c>
      <c r="I14" s="576" t="s">
        <v>963</v>
      </c>
      <c r="J14" s="576" t="s">
        <v>981</v>
      </c>
      <c r="K14" s="612"/>
      <c r="L14" s="576"/>
      <c r="M14" s="576"/>
      <c r="N14" s="613">
        <f t="shared" si="0"/>
        <v>0</v>
      </c>
      <c r="P14" s="621"/>
      <c r="Q14" s="622"/>
      <c r="R14" s="622"/>
      <c r="S14" s="623"/>
      <c r="T14" s="623"/>
      <c r="U14" s="623"/>
      <c r="V14" s="623"/>
      <c r="W14" s="623"/>
      <c r="X14" s="624">
        <f t="shared" si="2"/>
        <v>0</v>
      </c>
      <c r="Y14" s="616"/>
      <c r="Z14" s="617">
        <f t="shared" si="1"/>
        <v>0</v>
      </c>
      <c r="AA14" s="623"/>
      <c r="AB14" s="623"/>
      <c r="AC14" s="623"/>
      <c r="AD14" s="624">
        <f t="shared" ref="AD14:AD24" si="5">SUM(AA14:AC14)</f>
        <v>0</v>
      </c>
      <c r="AF14" s="623">
        <f>SUMIFS(O:O,I:I,'重功超期+活动'!Q14,B:B,"豪越L")</f>
        <v>0</v>
      </c>
      <c r="AG14" s="623">
        <f>SUMIFS(O:O,I:I,'重功超期+活动'!Q14,B:B,"第4代帝豪")</f>
        <v>0</v>
      </c>
      <c r="AH14" s="623">
        <f>SUMIFS(O:O,I:I,'重功超期+活动'!Q14,B:B,"第5代帝豪")</f>
        <v>0</v>
      </c>
      <c r="AI14" s="624">
        <f t="shared" ref="AI14:AI24" si="6">SUM(AF14:AH14)</f>
        <v>0</v>
      </c>
    </row>
    <row r="15" ht="20.1" customHeight="1" spans="1:35">
      <c r="A15" s="576" t="s">
        <v>733</v>
      </c>
      <c r="B15" s="632" t="s">
        <v>678</v>
      </c>
      <c r="C15" s="625" t="s">
        <v>982</v>
      </c>
      <c r="D15" s="576" t="s">
        <v>983</v>
      </c>
      <c r="E15" s="626" t="s">
        <v>984</v>
      </c>
      <c r="F15" s="576"/>
      <c r="G15" s="619"/>
      <c r="H15" s="619" t="s">
        <v>930</v>
      </c>
      <c r="I15" s="576" t="s">
        <v>985</v>
      </c>
      <c r="J15" s="576" t="s">
        <v>986</v>
      </c>
      <c r="K15" s="612"/>
      <c r="L15" s="576"/>
      <c r="M15" s="576"/>
      <c r="N15" s="613">
        <f t="shared" si="0"/>
        <v>0</v>
      </c>
      <c r="P15" s="621"/>
      <c r="Q15" s="622"/>
      <c r="R15" s="622"/>
      <c r="S15" s="623"/>
      <c r="T15" s="623"/>
      <c r="U15" s="623"/>
      <c r="V15" s="623"/>
      <c r="W15" s="623"/>
      <c r="X15" s="624">
        <f t="shared" si="2"/>
        <v>0</v>
      </c>
      <c r="Y15" s="616"/>
      <c r="Z15" s="617">
        <f t="shared" si="1"/>
        <v>0</v>
      </c>
      <c r="AA15" s="623"/>
      <c r="AB15" s="623"/>
      <c r="AC15" s="623"/>
      <c r="AD15" s="624">
        <f t="shared" si="5"/>
        <v>0</v>
      </c>
      <c r="AF15" s="623">
        <f>SUMIFS(O:O,I:I,'重功超期+活动'!Q15,B:B,"豪越L")</f>
        <v>0</v>
      </c>
      <c r="AG15" s="623">
        <f>SUMIFS(O:O,I:I,'重功超期+活动'!Q15,B:B,"第4代帝豪")</f>
        <v>0</v>
      </c>
      <c r="AH15" s="623">
        <f>SUMIFS(O:O,I:I,'重功超期+活动'!Q15,B:B,"第5代帝豪")</f>
        <v>0</v>
      </c>
      <c r="AI15" s="624">
        <f t="shared" si="6"/>
        <v>0</v>
      </c>
    </row>
    <row r="16" ht="20.1" customHeight="1" spans="1:35">
      <c r="A16" s="576" t="s">
        <v>987</v>
      </c>
      <c r="B16" s="576" t="s">
        <v>663</v>
      </c>
      <c r="C16" s="576" t="s">
        <v>988</v>
      </c>
      <c r="D16" s="576" t="s">
        <v>989</v>
      </c>
      <c r="E16" s="576" t="s">
        <v>990</v>
      </c>
      <c r="F16" s="576"/>
      <c r="G16" s="619"/>
      <c r="H16" s="576" t="s">
        <v>930</v>
      </c>
      <c r="I16" s="576" t="s">
        <v>991</v>
      </c>
      <c r="J16" s="576" t="s">
        <v>992</v>
      </c>
      <c r="K16" s="612"/>
      <c r="L16" s="576"/>
      <c r="M16" s="576"/>
      <c r="N16" s="613">
        <f t="shared" si="0"/>
        <v>0</v>
      </c>
      <c r="O16" s="620"/>
      <c r="P16" s="621"/>
      <c r="Q16" s="622"/>
      <c r="R16" s="622"/>
      <c r="S16" s="623"/>
      <c r="T16" s="623"/>
      <c r="U16" s="623"/>
      <c r="V16" s="623"/>
      <c r="W16" s="623"/>
      <c r="X16" s="624">
        <f t="shared" si="2"/>
        <v>0</v>
      </c>
      <c r="Y16" s="616"/>
      <c r="Z16" s="617">
        <f t="shared" si="1"/>
        <v>0</v>
      </c>
      <c r="AA16" s="623"/>
      <c r="AB16" s="623"/>
      <c r="AC16" s="623"/>
      <c r="AD16" s="624">
        <f t="shared" si="5"/>
        <v>0</v>
      </c>
      <c r="AF16" s="623">
        <f>SUMIFS(O:O,I:I,'重功超期+活动'!Q16,B:B,"豪越L")</f>
        <v>0</v>
      </c>
      <c r="AG16" s="623">
        <f>SUMIFS(O:O,I:I,'重功超期+活动'!Q16,B:B,"第4代帝豪")</f>
        <v>0</v>
      </c>
      <c r="AH16" s="623">
        <f>SUMIFS(O:O,I:I,'重功超期+活动'!Q16,B:B,"第5代帝豪")</f>
        <v>0</v>
      </c>
      <c r="AI16" s="624">
        <f t="shared" si="6"/>
        <v>0</v>
      </c>
    </row>
    <row r="17" ht="20.4" customHeight="1" spans="1:35">
      <c r="A17" s="576" t="s">
        <v>987</v>
      </c>
      <c r="B17" s="576" t="s">
        <v>663</v>
      </c>
      <c r="C17" s="576" t="s">
        <v>993</v>
      </c>
      <c r="D17" s="576" t="s">
        <v>994</v>
      </c>
      <c r="E17" s="576" t="s">
        <v>995</v>
      </c>
      <c r="F17" s="576"/>
      <c r="G17" s="619"/>
      <c r="H17" s="576" t="s">
        <v>930</v>
      </c>
      <c r="I17" s="576" t="s">
        <v>996</v>
      </c>
      <c r="J17" s="576" t="s">
        <v>997</v>
      </c>
      <c r="K17" s="612"/>
      <c r="L17" s="576"/>
      <c r="M17" s="576"/>
      <c r="N17" s="613">
        <f t="shared" si="0"/>
        <v>0</v>
      </c>
      <c r="O17" s="617"/>
      <c r="P17" s="621"/>
      <c r="Q17" s="633"/>
      <c r="R17" s="633"/>
      <c r="S17" s="634"/>
      <c r="T17" s="634"/>
      <c r="U17" s="634"/>
      <c r="V17" s="634"/>
      <c r="W17" s="634"/>
      <c r="X17" s="624">
        <f t="shared" si="2"/>
        <v>0</v>
      </c>
      <c r="Y17" s="616"/>
      <c r="Z17" s="617">
        <f t="shared" si="1"/>
        <v>0</v>
      </c>
      <c r="AA17" s="623"/>
      <c r="AB17" s="623"/>
      <c r="AC17" s="623"/>
      <c r="AD17" s="624">
        <f t="shared" si="5"/>
        <v>0</v>
      </c>
      <c r="AF17" s="623">
        <f>SUMIFS(O:O,I:I,'重功超期+活动'!Q17,B:B,"豪越L")</f>
        <v>0</v>
      </c>
      <c r="AG17" s="623">
        <f>SUMIFS(O:O,I:I,'重功超期+活动'!Q17,B:B,"第4代帝豪")</f>
        <v>0</v>
      </c>
      <c r="AH17" s="623">
        <f>SUMIFS(O:O,I:I,'重功超期+活动'!Q17,B:B,"第5代帝豪")</f>
        <v>0</v>
      </c>
      <c r="AI17" s="624">
        <f t="shared" si="6"/>
        <v>0</v>
      </c>
    </row>
    <row r="18" ht="20.1" customHeight="1" spans="1:35">
      <c r="A18" s="576" t="s">
        <v>987</v>
      </c>
      <c r="B18" s="628" t="s">
        <v>663</v>
      </c>
      <c r="C18" s="628" t="s">
        <v>976</v>
      </c>
      <c r="D18" s="635"/>
      <c r="E18" s="635" t="s">
        <v>998</v>
      </c>
      <c r="F18" s="636"/>
      <c r="G18" s="637"/>
      <c r="H18" s="635" t="s">
        <v>930</v>
      </c>
      <c r="I18" s="636" t="s">
        <v>996</v>
      </c>
      <c r="J18" s="638" t="s">
        <v>999</v>
      </c>
      <c r="K18" s="612"/>
      <c r="L18" s="576"/>
      <c r="M18" s="576"/>
      <c r="N18" s="613">
        <f t="shared" si="0"/>
        <v>0</v>
      </c>
      <c r="P18" s="621"/>
      <c r="Q18" s="622"/>
      <c r="R18" s="622"/>
      <c r="S18" s="623"/>
      <c r="T18" s="623"/>
      <c r="U18" s="623"/>
      <c r="V18" s="623"/>
      <c r="W18" s="623"/>
      <c r="X18" s="624">
        <f t="shared" si="2"/>
        <v>0</v>
      </c>
      <c r="Y18" s="616"/>
      <c r="Z18" s="617">
        <f t="shared" si="1"/>
        <v>0</v>
      </c>
      <c r="AA18" s="623"/>
      <c r="AB18" s="623"/>
      <c r="AC18" s="623"/>
      <c r="AD18" s="624">
        <f t="shared" si="5"/>
        <v>0</v>
      </c>
      <c r="AF18" s="623">
        <f>SUMIFS(O:O,I:I,'重功超期+活动'!Q18,B:B,"豪越L")</f>
        <v>0</v>
      </c>
      <c r="AG18" s="623">
        <f>SUMIFS(O:O,I:I,'重功超期+活动'!Q18,B:B,"第4代帝豪")</f>
        <v>0</v>
      </c>
      <c r="AH18" s="623">
        <f>SUMIFS(O:O,I:I,'重功超期+活动'!Q18,B:B,"第5代帝豪")</f>
        <v>0</v>
      </c>
      <c r="AI18" s="624">
        <f t="shared" si="6"/>
        <v>0</v>
      </c>
    </row>
    <row r="19" ht="20.1" customHeight="1" spans="1:35">
      <c r="A19" s="628" t="s">
        <v>1000</v>
      </c>
      <c r="B19" s="628" t="s">
        <v>863</v>
      </c>
      <c r="C19" s="628"/>
      <c r="D19" s="628" t="s">
        <v>1001</v>
      </c>
      <c r="E19" s="628" t="s">
        <v>1002</v>
      </c>
      <c r="F19" s="576"/>
      <c r="G19" s="619"/>
      <c r="H19" s="576" t="s">
        <v>930</v>
      </c>
      <c r="I19" s="628" t="s">
        <v>1000</v>
      </c>
      <c r="J19" s="628" t="s">
        <v>1003</v>
      </c>
      <c r="K19" s="628"/>
      <c r="L19" s="576"/>
      <c r="M19" s="576"/>
      <c r="N19" s="613">
        <f t="shared" si="0"/>
        <v>0</v>
      </c>
      <c r="P19" s="621"/>
      <c r="Q19" s="622"/>
      <c r="R19" s="622"/>
      <c r="S19" s="623"/>
      <c r="T19" s="623"/>
      <c r="U19" s="623"/>
      <c r="V19" s="623"/>
      <c r="W19" s="623"/>
      <c r="X19" s="624">
        <f t="shared" si="2"/>
        <v>0</v>
      </c>
      <c r="Y19" s="616"/>
      <c r="Z19" s="617">
        <f t="shared" si="1"/>
        <v>0</v>
      </c>
      <c r="AA19" s="623"/>
      <c r="AB19" s="623"/>
      <c r="AC19" s="623"/>
      <c r="AD19" s="624">
        <f t="shared" si="5"/>
        <v>0</v>
      </c>
      <c r="AF19" s="623">
        <f>SUMIFS(O:O,I:I,'重功超期+活动'!Q19,B:B,"豪越L")</f>
        <v>0</v>
      </c>
      <c r="AG19" s="623">
        <f>SUMIFS(O:O,I:I,'重功超期+活动'!Q19,B:B,"第4代帝豪")</f>
        <v>0</v>
      </c>
      <c r="AH19" s="623">
        <f>SUMIFS(O:O,I:I,'重功超期+活动'!Q19,B:B,"第5代帝豪")</f>
        <v>0</v>
      </c>
      <c r="AI19" s="624">
        <f t="shared" si="6"/>
        <v>0</v>
      </c>
    </row>
    <row r="20" ht="20.4" customHeight="1" spans="1:35">
      <c r="A20" s="576" t="s">
        <v>1004</v>
      </c>
      <c r="B20" s="576" t="s">
        <v>1005</v>
      </c>
      <c r="C20" s="576"/>
      <c r="D20" s="576" t="s">
        <v>1006</v>
      </c>
      <c r="E20" s="576" t="s">
        <v>1007</v>
      </c>
      <c r="F20" s="576"/>
      <c r="G20" s="576"/>
      <c r="H20" s="576" t="s">
        <v>1008</v>
      </c>
      <c r="I20" s="576" t="s">
        <v>186</v>
      </c>
      <c r="J20" s="619" t="s">
        <v>1009</v>
      </c>
      <c r="K20" s="576"/>
      <c r="L20" s="576"/>
      <c r="M20" s="576"/>
      <c r="N20" s="613">
        <f t="shared" si="0"/>
        <v>0</v>
      </c>
      <c r="O20" s="617"/>
      <c r="P20" s="621"/>
      <c r="Q20" s="633"/>
      <c r="R20" s="633"/>
      <c r="S20" s="634"/>
      <c r="T20" s="634"/>
      <c r="U20" s="634"/>
      <c r="V20" s="634"/>
      <c r="W20" s="634"/>
      <c r="X20" s="624">
        <f t="shared" si="2"/>
        <v>0</v>
      </c>
      <c r="Y20" s="616"/>
      <c r="Z20" s="617">
        <f t="shared" si="1"/>
        <v>0</v>
      </c>
      <c r="AA20" s="623"/>
      <c r="AB20" s="623"/>
      <c r="AC20" s="623"/>
      <c r="AD20" s="624">
        <f t="shared" si="5"/>
        <v>0</v>
      </c>
      <c r="AF20" s="623">
        <f>SUMIFS(O:O,I:I,'重功超期+活动'!Q20,B:B,"豪越L")</f>
        <v>0</v>
      </c>
      <c r="AG20" s="623">
        <f>SUMIFS(O:O,I:I,'重功超期+活动'!Q20,B:B,"第4代帝豪")</f>
        <v>0</v>
      </c>
      <c r="AH20" s="623">
        <f>SUMIFS(O:O,I:I,'重功超期+活动'!Q20,B:B,"第5代帝豪")</f>
        <v>0</v>
      </c>
      <c r="AI20" s="624">
        <f t="shared" si="6"/>
        <v>0</v>
      </c>
    </row>
    <row r="21" ht="20.1" customHeight="1" spans="1:35">
      <c r="A21" s="576" t="s">
        <v>1004</v>
      </c>
      <c r="B21" s="632" t="s">
        <v>863</v>
      </c>
      <c r="C21" s="576"/>
      <c r="D21" s="576" t="s">
        <v>1010</v>
      </c>
      <c r="E21" s="626" t="s">
        <v>1011</v>
      </c>
      <c r="F21" s="627"/>
      <c r="G21" s="627"/>
      <c r="H21" s="576" t="s">
        <v>1008</v>
      </c>
      <c r="I21" s="576" t="s">
        <v>186</v>
      </c>
      <c r="J21" s="619" t="s">
        <v>1012</v>
      </c>
      <c r="K21" s="576"/>
      <c r="L21" s="576"/>
      <c r="M21" s="576"/>
      <c r="N21" s="613">
        <f t="shared" si="0"/>
        <v>0</v>
      </c>
      <c r="P21" s="621"/>
      <c r="Q21" s="622"/>
      <c r="R21" s="622"/>
      <c r="S21" s="623"/>
      <c r="T21" s="623"/>
      <c r="U21" s="623"/>
      <c r="V21" s="623"/>
      <c r="W21" s="623"/>
      <c r="X21" s="624">
        <f t="shared" si="2"/>
        <v>0</v>
      </c>
      <c r="Y21" s="616"/>
      <c r="Z21" s="617">
        <f t="shared" si="1"/>
        <v>0</v>
      </c>
      <c r="AA21" s="623"/>
      <c r="AB21" s="623"/>
      <c r="AC21" s="623"/>
      <c r="AD21" s="624">
        <f t="shared" si="5"/>
        <v>0</v>
      </c>
      <c r="AF21" s="623">
        <f>SUMIFS(O:O,I:I,'重功超期+活动'!Q21,B:B,"豪越L")</f>
        <v>0</v>
      </c>
      <c r="AG21" s="623">
        <f>SUMIFS(O:O,I:I,'重功超期+活动'!Q21,B:B,"第4代帝豪")</f>
        <v>0</v>
      </c>
      <c r="AH21" s="623">
        <f>SUMIFS(O:O,I:I,'重功超期+活动'!Q21,B:B,"第5代帝豪")</f>
        <v>0</v>
      </c>
      <c r="AI21" s="624">
        <f t="shared" si="6"/>
        <v>0</v>
      </c>
    </row>
    <row r="22" ht="20.1" customHeight="1" spans="1:35">
      <c r="A22" s="576" t="s">
        <v>1004</v>
      </c>
      <c r="B22" s="632" t="s">
        <v>863</v>
      </c>
      <c r="C22" s="576"/>
      <c r="D22" s="576" t="s">
        <v>1010</v>
      </c>
      <c r="E22" s="626" t="s">
        <v>1013</v>
      </c>
      <c r="F22" s="627"/>
      <c r="G22" s="627"/>
      <c r="H22" s="632" t="s">
        <v>1014</v>
      </c>
      <c r="I22" s="576" t="s">
        <v>845</v>
      </c>
      <c r="J22" s="619" t="s">
        <v>1015</v>
      </c>
      <c r="K22" s="576"/>
      <c r="L22" s="576"/>
      <c r="M22" s="576"/>
      <c r="N22" s="613">
        <f t="shared" si="0"/>
        <v>0</v>
      </c>
      <c r="P22" s="621"/>
      <c r="Q22" s="622"/>
      <c r="R22" s="622"/>
      <c r="S22" s="623"/>
      <c r="T22" s="623"/>
      <c r="U22" s="623"/>
      <c r="V22" s="623"/>
      <c r="W22" s="623"/>
      <c r="X22" s="624">
        <f t="shared" si="2"/>
        <v>0</v>
      </c>
      <c r="Y22" s="616"/>
      <c r="Z22" s="617">
        <f t="shared" si="1"/>
        <v>0</v>
      </c>
      <c r="AA22" s="623"/>
      <c r="AB22" s="623"/>
      <c r="AC22" s="623"/>
      <c r="AD22" s="624">
        <f t="shared" si="5"/>
        <v>0</v>
      </c>
      <c r="AF22" s="623">
        <f>SUMIFS(O:O,I:I,'重功超期+活动'!Q22,B:B,"豪越L")</f>
        <v>0</v>
      </c>
      <c r="AG22" s="623">
        <f>SUMIFS(O:O,I:I,'重功超期+活动'!Q22,B:B,"第4代帝豪")</f>
        <v>0</v>
      </c>
      <c r="AH22" s="623">
        <f>SUMIFS(O:O,I:I,'重功超期+活动'!Q22,B:B,"第5代帝豪")</f>
        <v>0</v>
      </c>
      <c r="AI22" s="624">
        <f t="shared" si="6"/>
        <v>0</v>
      </c>
    </row>
    <row r="23" ht="20.4" customHeight="1" spans="1:35">
      <c r="A23" s="617"/>
      <c r="B23" s="617"/>
      <c r="C23" s="639"/>
      <c r="D23" s="617"/>
      <c r="E23" s="617"/>
      <c r="F23" s="617"/>
      <c r="G23" s="617"/>
      <c r="H23" s="617"/>
      <c r="I23" s="640"/>
      <c r="J23" s="640"/>
      <c r="K23" s="641"/>
      <c r="L23" s="617"/>
      <c r="M23" s="617"/>
      <c r="N23" s="617"/>
      <c r="O23" s="617"/>
      <c r="P23" s="621"/>
      <c r="Q23" s="633"/>
      <c r="R23" s="633"/>
      <c r="S23" s="634"/>
      <c r="T23" s="634"/>
      <c r="U23" s="634"/>
      <c r="V23" s="634"/>
      <c r="W23" s="634"/>
      <c r="X23" s="624">
        <f t="shared" si="2"/>
        <v>0</v>
      </c>
      <c r="Y23" s="616"/>
      <c r="Z23" s="617">
        <f t="shared" si="1"/>
        <v>0</v>
      </c>
      <c r="AA23" s="623"/>
      <c r="AB23" s="623"/>
      <c r="AC23" s="623"/>
      <c r="AD23" s="624">
        <f t="shared" si="5"/>
        <v>0</v>
      </c>
      <c r="AF23" s="623">
        <f>SUMIFS(O:O,I:I,'重功超期+活动'!Q23,B:B,"豪越L")</f>
        <v>0</v>
      </c>
      <c r="AG23" s="623">
        <f>SUMIFS(O:O,I:I,'重功超期+活动'!Q23,B:B,"第4代帝豪")</f>
        <v>0</v>
      </c>
      <c r="AH23" s="623">
        <f>SUMIFS(O:O,I:I,'重功超期+活动'!Q23,B:B,"第5代帝豪")</f>
        <v>0</v>
      </c>
      <c r="AI23" s="624">
        <f t="shared" si="6"/>
        <v>0</v>
      </c>
    </row>
    <row r="24" ht="20.1" customHeight="1" spans="1:35">
      <c r="A24" s="617"/>
      <c r="B24" s="617"/>
      <c r="C24" s="639"/>
      <c r="D24" s="617"/>
      <c r="E24" s="617"/>
      <c r="F24" s="617"/>
      <c r="G24" s="617"/>
      <c r="H24" s="617"/>
      <c r="I24" s="640"/>
      <c r="J24" s="640"/>
      <c r="K24" s="641"/>
      <c r="L24" s="617"/>
      <c r="M24" s="617"/>
      <c r="N24" s="617"/>
      <c r="O24" s="617"/>
      <c r="P24" s="642"/>
      <c r="Q24" s="622"/>
      <c r="R24" s="622"/>
      <c r="S24" s="623"/>
      <c r="T24" s="623"/>
      <c r="U24" s="623"/>
      <c r="V24" s="623"/>
      <c r="W24" s="623"/>
      <c r="X24" s="624">
        <f t="shared" si="2"/>
        <v>0</v>
      </c>
      <c r="Y24" s="616"/>
      <c r="Z24" s="617">
        <f t="shared" si="1"/>
        <v>0</v>
      </c>
      <c r="AA24" s="623"/>
      <c r="AB24" s="623"/>
      <c r="AC24" s="623"/>
      <c r="AD24" s="624">
        <f t="shared" si="5"/>
        <v>0</v>
      </c>
      <c r="AF24" s="623">
        <f>SUMIFS(O:O,I:I,'重功超期+活动'!Q24,B:B,"豪越L")</f>
        <v>0</v>
      </c>
      <c r="AG24" s="623">
        <f>SUMIFS(O:O,I:I,'重功超期+活动'!Q24,B:B,"第4代帝豪")</f>
        <v>0</v>
      </c>
      <c r="AH24" s="623">
        <f>SUMIFS(O:O,I:I,'重功超期+活动'!Q24,B:B,"第5代帝豪")</f>
        <v>0</v>
      </c>
      <c r="AI24" s="624">
        <f t="shared" si="6"/>
        <v>0</v>
      </c>
    </row>
    <row r="25" ht="15.15" customHeight="1" spans="1:35">
      <c r="A25" s="617" t="s">
        <v>1016</v>
      </c>
      <c r="P25" s="643"/>
      <c r="Q25" s="629"/>
      <c r="R25" s="629"/>
      <c r="S25" s="630"/>
      <c r="T25" s="630"/>
      <c r="U25" s="630"/>
      <c r="V25" s="630">
        <f>SUM(V15:V24)</f>
        <v>0</v>
      </c>
      <c r="W25" s="630"/>
      <c r="X25" s="631">
        <f>SUM(X14:X24)</f>
        <v>0</v>
      </c>
      <c r="Y25" s="616"/>
      <c r="Z25" s="617">
        <f t="shared" si="1"/>
        <v>0</v>
      </c>
      <c r="AA25" s="630"/>
      <c r="AB25" s="630"/>
      <c r="AC25" s="630"/>
      <c r="AD25" s="631">
        <f>SUM(AD14:AD24)</f>
        <v>0</v>
      </c>
      <c r="AF25" s="630"/>
      <c r="AG25" s="630"/>
      <c r="AH25" s="630"/>
      <c r="AI25" s="631">
        <f>SUM(AI14:AI24)</f>
        <v>0</v>
      </c>
    </row>
    <row r="26" ht="24.6" customHeight="1" spans="1:35">
      <c r="A26" s="617" t="s">
        <v>1017</v>
      </c>
      <c r="B26" s="617" t="s">
        <v>1018</v>
      </c>
      <c r="C26" s="639"/>
      <c r="E26" s="617" t="s">
        <v>1019</v>
      </c>
      <c r="I26" s="644" t="s">
        <v>1017</v>
      </c>
      <c r="J26" s="644" t="s">
        <v>171</v>
      </c>
      <c r="K26" s="645"/>
      <c r="P26" s="646" t="s">
        <v>162</v>
      </c>
      <c r="Q26" s="647"/>
      <c r="R26" s="647"/>
      <c r="S26" s="647"/>
      <c r="T26" s="647"/>
      <c r="U26" s="647"/>
      <c r="V26" s="648">
        <f>V13+V25</f>
        <v>0</v>
      </c>
      <c r="W26" s="649"/>
      <c r="X26" s="650">
        <f>X25+X13</f>
        <v>0</v>
      </c>
      <c r="Y26" s="616"/>
      <c r="Z26" s="617">
        <f t="shared" si="1"/>
        <v>0</v>
      </c>
      <c r="AA26" s="617"/>
      <c r="AB26" s="617"/>
      <c r="AC26" s="617"/>
      <c r="AD26" s="650">
        <f>AD25+AD13</f>
        <v>0</v>
      </c>
      <c r="AF26" s="617"/>
      <c r="AG26" s="617"/>
      <c r="AH26" s="617"/>
      <c r="AI26" s="650">
        <f>AI25+AI13</f>
        <v>0</v>
      </c>
    </row>
    <row r="27" ht="17.4" customHeight="1" spans="1:35">
      <c r="A27" s="617" t="s">
        <v>1017</v>
      </c>
      <c r="B27" s="617" t="s">
        <v>1018</v>
      </c>
      <c r="C27" s="639"/>
      <c r="E27" s="617" t="s">
        <v>1020</v>
      </c>
      <c r="I27" s="644" t="s">
        <v>1017</v>
      </c>
      <c r="J27" s="644" t="s">
        <v>177</v>
      </c>
      <c r="K27" s="645"/>
      <c r="Q27" s="617"/>
      <c r="R27" s="617"/>
      <c r="S27" s="617"/>
      <c r="T27" s="617"/>
      <c r="U27" s="617"/>
      <c r="V27" s="617"/>
      <c r="W27" s="617"/>
      <c r="X27" s="617"/>
      <c r="Y27" s="616"/>
      <c r="Z27" s="617">
        <f t="shared" si="1"/>
        <v>0</v>
      </c>
      <c r="AA27" s="617"/>
      <c r="AB27" s="617"/>
      <c r="AC27" s="617"/>
      <c r="AD27" s="617"/>
      <c r="AF27" s="617"/>
      <c r="AG27" s="617"/>
      <c r="AH27" s="617"/>
      <c r="AI27" s="617"/>
    </row>
    <row r="28" ht="22.95" customHeight="1" spans="1:35">
      <c r="A28" s="617" t="s">
        <v>1021</v>
      </c>
      <c r="B28" s="617" t="s">
        <v>1018</v>
      </c>
      <c r="C28" s="639"/>
      <c r="E28" s="617" t="s">
        <v>1022</v>
      </c>
      <c r="I28" s="644" t="s">
        <v>1021</v>
      </c>
      <c r="J28" s="644" t="s">
        <v>198</v>
      </c>
      <c r="K28" s="645"/>
      <c r="P28" s="651" t="s">
        <v>1023</v>
      </c>
      <c r="Q28" s="651"/>
      <c r="R28" s="651"/>
      <c r="S28" s="651"/>
      <c r="T28" s="651"/>
      <c r="U28" s="651"/>
      <c r="V28" s="651"/>
      <c r="W28" s="651"/>
      <c r="X28" s="617"/>
      <c r="Y28" s="616"/>
      <c r="Z28" s="617">
        <f t="shared" si="1"/>
        <v>0</v>
      </c>
      <c r="AA28" s="617"/>
      <c r="AB28" s="617"/>
      <c r="AC28" s="617"/>
      <c r="AD28" s="617"/>
      <c r="AF28" s="617"/>
      <c r="AG28" s="617"/>
      <c r="AH28" s="617"/>
      <c r="AI28" s="617"/>
    </row>
    <row r="29" ht="18.15" customHeight="1" spans="1:35">
      <c r="A29" s="617" t="s">
        <v>1021</v>
      </c>
      <c r="B29" s="617" t="s">
        <v>863</v>
      </c>
      <c r="C29" s="639"/>
      <c r="E29" s="617" t="s">
        <v>1024</v>
      </c>
      <c r="I29" s="640" t="s">
        <v>1021</v>
      </c>
      <c r="J29" s="640" t="s">
        <v>199</v>
      </c>
      <c r="K29" s="641"/>
      <c r="N29" s="617"/>
      <c r="P29" s="652"/>
      <c r="Q29" s="653"/>
      <c r="R29" s="653"/>
      <c r="S29" s="653"/>
      <c r="T29" s="654"/>
      <c r="U29" s="654"/>
      <c r="V29" s="655"/>
      <c r="W29" s="656"/>
      <c r="X29" s="657">
        <f>SUM(U29:W29)</f>
        <v>0</v>
      </c>
      <c r="Y29" s="616"/>
      <c r="Z29" s="617">
        <f t="shared" si="1"/>
        <v>0</v>
      </c>
      <c r="AA29" s="654"/>
      <c r="AB29" s="654"/>
      <c r="AC29" s="656"/>
      <c r="AD29" s="657">
        <f>SUM(AB29:AC29)</f>
        <v>0</v>
      </c>
      <c r="AF29" s="654"/>
      <c r="AG29" s="654"/>
      <c r="AH29" s="656"/>
      <c r="AI29" s="657">
        <f>SUM(AG29:AH29)</f>
        <v>0</v>
      </c>
    </row>
    <row r="30" ht="17.4" customHeight="1" spans="1:35">
      <c r="A30" s="617" t="s">
        <v>263</v>
      </c>
      <c r="B30" s="617" t="s">
        <v>863</v>
      </c>
      <c r="C30" s="639"/>
      <c r="E30" s="617" t="s">
        <v>1025</v>
      </c>
      <c r="I30" s="640" t="s">
        <v>263</v>
      </c>
      <c r="J30" s="640" t="s">
        <v>264</v>
      </c>
      <c r="K30" s="641"/>
      <c r="N30" s="617"/>
      <c r="P30" s="658" t="s">
        <v>12</v>
      </c>
      <c r="Q30" s="659" t="s">
        <v>381</v>
      </c>
      <c r="R30" s="660" t="s">
        <v>1026</v>
      </c>
      <c r="S30" s="660" t="s">
        <v>1027</v>
      </c>
      <c r="T30" s="661" t="s">
        <v>1028</v>
      </c>
      <c r="U30" s="662" t="s">
        <v>1029</v>
      </c>
      <c r="V30" s="574" t="s">
        <v>938</v>
      </c>
      <c r="W30" s="663" t="s">
        <v>939</v>
      </c>
      <c r="X30" s="624" t="s">
        <v>939</v>
      </c>
      <c r="Y30" s="616"/>
      <c r="Z30" s="617">
        <f t="shared" si="1"/>
        <v>3</v>
      </c>
      <c r="AA30" s="623" t="s">
        <v>1030</v>
      </c>
      <c r="AB30" s="623" t="s">
        <v>1031</v>
      </c>
      <c r="AC30" s="623" t="s">
        <v>1032</v>
      </c>
      <c r="AD30" s="664" t="str">
        <f>AD3</f>
        <v>合计实发</v>
      </c>
      <c r="AF30" s="623" t="s">
        <v>1030</v>
      </c>
      <c r="AG30" s="623" t="s">
        <v>1031</v>
      </c>
      <c r="AH30" s="623" t="s">
        <v>1032</v>
      </c>
      <c r="AI30" s="664" t="str">
        <f>AI3</f>
        <v>合计实发</v>
      </c>
    </row>
    <row r="31" ht="17.4" customHeight="1" spans="1:35">
      <c r="A31" s="617" t="s">
        <v>985</v>
      </c>
      <c r="B31" s="617" t="s">
        <v>863</v>
      </c>
      <c r="C31" s="639"/>
      <c r="E31" s="617" t="s">
        <v>1033</v>
      </c>
      <c r="I31" s="640" t="s">
        <v>985</v>
      </c>
      <c r="J31" s="640" t="s">
        <v>192</v>
      </c>
      <c r="K31" s="641"/>
      <c r="N31" s="617"/>
      <c r="P31" s="658"/>
      <c r="Q31" s="659"/>
      <c r="R31" s="660"/>
      <c r="S31" s="660"/>
      <c r="T31" s="661"/>
      <c r="U31" s="662"/>
      <c r="V31" s="574"/>
      <c r="W31" s="663"/>
      <c r="X31" s="664">
        <f t="shared" ref="X31:X38" si="7">U31</f>
        <v>0</v>
      </c>
      <c r="Y31" s="616"/>
      <c r="Z31" s="617">
        <f t="shared" si="1"/>
        <v>0</v>
      </c>
      <c r="AA31" s="623"/>
      <c r="AB31" s="623"/>
      <c r="AC31" s="623"/>
      <c r="AD31" s="624">
        <f t="shared" ref="AD31:AD38" si="8">SUM(AA31:AC31)</f>
        <v>0</v>
      </c>
      <c r="AF31" s="623">
        <f>SUMIFS(O:O,I:I,'重功超期+活动'!Q31,B:B,"豪越L")</f>
        <v>0</v>
      </c>
      <c r="AG31" s="623">
        <f>SUMIFS(O:O,I:I,'重功超期+活动'!Q31,B:B,"第4代帝豪")</f>
        <v>0</v>
      </c>
      <c r="AH31" s="623">
        <f>SUMIFS(O:O,I:I,'重功超期+活动'!Q31,B:B,"第5代帝豪")</f>
        <v>0</v>
      </c>
      <c r="AI31" s="624">
        <f t="shared" ref="AI31:AI38" si="9">SUM(AF31:AH31)</f>
        <v>0</v>
      </c>
    </row>
    <row r="32" ht="17.4" customHeight="1" spans="1:35">
      <c r="A32" s="617" t="s">
        <v>1034</v>
      </c>
      <c r="B32" s="617" t="s">
        <v>663</v>
      </c>
      <c r="C32" s="639"/>
      <c r="E32" s="617" t="s">
        <v>1035</v>
      </c>
      <c r="I32" s="665" t="s">
        <v>1034</v>
      </c>
      <c r="J32" s="665" t="s">
        <v>195</v>
      </c>
      <c r="K32" s="666"/>
      <c r="N32" s="617"/>
      <c r="P32" s="658"/>
      <c r="Q32" s="659"/>
      <c r="R32" s="660"/>
      <c r="S32" s="660"/>
      <c r="T32" s="661"/>
      <c r="U32" s="662"/>
      <c r="V32" s="574"/>
      <c r="W32" s="663"/>
      <c r="X32" s="664">
        <f t="shared" si="7"/>
        <v>0</v>
      </c>
      <c r="Y32" s="616"/>
      <c r="Z32" s="617">
        <f t="shared" si="1"/>
        <v>0</v>
      </c>
      <c r="AA32" s="623"/>
      <c r="AB32" s="623"/>
      <c r="AC32" s="623"/>
      <c r="AD32" s="624">
        <f t="shared" si="8"/>
        <v>0</v>
      </c>
      <c r="AF32" s="623">
        <f>SUMIFS(O:O,I:I,'重功超期+活动'!Q32,B:B,"豪越L")</f>
        <v>0</v>
      </c>
      <c r="AG32" s="623">
        <f>SUMIFS(O:O,I:I,'重功超期+活动'!Q32,B:B,"第4代帝豪")</f>
        <v>0</v>
      </c>
      <c r="AH32" s="623">
        <f>SUMIFS(O:O,I:I,'重功超期+活动'!Q32,B:B,"第5代帝豪")</f>
        <v>0</v>
      </c>
      <c r="AI32" s="624">
        <f t="shared" si="9"/>
        <v>0</v>
      </c>
    </row>
    <row r="33" ht="17.4" customHeight="1" spans="1:35">
      <c r="A33" s="617" t="s">
        <v>954</v>
      </c>
      <c r="B33" s="617" t="s">
        <v>663</v>
      </c>
      <c r="C33" s="639"/>
      <c r="E33" s="617" t="s">
        <v>1036</v>
      </c>
      <c r="I33" s="665" t="s">
        <v>954</v>
      </c>
      <c r="J33" s="665" t="s">
        <v>177</v>
      </c>
      <c r="K33" s="666"/>
      <c r="N33" s="617"/>
      <c r="P33" s="658"/>
      <c r="Q33" s="659"/>
      <c r="R33" s="660"/>
      <c r="S33" s="660"/>
      <c r="T33" s="667"/>
      <c r="U33" s="662"/>
      <c r="V33" s="574"/>
      <c r="W33" s="663"/>
      <c r="X33" s="664">
        <f t="shared" si="7"/>
        <v>0</v>
      </c>
      <c r="Y33" s="616"/>
      <c r="Z33" s="617">
        <f t="shared" si="1"/>
        <v>0</v>
      </c>
      <c r="AA33" s="623"/>
      <c r="AB33" s="623"/>
      <c r="AC33" s="623"/>
      <c r="AD33" s="624">
        <f t="shared" si="8"/>
        <v>0</v>
      </c>
      <c r="AF33" s="623">
        <f>SUMIFS(O:O,I:I,'重功超期+活动'!Q33,B:B,"豪越L")</f>
        <v>0</v>
      </c>
      <c r="AG33" s="623">
        <f>SUMIFS(O:O,I:I,'重功超期+活动'!Q33,B:B,"第4代帝豪")</f>
        <v>0</v>
      </c>
      <c r="AH33" s="623">
        <f>SUMIFS(O:O,I:I,'重功超期+活动'!Q33,B:B,"第5代帝豪")</f>
        <v>0</v>
      </c>
      <c r="AI33" s="624">
        <f t="shared" si="9"/>
        <v>0</v>
      </c>
    </row>
    <row r="34" ht="17.4" customHeight="1" spans="1:35">
      <c r="A34" s="617" t="s">
        <v>249</v>
      </c>
      <c r="B34" s="617" t="s">
        <v>663</v>
      </c>
      <c r="C34" s="639"/>
      <c r="E34" s="617" t="s">
        <v>1037</v>
      </c>
      <c r="I34" s="665" t="s">
        <v>249</v>
      </c>
      <c r="J34" s="665" t="s">
        <v>251</v>
      </c>
      <c r="K34" s="666"/>
      <c r="N34" s="617"/>
      <c r="P34" s="658"/>
      <c r="Q34" s="659"/>
      <c r="R34" s="660"/>
      <c r="S34" s="660"/>
      <c r="T34" s="661"/>
      <c r="U34" s="662"/>
      <c r="V34" s="574"/>
      <c r="W34" s="663"/>
      <c r="X34" s="664">
        <f t="shared" si="7"/>
        <v>0</v>
      </c>
      <c r="Y34" s="616"/>
      <c r="Z34" s="617">
        <f t="shared" si="1"/>
        <v>0</v>
      </c>
      <c r="AA34" s="623"/>
      <c r="AB34" s="623"/>
      <c r="AC34" s="623"/>
      <c r="AD34" s="624">
        <f t="shared" si="8"/>
        <v>0</v>
      </c>
      <c r="AF34" s="623">
        <f>SUMIFS(O:O,I:I,'重功超期+活动'!Q34,B:B,"豪越L")</f>
        <v>0</v>
      </c>
      <c r="AG34" s="623">
        <f>SUMIFS(O:O,I:I,'重功超期+活动'!Q34,B:B,"第4代帝豪")</f>
        <v>0</v>
      </c>
      <c r="AH34" s="623">
        <f>SUMIFS(O:O,I:I,'重功超期+活动'!Q34,B:B,"第5代帝豪")</f>
        <v>0</v>
      </c>
      <c r="AI34" s="624">
        <f t="shared" si="9"/>
        <v>0</v>
      </c>
    </row>
    <row r="35" ht="17.4" customHeight="1" spans="1:35">
      <c r="A35" s="617" t="s">
        <v>1034</v>
      </c>
      <c r="B35" s="617" t="s">
        <v>663</v>
      </c>
      <c r="C35" s="639"/>
      <c r="E35" s="617" t="s">
        <v>1038</v>
      </c>
      <c r="I35" s="665" t="s">
        <v>1034</v>
      </c>
      <c r="J35" s="665" t="s">
        <v>198</v>
      </c>
      <c r="K35" s="666"/>
      <c r="N35" s="617"/>
      <c r="P35" s="658"/>
      <c r="Q35" s="659"/>
      <c r="R35" s="660"/>
      <c r="S35" s="660"/>
      <c r="T35" s="661"/>
      <c r="U35" s="662"/>
      <c r="V35" s="574"/>
      <c r="W35" s="663"/>
      <c r="X35" s="664">
        <f t="shared" si="7"/>
        <v>0</v>
      </c>
      <c r="Y35" s="616"/>
      <c r="Z35" s="617">
        <f t="shared" si="1"/>
        <v>0</v>
      </c>
      <c r="AA35" s="623"/>
      <c r="AB35" s="623"/>
      <c r="AC35" s="623"/>
      <c r="AD35" s="624">
        <f t="shared" si="8"/>
        <v>0</v>
      </c>
      <c r="AF35" s="623">
        <f>SUMIFS(O:O,I:I,'重功超期+活动'!Q35,B:B,"豪越L")</f>
        <v>0</v>
      </c>
      <c r="AG35" s="623">
        <f>SUMIFS(O:O,I:I,'重功超期+活动'!Q35,B:B,"第4代帝豪")</f>
        <v>0</v>
      </c>
      <c r="AH35" s="623">
        <f>SUMIFS(O:O,I:I,'重功超期+活动'!Q35,B:B,"第5代帝豪")</f>
        <v>0</v>
      </c>
      <c r="AI35" s="624">
        <f t="shared" si="9"/>
        <v>0</v>
      </c>
    </row>
    <row r="36" ht="17.4" customHeight="1" spans="1:35">
      <c r="A36" s="617" t="s">
        <v>660</v>
      </c>
      <c r="B36" s="617" t="s">
        <v>663</v>
      </c>
      <c r="C36" s="639"/>
      <c r="E36" s="617" t="s">
        <v>1039</v>
      </c>
      <c r="I36" s="665" t="s">
        <v>660</v>
      </c>
      <c r="J36" s="665" t="s">
        <v>243</v>
      </c>
      <c r="K36" s="666"/>
      <c r="N36" s="617"/>
      <c r="P36" s="658"/>
      <c r="Q36" s="659"/>
      <c r="R36" s="660"/>
      <c r="S36" s="660"/>
      <c r="T36" s="661"/>
      <c r="U36" s="662"/>
      <c r="V36" s="574"/>
      <c r="W36" s="663"/>
      <c r="X36" s="664">
        <f t="shared" si="7"/>
        <v>0</v>
      </c>
      <c r="Y36" s="616"/>
      <c r="Z36" s="617">
        <f t="shared" si="1"/>
        <v>0</v>
      </c>
      <c r="AA36" s="623"/>
      <c r="AB36" s="623"/>
      <c r="AC36" s="623"/>
      <c r="AD36" s="624">
        <f t="shared" si="8"/>
        <v>0</v>
      </c>
      <c r="AF36" s="623">
        <f>SUMIFS(O:O,I:I,'重功超期+活动'!Q36,B:B,"豪越L")</f>
        <v>0</v>
      </c>
      <c r="AG36" s="623">
        <f>SUMIFS(O:O,I:I,'重功超期+活动'!Q36,B:B,"第4代帝豪")</f>
        <v>0</v>
      </c>
      <c r="AH36" s="623">
        <f>SUMIFS(O:O,I:I,'重功超期+活动'!Q36,B:B,"第5代帝豪")</f>
        <v>0</v>
      </c>
      <c r="AI36" s="624">
        <f t="shared" si="9"/>
        <v>0</v>
      </c>
    </row>
    <row r="37" ht="17.4" customHeight="1" spans="1:35">
      <c r="A37" s="617" t="s">
        <v>954</v>
      </c>
      <c r="B37" s="617" t="s">
        <v>663</v>
      </c>
      <c r="C37" s="639"/>
      <c r="E37" s="617" t="s">
        <v>1040</v>
      </c>
      <c r="I37" s="665" t="s">
        <v>954</v>
      </c>
      <c r="J37" s="665" t="s">
        <v>184</v>
      </c>
      <c r="K37" s="666"/>
      <c r="N37" s="617"/>
      <c r="P37" s="658"/>
      <c r="Q37" s="668"/>
      <c r="R37" s="660"/>
      <c r="S37" s="660"/>
      <c r="T37" s="661"/>
      <c r="U37" s="662"/>
      <c r="V37" s="574"/>
      <c r="W37" s="663"/>
      <c r="X37" s="664">
        <f t="shared" si="7"/>
        <v>0</v>
      </c>
      <c r="Y37" s="616"/>
      <c r="Z37" s="617">
        <f t="shared" si="1"/>
        <v>0</v>
      </c>
      <c r="AA37" s="623"/>
      <c r="AB37" s="623"/>
      <c r="AC37" s="623"/>
      <c r="AD37" s="624">
        <f t="shared" si="8"/>
        <v>0</v>
      </c>
      <c r="AF37" s="623">
        <f>SUMIFS(O:O,I:I,'重功超期+活动'!Q37,B:B,"豪越L")</f>
        <v>0</v>
      </c>
      <c r="AG37" s="623">
        <f>SUMIFS(O:O,I:I,'重功超期+活动'!Q37,B:B,"第4代帝豪")</f>
        <v>0</v>
      </c>
      <c r="AH37" s="623">
        <f>SUMIFS(O:O,I:I,'重功超期+活动'!Q37,B:B,"第5代帝豪")</f>
        <v>0</v>
      </c>
      <c r="AI37" s="624">
        <f t="shared" si="9"/>
        <v>0</v>
      </c>
    </row>
    <row r="38" ht="17.4" customHeight="1" spans="1:35">
      <c r="A38" s="617" t="s">
        <v>985</v>
      </c>
      <c r="B38" s="617" t="s">
        <v>663</v>
      </c>
      <c r="C38" s="639"/>
      <c r="E38" s="617" t="s">
        <v>1041</v>
      </c>
      <c r="I38" s="665" t="s">
        <v>985</v>
      </c>
      <c r="J38" s="665" t="s">
        <v>192</v>
      </c>
      <c r="K38" s="666"/>
      <c r="N38" s="617"/>
      <c r="P38" s="658"/>
      <c r="Q38" s="668"/>
      <c r="R38" s="660"/>
      <c r="S38" s="660"/>
      <c r="T38" s="661"/>
      <c r="U38" s="662"/>
      <c r="V38" s="574"/>
      <c r="W38" s="663"/>
      <c r="X38" s="664">
        <f t="shared" si="7"/>
        <v>0</v>
      </c>
      <c r="Y38" s="616"/>
      <c r="Z38" s="617">
        <f t="shared" si="1"/>
        <v>0</v>
      </c>
      <c r="AA38" s="623"/>
      <c r="AB38" s="623"/>
      <c r="AC38" s="623"/>
      <c r="AD38" s="624">
        <f t="shared" si="8"/>
        <v>0</v>
      </c>
      <c r="AF38" s="623">
        <f>SUMIFS(O:O,I:I,'重功超期+活动'!Q38,B:B,"豪越L")</f>
        <v>0</v>
      </c>
      <c r="AG38" s="623">
        <f>SUMIFS(O:O,I:I,'重功超期+活动'!Q38,B:B,"第4代帝豪")</f>
        <v>0</v>
      </c>
      <c r="AH38" s="623">
        <f>SUMIFS(O:O,I:I,'重功超期+活动'!Q38,B:B,"第5代帝豪")</f>
        <v>0</v>
      </c>
      <c r="AI38" s="624">
        <f t="shared" si="9"/>
        <v>0</v>
      </c>
    </row>
    <row r="39" ht="17.4" customHeight="1" spans="1:35">
      <c r="A39" s="617" t="s">
        <v>1034</v>
      </c>
      <c r="B39" s="617" t="s">
        <v>663</v>
      </c>
      <c r="C39" s="639"/>
      <c r="E39" s="617" t="s">
        <v>1042</v>
      </c>
      <c r="I39" s="665" t="s">
        <v>1034</v>
      </c>
      <c r="J39" s="665" t="s">
        <v>199</v>
      </c>
      <c r="K39" s="666"/>
      <c r="N39" s="617"/>
      <c r="P39" s="658"/>
      <c r="Q39" s="629"/>
      <c r="R39" s="629"/>
      <c r="S39" s="630"/>
      <c r="T39" s="630"/>
      <c r="U39" s="630"/>
      <c r="V39" s="630"/>
      <c r="W39" s="630">
        <f>SUM(W31:W38)</f>
        <v>0</v>
      </c>
      <c r="X39" s="631">
        <f>SUM(X31:X38)</f>
        <v>0</v>
      </c>
      <c r="Y39" s="616"/>
      <c r="Z39" s="617">
        <f t="shared" si="1"/>
        <v>0</v>
      </c>
      <c r="AA39" s="630">
        <f>SUM(AA31:AA38)</f>
        <v>0</v>
      </c>
      <c r="AB39" s="630">
        <f>SUM(AB31:AB38)</f>
        <v>0</v>
      </c>
      <c r="AC39" s="630">
        <f>SUM(AC31:AC38)</f>
        <v>0</v>
      </c>
      <c r="AD39" s="631">
        <f>SUM(AD31:AD38)</f>
        <v>0</v>
      </c>
      <c r="AF39" s="630">
        <f>SUM(AF31:AF38)</f>
        <v>0</v>
      </c>
      <c r="AG39" s="630">
        <f>SUM(AG31:AG38)</f>
        <v>0</v>
      </c>
      <c r="AH39" s="630">
        <f>SUM(AH31:AH38)</f>
        <v>0</v>
      </c>
      <c r="AI39" s="631">
        <f>SUM(AI31:AI38)</f>
        <v>0</v>
      </c>
    </row>
    <row r="40" ht="17.4" customHeight="1" spans="1:35">
      <c r="C40" s="639"/>
      <c r="I40" s="669"/>
      <c r="J40" s="669"/>
      <c r="K40" s="669"/>
      <c r="P40" s="658" t="s">
        <v>194</v>
      </c>
      <c r="Q40" s="670"/>
      <c r="R40" s="660"/>
      <c r="S40" s="660"/>
      <c r="T40" s="667"/>
      <c r="U40" s="662"/>
      <c r="V40" s="574"/>
      <c r="W40" s="663"/>
      <c r="X40" s="664">
        <f t="shared" ref="X40:X48" si="10">U40</f>
        <v>0</v>
      </c>
      <c r="Y40" s="616"/>
      <c r="Z40" s="617">
        <f t="shared" si="1"/>
        <v>0</v>
      </c>
      <c r="AA40" s="623"/>
      <c r="AB40" s="623"/>
      <c r="AC40" s="623"/>
      <c r="AD40" s="624">
        <f t="shared" ref="AD40:AD48" si="11">SUM(AA40:AC40)</f>
        <v>0</v>
      </c>
      <c r="AF40" s="623">
        <f>SUMIFS(O:O,I:I,'重功超期+活动'!Q40,B:B,"豪越L")</f>
        <v>0</v>
      </c>
      <c r="AG40" s="623">
        <f>SUMIFS(O:O,I:I,'重功超期+活动'!Q40,B:B,"第4代帝豪")</f>
        <v>0</v>
      </c>
      <c r="AH40" s="623">
        <f>SUMIFS(O:O,I:I,'重功超期+活动'!Q40,B:B,"第5代帝豪")</f>
        <v>0</v>
      </c>
      <c r="AI40" s="624">
        <f t="shared" ref="AI40:AI48" si="12">SUM(AF40:AH40)</f>
        <v>0</v>
      </c>
    </row>
    <row r="41" ht="17.4" customHeight="1" spans="1:35">
      <c r="A41" s="617" t="s">
        <v>985</v>
      </c>
      <c r="B41" s="617" t="s">
        <v>671</v>
      </c>
      <c r="C41" s="639"/>
      <c r="E41" s="617" t="s">
        <v>1043</v>
      </c>
      <c r="I41" s="671" t="s">
        <v>985</v>
      </c>
      <c r="J41" s="671" t="s">
        <v>192</v>
      </c>
      <c r="K41" s="672"/>
      <c r="N41" s="617"/>
      <c r="P41" s="673"/>
      <c r="Q41" s="670"/>
      <c r="R41" s="660"/>
      <c r="S41" s="660"/>
      <c r="T41" s="667"/>
      <c r="U41" s="662"/>
      <c r="V41" s="574"/>
      <c r="W41" s="663"/>
      <c r="X41" s="664">
        <f t="shared" si="10"/>
        <v>0</v>
      </c>
      <c r="Y41" s="616"/>
      <c r="Z41" s="617">
        <f t="shared" si="1"/>
        <v>0</v>
      </c>
      <c r="AA41" s="623"/>
      <c r="AB41" s="623"/>
      <c r="AC41" s="623"/>
      <c r="AD41" s="624">
        <f t="shared" si="11"/>
        <v>0</v>
      </c>
      <c r="AF41" s="623">
        <f>SUMIFS(O:O,I:I,'重功超期+活动'!Q41,B:B,"豪越L")</f>
        <v>0</v>
      </c>
      <c r="AG41" s="623">
        <f>SUMIFS(O:O,I:I,'重功超期+活动'!Q41,B:B,"第4代帝豪")</f>
        <v>0</v>
      </c>
      <c r="AH41" s="623">
        <f>SUMIFS(O:O,I:I,'重功超期+活动'!Q41,B:B,"第5代帝豪")</f>
        <v>0</v>
      </c>
      <c r="AI41" s="624">
        <f t="shared" si="12"/>
        <v>0</v>
      </c>
    </row>
    <row r="42" ht="17.4" customHeight="1" spans="1:35">
      <c r="A42" s="617" t="s">
        <v>1021</v>
      </c>
      <c r="B42" s="617" t="s">
        <v>678</v>
      </c>
      <c r="C42" s="639"/>
      <c r="E42" s="617" t="s">
        <v>1044</v>
      </c>
      <c r="I42" s="671" t="s">
        <v>1021</v>
      </c>
      <c r="J42" s="671" t="s">
        <v>196</v>
      </c>
      <c r="K42" s="672"/>
      <c r="N42" s="617"/>
      <c r="P42" s="673"/>
      <c r="Q42" s="670"/>
      <c r="R42" s="660"/>
      <c r="S42" s="660"/>
      <c r="T42" s="667"/>
      <c r="U42" s="662"/>
      <c r="V42" s="574"/>
      <c r="W42" s="663"/>
      <c r="X42" s="664">
        <f t="shared" si="10"/>
        <v>0</v>
      </c>
      <c r="Y42" s="616"/>
      <c r="Z42" s="617">
        <f t="shared" si="1"/>
        <v>0</v>
      </c>
      <c r="AA42" s="623"/>
      <c r="AB42" s="623"/>
      <c r="AC42" s="623"/>
      <c r="AD42" s="624">
        <f t="shared" si="11"/>
        <v>0</v>
      </c>
      <c r="AF42" s="623">
        <f>SUMIFS(O:O,I:I,'重功超期+活动'!Q42,B:B,"豪越L")</f>
        <v>0</v>
      </c>
      <c r="AG42" s="623">
        <f>SUMIFS(O:O,I:I,'重功超期+活动'!Q42,B:B,"第4代帝豪")</f>
        <v>0</v>
      </c>
      <c r="AH42" s="623">
        <f>SUMIFS(O:O,I:I,'重功超期+活动'!Q42,B:B,"第5代帝豪")</f>
        <v>0</v>
      </c>
      <c r="AI42" s="624">
        <f t="shared" si="12"/>
        <v>0</v>
      </c>
    </row>
    <row r="43" ht="17.4" customHeight="1" spans="1:35">
      <c r="C43" s="639"/>
      <c r="I43" s="674"/>
      <c r="J43" s="674"/>
      <c r="K43" s="674"/>
      <c r="P43" s="673"/>
      <c r="Q43" s="670"/>
      <c r="R43" s="660"/>
      <c r="S43" s="660"/>
      <c r="T43" s="667"/>
      <c r="U43" s="662"/>
      <c r="V43" s="574"/>
      <c r="W43" s="663"/>
      <c r="X43" s="664">
        <f t="shared" si="10"/>
        <v>0</v>
      </c>
      <c r="Y43" s="616"/>
      <c r="Z43" s="617">
        <f t="shared" si="1"/>
        <v>0</v>
      </c>
      <c r="AA43" s="623"/>
      <c r="AB43" s="623"/>
      <c r="AC43" s="623"/>
      <c r="AD43" s="624">
        <f t="shared" si="11"/>
        <v>0</v>
      </c>
      <c r="AF43" s="623">
        <f>SUMIFS(O:O,I:I,'重功超期+活动'!Q43,B:B,"豪越L")</f>
        <v>0</v>
      </c>
      <c r="AG43" s="623">
        <f>SUMIFS(O:O,I:I,'重功超期+活动'!Q43,B:B,"第4代帝豪")</f>
        <v>0</v>
      </c>
      <c r="AH43" s="623">
        <f>SUMIFS(O:O,I:I,'重功超期+活动'!Q43,B:B,"第5代帝豪")</f>
        <v>0</v>
      </c>
      <c r="AI43" s="624">
        <f t="shared" si="12"/>
        <v>0</v>
      </c>
    </row>
    <row r="44" ht="14.4" customHeight="1" spans="1:35">
      <c r="P44" s="673"/>
      <c r="Q44" s="670"/>
      <c r="R44" s="660"/>
      <c r="S44" s="660"/>
      <c r="T44" s="667"/>
      <c r="U44" s="662"/>
      <c r="V44" s="574"/>
      <c r="W44" s="663"/>
      <c r="X44" s="664">
        <f t="shared" si="10"/>
        <v>0</v>
      </c>
      <c r="Y44" s="616"/>
      <c r="Z44" s="617">
        <f t="shared" si="1"/>
        <v>0</v>
      </c>
      <c r="AA44" s="623"/>
      <c r="AB44" s="623"/>
      <c r="AC44" s="623"/>
      <c r="AD44" s="624">
        <f t="shared" si="11"/>
        <v>0</v>
      </c>
      <c r="AF44" s="623">
        <f>SUMIFS(O:O,I:I,'重功超期+活动'!Q44,B:B,"豪越L")</f>
        <v>0</v>
      </c>
      <c r="AG44" s="623">
        <f>SUMIFS(O:O,I:I,'重功超期+活动'!Q44,B:B,"第4代帝豪")</f>
        <v>0</v>
      </c>
      <c r="AH44" s="623">
        <f>SUMIFS(O:O,I:I,'重功超期+活动'!Q44,B:B,"第5代帝豪")</f>
        <v>0</v>
      </c>
      <c r="AI44" s="624">
        <f t="shared" si="12"/>
        <v>0</v>
      </c>
    </row>
    <row r="45" ht="14.4" customHeight="1" spans="1:35">
      <c r="P45" s="673"/>
      <c r="Q45" s="670"/>
      <c r="R45" s="660"/>
      <c r="S45" s="660"/>
      <c r="T45" s="667"/>
      <c r="U45" s="662"/>
      <c r="V45" s="574"/>
      <c r="W45" s="663"/>
      <c r="X45" s="664">
        <f t="shared" si="10"/>
        <v>0</v>
      </c>
      <c r="Y45" s="616"/>
      <c r="Z45" s="617">
        <f t="shared" si="1"/>
        <v>0</v>
      </c>
      <c r="AA45" s="623"/>
      <c r="AB45" s="623"/>
      <c r="AC45" s="623"/>
      <c r="AD45" s="624">
        <f t="shared" si="11"/>
        <v>0</v>
      </c>
      <c r="AF45" s="623">
        <f>SUMIFS(O:O,I:I,'重功超期+活动'!Q45,B:B,"豪越L")</f>
        <v>0</v>
      </c>
      <c r="AG45" s="623">
        <f>SUMIFS(O:O,I:I,'重功超期+活动'!Q45,B:B,"第4代帝豪")</f>
        <v>0</v>
      </c>
      <c r="AH45" s="623">
        <f>SUMIFS(O:O,I:I,'重功超期+活动'!Q45,B:B,"第5代帝豪")</f>
        <v>0</v>
      </c>
      <c r="AI45" s="624">
        <f t="shared" si="12"/>
        <v>0</v>
      </c>
    </row>
    <row r="46" ht="14.4" customHeight="1" spans="1:35">
      <c r="P46" s="673"/>
      <c r="Q46" s="670"/>
      <c r="R46" s="660"/>
      <c r="S46" s="660"/>
      <c r="T46" s="667"/>
      <c r="U46" s="662"/>
      <c r="V46" s="574"/>
      <c r="W46" s="663"/>
      <c r="X46" s="664">
        <f t="shared" si="10"/>
        <v>0</v>
      </c>
      <c r="Y46" s="616"/>
      <c r="Z46" s="617">
        <f t="shared" si="1"/>
        <v>0</v>
      </c>
      <c r="AA46" s="623"/>
      <c r="AB46" s="623"/>
      <c r="AC46" s="623"/>
      <c r="AD46" s="624">
        <f t="shared" si="11"/>
        <v>0</v>
      </c>
      <c r="AF46" s="623">
        <f>SUMIFS(O:O,I:I,'重功超期+活动'!Q46,B:B,"豪越L")</f>
        <v>0</v>
      </c>
      <c r="AG46" s="623">
        <f>SUMIFS(O:O,I:I,'重功超期+活动'!Q46,B:B,"第4代帝豪")</f>
        <v>0</v>
      </c>
      <c r="AH46" s="623">
        <f>SUMIFS(O:O,I:I,'重功超期+活动'!Q46,B:B,"第5代帝豪")</f>
        <v>0</v>
      </c>
      <c r="AI46" s="624">
        <f t="shared" si="12"/>
        <v>0</v>
      </c>
    </row>
    <row r="47" ht="14.4" customHeight="1" spans="1:35">
      <c r="P47" s="673"/>
      <c r="Q47" s="660"/>
      <c r="R47" s="660"/>
      <c r="S47" s="660"/>
      <c r="T47" s="667"/>
      <c r="U47" s="662"/>
      <c r="V47" s="574"/>
      <c r="W47" s="663"/>
      <c r="X47" s="664">
        <f t="shared" si="10"/>
        <v>0</v>
      </c>
      <c r="Y47" s="616"/>
      <c r="Z47" s="617">
        <f t="shared" si="1"/>
        <v>0</v>
      </c>
      <c r="AA47" s="623"/>
      <c r="AB47" s="623"/>
      <c r="AC47" s="623"/>
      <c r="AD47" s="624">
        <f t="shared" si="11"/>
        <v>0</v>
      </c>
      <c r="AF47" s="623">
        <f>SUMIFS(O:O,I:I,'重功超期+活动'!Q47,B:B,"豪越L")</f>
        <v>0</v>
      </c>
      <c r="AG47" s="623">
        <f>SUMIFS(O:O,I:I,'重功超期+活动'!Q47,B:B,"第4代帝豪")</f>
        <v>0</v>
      </c>
      <c r="AH47" s="623">
        <f>SUMIFS(O:O,I:I,'重功超期+活动'!Q47,B:B,"第5代帝豪")</f>
        <v>0</v>
      </c>
      <c r="AI47" s="624">
        <f t="shared" si="12"/>
        <v>0</v>
      </c>
    </row>
    <row r="48" ht="14.4" customHeight="1" spans="1:35">
      <c r="P48" s="673"/>
      <c r="Q48" s="660"/>
      <c r="R48" s="660"/>
      <c r="S48" s="660"/>
      <c r="T48" s="667"/>
      <c r="U48" s="662"/>
      <c r="V48" s="574"/>
      <c r="W48" s="663"/>
      <c r="X48" s="664">
        <f t="shared" si="10"/>
        <v>0</v>
      </c>
      <c r="Y48" s="616"/>
      <c r="Z48" s="617">
        <f t="shared" si="1"/>
        <v>0</v>
      </c>
      <c r="AA48" s="623"/>
      <c r="AB48" s="623"/>
      <c r="AC48" s="623"/>
      <c r="AD48" s="624">
        <f t="shared" si="11"/>
        <v>0</v>
      </c>
      <c r="AF48" s="623">
        <f>SUMIFS(O:O,I:I,'重功超期+活动'!Q48,B:B,"豪越L")</f>
        <v>0</v>
      </c>
      <c r="AG48" s="623">
        <f>SUMIFS(O:O,I:I,'重功超期+活动'!Q48,B:B,"第4代帝豪")</f>
        <v>0</v>
      </c>
      <c r="AH48" s="623">
        <f>SUMIFS(O:O,I:I,'重功超期+活动'!Q48,B:B,"第5代帝豪")</f>
        <v>0</v>
      </c>
      <c r="AI48" s="624">
        <f t="shared" si="12"/>
        <v>0</v>
      </c>
    </row>
    <row r="49" ht="14.4" customHeight="1" spans="16:35">
      <c r="P49" s="673"/>
      <c r="Q49" s="670"/>
      <c r="R49" s="660"/>
      <c r="S49" s="660"/>
      <c r="T49" s="667"/>
      <c r="U49" s="662"/>
      <c r="V49" s="574">
        <f>SUM(V40:V48)</f>
        <v>0</v>
      </c>
      <c r="W49" s="663">
        <f>SUM(W40:W48)</f>
        <v>0</v>
      </c>
      <c r="X49" s="664">
        <f>SUM(X40:X48)</f>
        <v>0</v>
      </c>
      <c r="Y49" s="616"/>
      <c r="Z49" s="617">
        <f t="shared" si="1"/>
        <v>0</v>
      </c>
      <c r="AA49" s="630">
        <f>SUM(AA40:AA48)</f>
        <v>0</v>
      </c>
      <c r="AB49" s="630">
        <f>SUM(AB40:AB48)</f>
        <v>0</v>
      </c>
      <c r="AC49" s="630">
        <f>SUM(AC40:AC48)</f>
        <v>0</v>
      </c>
      <c r="AD49" s="631">
        <f>SUM(AD40:AD48)</f>
        <v>0</v>
      </c>
      <c r="AF49" s="630">
        <f>SUM(AF40:AF48)</f>
        <v>0</v>
      </c>
      <c r="AG49" s="630">
        <f>SUM(AG40:AG48)</f>
        <v>0</v>
      </c>
      <c r="AH49" s="630">
        <f>SUM(AH40:AH48)</f>
        <v>0</v>
      </c>
      <c r="AI49" s="631">
        <f>SUM(AI40:AI48)</f>
        <v>0</v>
      </c>
    </row>
    <row r="50" ht="14.4" customHeight="1" spans="16:35">
      <c r="P50" s="675"/>
      <c r="Q50" s="629"/>
      <c r="R50" s="629"/>
      <c r="S50" s="630"/>
      <c r="T50" s="630"/>
      <c r="U50" s="630"/>
      <c r="V50" s="630"/>
      <c r="W50" s="630"/>
      <c r="X50" s="631">
        <f>SUM(X49)</f>
        <v>0</v>
      </c>
      <c r="Y50" s="616"/>
      <c r="Z50" s="617">
        <f t="shared" si="1"/>
        <v>0</v>
      </c>
      <c r="AA50" s="676"/>
      <c r="AB50" s="677"/>
      <c r="AC50" s="678"/>
      <c r="AD50" s="664"/>
      <c r="AF50" s="676"/>
      <c r="AG50" s="677"/>
      <c r="AH50" s="678"/>
      <c r="AI50" s="664"/>
    </row>
    <row r="51" ht="14.4" customHeight="1" spans="16:35">
      <c r="P51" s="679" t="s">
        <v>162</v>
      </c>
      <c r="W51" s="680"/>
      <c r="X51" s="664">
        <f>X49+X39</f>
        <v>0</v>
      </c>
      <c r="Y51" s="616"/>
      <c r="Z51" s="617">
        <f t="shared" si="1"/>
        <v>0</v>
      </c>
      <c r="AA51" s="617"/>
      <c r="AB51" s="617"/>
      <c r="AC51" s="617"/>
      <c r="AD51" s="664">
        <f>AD49+AD39</f>
        <v>0</v>
      </c>
      <c r="AF51" s="617"/>
      <c r="AG51" s="617"/>
      <c r="AH51" s="617"/>
      <c r="AI51" s="664">
        <f>AI49+AI39</f>
        <v>0</v>
      </c>
    </row>
    <row r="52" ht="36" customHeight="1" spans="16:35">
      <c r="P52" s="681"/>
      <c r="Q52" s="609"/>
      <c r="R52" s="609"/>
      <c r="S52" s="609"/>
      <c r="T52" s="609"/>
      <c r="U52" s="609"/>
      <c r="V52" s="609"/>
      <c r="W52" s="609"/>
      <c r="X52" s="609"/>
      <c r="AA52" s="617"/>
      <c r="AB52" s="617"/>
      <c r="AC52" s="617"/>
      <c r="AD52" s="617"/>
      <c r="AF52" s="617"/>
      <c r="AG52" s="617"/>
      <c r="AH52" s="617"/>
      <c r="AI52" s="617"/>
    </row>
    <row r="53" ht="15.6" customHeight="1" spans="16:35">
      <c r="P53" s="682" t="s">
        <v>1045</v>
      </c>
      <c r="Q53" s="683"/>
      <c r="R53" s="684"/>
      <c r="S53" s="576"/>
      <c r="T53" s="576"/>
      <c r="U53" s="576"/>
      <c r="V53" s="576"/>
      <c r="W53" s="685"/>
      <c r="X53" s="686"/>
      <c r="Y53" s="616"/>
      <c r="AA53" s="576"/>
      <c r="AB53" s="576"/>
      <c r="AC53" s="685"/>
      <c r="AD53" s="686"/>
      <c r="AF53" s="576"/>
      <c r="AG53" s="576"/>
      <c r="AH53" s="685"/>
      <c r="AI53" s="686"/>
    </row>
    <row r="54" ht="14.4" customHeight="1" spans="16:35">
      <c r="P54" s="576" t="s">
        <v>12</v>
      </c>
      <c r="Q54" s="576" t="s">
        <v>381</v>
      </c>
      <c r="R54" s="687" t="s">
        <v>1046</v>
      </c>
      <c r="S54" s="576" t="s">
        <v>1027</v>
      </c>
      <c r="T54" s="576" t="s">
        <v>1047</v>
      </c>
      <c r="U54" s="576" t="s">
        <v>1028</v>
      </c>
      <c r="V54" s="576" t="s">
        <v>938</v>
      </c>
      <c r="W54" s="687" t="s">
        <v>939</v>
      </c>
      <c r="X54" s="686" t="s">
        <v>939</v>
      </c>
      <c r="Y54" s="616"/>
      <c r="Z54" s="617">
        <f t="shared" ref="Z54:Z81" si="13">COUNTIF(Q:Q,Q54)</f>
        <v>3</v>
      </c>
      <c r="AA54" s="623" t="s">
        <v>1030</v>
      </c>
      <c r="AB54" s="623" t="s">
        <v>1031</v>
      </c>
      <c r="AC54" s="623" t="s">
        <v>1032</v>
      </c>
      <c r="AD54" s="686" t="str">
        <f>AD3</f>
        <v>合计实发</v>
      </c>
      <c r="AF54" s="623" t="s">
        <v>1030</v>
      </c>
      <c r="AG54" s="623" t="s">
        <v>1031</v>
      </c>
      <c r="AH54" s="623" t="s">
        <v>1032</v>
      </c>
      <c r="AI54" s="686" t="str">
        <f>AI3</f>
        <v>合计实发</v>
      </c>
    </row>
    <row r="55" ht="15.6" customHeight="1" spans="16:35">
      <c r="P55" s="682"/>
      <c r="Q55" s="683"/>
      <c r="R55" s="684"/>
      <c r="S55" s="576"/>
      <c r="T55" s="688"/>
      <c r="U55" s="576"/>
      <c r="V55" s="576"/>
      <c r="W55" s="685">
        <f t="shared" ref="W55:W79" si="14">SUM(U55:V55)</f>
        <v>0</v>
      </c>
      <c r="X55" s="686">
        <f t="shared" ref="X55:X80" si="15">V55+W55</f>
        <v>0</v>
      </c>
      <c r="Y55" s="616"/>
      <c r="Z55" s="617">
        <f t="shared" si="13"/>
        <v>0</v>
      </c>
      <c r="AA55" s="623"/>
      <c r="AB55" s="623"/>
      <c r="AC55" s="623"/>
      <c r="AD55" s="624">
        <f t="shared" ref="AD55:AD80" si="16">SUM(AA55:AC55)</f>
        <v>0</v>
      </c>
      <c r="AF55" s="623">
        <f>SUMIFS(O:O,I:I,'重功超期+活动'!Q55,B:B,"豪越L")</f>
        <v>0</v>
      </c>
      <c r="AG55" s="623">
        <f>SUMIFS(O:O,I:I,'重功超期+活动'!Q55,B:B,"第4代帝豪")</f>
        <v>0</v>
      </c>
      <c r="AH55" s="623">
        <f>SUMIFS(O:O,I:I,'重功超期+活动'!Q55,B:B,"第5代帝豪")</f>
        <v>0</v>
      </c>
      <c r="AI55" s="624">
        <f t="shared" ref="AI55:AI80" si="17">SUM(AF55:AH55)</f>
        <v>0</v>
      </c>
    </row>
    <row r="56" ht="15.6" customHeight="1" spans="16:35">
      <c r="P56" s="682"/>
      <c r="Q56" s="683"/>
      <c r="R56" s="684"/>
      <c r="S56" s="576"/>
      <c r="T56" s="688"/>
      <c r="U56" s="576"/>
      <c r="V56" s="576"/>
      <c r="W56" s="685">
        <f t="shared" si="14"/>
        <v>0</v>
      </c>
      <c r="X56" s="686">
        <f t="shared" si="15"/>
        <v>0</v>
      </c>
      <c r="Y56" s="616"/>
      <c r="Z56" s="617">
        <f t="shared" si="13"/>
        <v>0</v>
      </c>
      <c r="AA56" s="623"/>
      <c r="AB56" s="623"/>
      <c r="AC56" s="623"/>
      <c r="AD56" s="624">
        <f t="shared" si="16"/>
        <v>0</v>
      </c>
      <c r="AF56" s="623">
        <f>SUMIFS(O:O,I:I,'重功超期+活动'!Q56,B:B,"豪越L")</f>
        <v>0</v>
      </c>
      <c r="AG56" s="623">
        <f>SUMIFS(O:O,I:I,'重功超期+活动'!Q56,B:B,"第4代帝豪")</f>
        <v>0</v>
      </c>
      <c r="AH56" s="623">
        <f>SUMIFS(O:O,I:I,'重功超期+活动'!Q56,B:B,"第5代帝豪")</f>
        <v>0</v>
      </c>
      <c r="AI56" s="624">
        <f t="shared" si="17"/>
        <v>0</v>
      </c>
    </row>
    <row r="57" ht="15.6" customHeight="1" spans="16:35">
      <c r="P57" s="682"/>
      <c r="Q57" s="683"/>
      <c r="R57" s="684"/>
      <c r="S57" s="576"/>
      <c r="T57" s="688"/>
      <c r="U57" s="576"/>
      <c r="V57" s="576"/>
      <c r="W57" s="685">
        <f t="shared" si="14"/>
        <v>0</v>
      </c>
      <c r="X57" s="686">
        <f t="shared" si="15"/>
        <v>0</v>
      </c>
      <c r="Y57" s="616"/>
      <c r="Z57" s="617">
        <f t="shared" si="13"/>
        <v>0</v>
      </c>
      <c r="AA57" s="623"/>
      <c r="AB57" s="623"/>
      <c r="AC57" s="623"/>
      <c r="AD57" s="624">
        <f t="shared" si="16"/>
        <v>0</v>
      </c>
      <c r="AF57" s="623">
        <f>SUMIFS(O:O,I:I,'重功超期+活动'!Q57,B:B,"豪越L")</f>
        <v>0</v>
      </c>
      <c r="AG57" s="623">
        <f>SUMIFS(O:O,I:I,'重功超期+活动'!Q57,B:B,"第4代帝豪")</f>
        <v>0</v>
      </c>
      <c r="AH57" s="623">
        <f>SUMIFS(O:O,I:I,'重功超期+活动'!Q57,B:B,"第5代帝豪")</f>
        <v>0</v>
      </c>
      <c r="AI57" s="624">
        <f t="shared" si="17"/>
        <v>0</v>
      </c>
    </row>
    <row r="58" ht="15.6" customHeight="1" spans="16:35">
      <c r="P58" s="682"/>
      <c r="Q58" s="683"/>
      <c r="R58" s="684"/>
      <c r="S58" s="576"/>
      <c r="T58" s="688"/>
      <c r="U58" s="576"/>
      <c r="V58" s="576"/>
      <c r="W58" s="685">
        <f t="shared" si="14"/>
        <v>0</v>
      </c>
      <c r="X58" s="686">
        <f t="shared" si="15"/>
        <v>0</v>
      </c>
      <c r="Y58" s="616"/>
      <c r="Z58" s="617">
        <f t="shared" si="13"/>
        <v>0</v>
      </c>
      <c r="AA58" s="623"/>
      <c r="AB58" s="623"/>
      <c r="AC58" s="623"/>
      <c r="AD58" s="624">
        <f t="shared" si="16"/>
        <v>0</v>
      </c>
      <c r="AF58" s="623">
        <f>SUMIFS(O:O,I:I,'重功超期+活动'!Q58,B:B,"豪越L")</f>
        <v>0</v>
      </c>
      <c r="AG58" s="623">
        <f>SUMIFS(O:O,I:I,'重功超期+活动'!Q58,B:B,"第4代帝豪")</f>
        <v>0</v>
      </c>
      <c r="AH58" s="623">
        <f>SUMIFS(O:O,I:I,'重功超期+活动'!Q58,B:B,"第5代帝豪")</f>
        <v>0</v>
      </c>
      <c r="AI58" s="624">
        <f t="shared" si="17"/>
        <v>0</v>
      </c>
    </row>
    <row r="59" ht="15.6" customHeight="1" spans="16:35">
      <c r="P59" s="685"/>
      <c r="Q59" s="683"/>
      <c r="R59" s="684"/>
      <c r="S59" s="576"/>
      <c r="T59" s="688"/>
      <c r="U59" s="576"/>
      <c r="V59" s="576"/>
      <c r="W59" s="685">
        <f t="shared" si="14"/>
        <v>0</v>
      </c>
      <c r="X59" s="686">
        <f t="shared" si="15"/>
        <v>0</v>
      </c>
      <c r="Y59" s="616"/>
      <c r="Z59" s="617">
        <f t="shared" si="13"/>
        <v>0</v>
      </c>
      <c r="AA59" s="623"/>
      <c r="AB59" s="623"/>
      <c r="AC59" s="623"/>
      <c r="AD59" s="624">
        <f t="shared" si="16"/>
        <v>0</v>
      </c>
      <c r="AF59" s="623">
        <f>SUMIFS(O:O,I:I,'重功超期+活动'!Q59,B:B,"豪越L")</f>
        <v>0</v>
      </c>
      <c r="AG59" s="623">
        <f>SUMIFS(O:O,I:I,'重功超期+活动'!Q59,B:B,"第4代帝豪")</f>
        <v>0</v>
      </c>
      <c r="AH59" s="623">
        <f>SUMIFS(O:O,I:I,'重功超期+活动'!Q59,B:B,"第5代帝豪")</f>
        <v>0</v>
      </c>
      <c r="AI59" s="624">
        <f t="shared" si="17"/>
        <v>0</v>
      </c>
    </row>
    <row r="60" ht="15.6" customHeight="1" spans="16:35">
      <c r="P60" s="685"/>
      <c r="Q60" s="683"/>
      <c r="R60" s="684"/>
      <c r="S60" s="576"/>
      <c r="T60" s="688"/>
      <c r="U60" s="576"/>
      <c r="V60" s="576"/>
      <c r="W60" s="685">
        <f t="shared" si="14"/>
        <v>0</v>
      </c>
      <c r="X60" s="686">
        <f t="shared" si="15"/>
        <v>0</v>
      </c>
      <c r="Y60" s="616"/>
      <c r="Z60" s="617">
        <f t="shared" si="13"/>
        <v>0</v>
      </c>
      <c r="AA60" s="623"/>
      <c r="AB60" s="623"/>
      <c r="AC60" s="623"/>
      <c r="AD60" s="624">
        <f t="shared" si="16"/>
        <v>0</v>
      </c>
      <c r="AF60" s="623">
        <f>SUMIFS(O:O,I:I,'重功超期+活动'!Q60,B:B,"豪越L")</f>
        <v>0</v>
      </c>
      <c r="AG60" s="623">
        <f>SUMIFS(O:O,I:I,'重功超期+活动'!Q60,B:B,"第4代帝豪")</f>
        <v>0</v>
      </c>
      <c r="AH60" s="623">
        <f>SUMIFS(O:O,I:I,'重功超期+活动'!Q60,B:B,"第5代帝豪")</f>
        <v>0</v>
      </c>
      <c r="AI60" s="624">
        <f t="shared" si="17"/>
        <v>0</v>
      </c>
    </row>
    <row r="61" ht="15.6" customHeight="1" spans="16:35">
      <c r="P61" s="685"/>
      <c r="Q61" s="683"/>
      <c r="R61" s="684"/>
      <c r="S61" s="576"/>
      <c r="T61" s="688"/>
      <c r="U61" s="576"/>
      <c r="V61" s="576"/>
      <c r="W61" s="685">
        <f t="shared" si="14"/>
        <v>0</v>
      </c>
      <c r="X61" s="686">
        <f t="shared" si="15"/>
        <v>0</v>
      </c>
      <c r="Y61" s="616"/>
      <c r="Z61" s="617">
        <f t="shared" si="13"/>
        <v>0</v>
      </c>
      <c r="AA61" s="623"/>
      <c r="AB61" s="623"/>
      <c r="AC61" s="623"/>
      <c r="AD61" s="624">
        <f t="shared" si="16"/>
        <v>0</v>
      </c>
      <c r="AF61" s="623">
        <f>SUMIFS(O:O,I:I,'重功超期+活动'!Q61,B:B,"豪越L")</f>
        <v>0</v>
      </c>
      <c r="AG61" s="623">
        <f>SUMIFS(O:O,I:I,'重功超期+活动'!Q61,B:B,"第4代帝豪")</f>
        <v>0</v>
      </c>
      <c r="AH61" s="623">
        <f>SUMIFS(O:O,I:I,'重功超期+活动'!Q61,B:B,"第5代帝豪")</f>
        <v>0</v>
      </c>
      <c r="AI61" s="624">
        <f t="shared" si="17"/>
        <v>0</v>
      </c>
    </row>
    <row r="62" ht="15.6" customHeight="1" spans="16:35">
      <c r="P62" s="685"/>
      <c r="Q62" s="683"/>
      <c r="R62" s="684"/>
      <c r="S62" s="576"/>
      <c r="T62" s="688"/>
      <c r="U62" s="576"/>
      <c r="V62" s="576"/>
      <c r="W62" s="685">
        <f t="shared" si="14"/>
        <v>0</v>
      </c>
      <c r="X62" s="686">
        <f t="shared" si="15"/>
        <v>0</v>
      </c>
      <c r="Y62" s="616"/>
      <c r="Z62" s="617">
        <f t="shared" si="13"/>
        <v>0</v>
      </c>
      <c r="AA62" s="623"/>
      <c r="AB62" s="623"/>
      <c r="AC62" s="623"/>
      <c r="AD62" s="624">
        <f t="shared" si="16"/>
        <v>0</v>
      </c>
      <c r="AF62" s="623">
        <f>SUMIFS(O:O,I:I,'重功超期+活动'!Q62,B:B,"豪越L")</f>
        <v>0</v>
      </c>
      <c r="AG62" s="623">
        <f>SUMIFS(O:O,I:I,'重功超期+活动'!Q62,B:B,"第4代帝豪")</f>
        <v>0</v>
      </c>
      <c r="AH62" s="623">
        <f>SUMIFS(O:O,I:I,'重功超期+活动'!Q62,B:B,"第5代帝豪")</f>
        <v>0</v>
      </c>
      <c r="AI62" s="624">
        <f t="shared" si="17"/>
        <v>0</v>
      </c>
    </row>
    <row r="63" ht="15.6" customHeight="1" spans="16:35">
      <c r="P63" s="685"/>
      <c r="Q63" s="683"/>
      <c r="R63" s="684"/>
      <c r="S63" s="576"/>
      <c r="T63" s="688"/>
      <c r="U63" s="576"/>
      <c r="V63" s="576"/>
      <c r="W63" s="685">
        <f t="shared" si="14"/>
        <v>0</v>
      </c>
      <c r="X63" s="686">
        <f t="shared" si="15"/>
        <v>0</v>
      </c>
      <c r="Y63" s="616"/>
      <c r="Z63" s="617">
        <f t="shared" si="13"/>
        <v>0</v>
      </c>
      <c r="AA63" s="623"/>
      <c r="AB63" s="623"/>
      <c r="AC63" s="623"/>
      <c r="AD63" s="624">
        <f t="shared" si="16"/>
        <v>0</v>
      </c>
      <c r="AF63" s="623">
        <f>SUMIFS(O:O,I:I,'重功超期+活动'!Q63,B:B,"豪越L")</f>
        <v>0</v>
      </c>
      <c r="AG63" s="623">
        <f>SUMIFS(O:O,I:I,'重功超期+活动'!Q63,B:B,"第4代帝豪")</f>
        <v>0</v>
      </c>
      <c r="AH63" s="623">
        <f>SUMIFS(O:O,I:I,'重功超期+活动'!Q63,B:B,"第5代帝豪")</f>
        <v>0</v>
      </c>
      <c r="AI63" s="624">
        <f t="shared" si="17"/>
        <v>0</v>
      </c>
    </row>
    <row r="64" ht="15.6" customHeight="1" spans="16:35">
      <c r="P64" s="685"/>
      <c r="Q64" s="683"/>
      <c r="R64" s="684"/>
      <c r="S64" s="576"/>
      <c r="T64" s="688"/>
      <c r="U64" s="576"/>
      <c r="V64" s="576"/>
      <c r="W64" s="685">
        <f t="shared" si="14"/>
        <v>0</v>
      </c>
      <c r="X64" s="686">
        <f t="shared" si="15"/>
        <v>0</v>
      </c>
      <c r="Y64" s="616"/>
      <c r="Z64" s="617">
        <f t="shared" si="13"/>
        <v>0</v>
      </c>
      <c r="AA64" s="623"/>
      <c r="AB64" s="623"/>
      <c r="AC64" s="623"/>
      <c r="AD64" s="624">
        <f t="shared" si="16"/>
        <v>0</v>
      </c>
      <c r="AF64" s="623">
        <f>SUMIFS(O:O,I:I,'重功超期+活动'!Q64,B:B,"豪越L")</f>
        <v>0</v>
      </c>
      <c r="AG64" s="623">
        <f>SUMIFS(O:O,I:I,'重功超期+活动'!Q64,B:B,"第4代帝豪")</f>
        <v>0</v>
      </c>
      <c r="AH64" s="623">
        <f>SUMIFS(O:O,I:I,'重功超期+活动'!Q64,B:B,"第5代帝豪")</f>
        <v>0</v>
      </c>
      <c r="AI64" s="624">
        <f t="shared" si="17"/>
        <v>0</v>
      </c>
    </row>
    <row r="65" ht="15.6" customHeight="1" spans="16:35">
      <c r="P65" s="685"/>
      <c r="Q65" s="683"/>
      <c r="R65" s="684"/>
      <c r="S65" s="576"/>
      <c r="T65" s="688"/>
      <c r="U65" s="576"/>
      <c r="V65" s="576"/>
      <c r="W65" s="685">
        <f t="shared" si="14"/>
        <v>0</v>
      </c>
      <c r="X65" s="686">
        <f t="shared" si="15"/>
        <v>0</v>
      </c>
      <c r="Y65" s="616"/>
      <c r="Z65" s="617">
        <f t="shared" si="13"/>
        <v>0</v>
      </c>
      <c r="AA65" s="623"/>
      <c r="AB65" s="623"/>
      <c r="AC65" s="623"/>
      <c r="AD65" s="624">
        <f t="shared" si="16"/>
        <v>0</v>
      </c>
      <c r="AF65" s="623">
        <f>SUMIFS(O:O,I:I,'重功超期+活动'!Q65,B:B,"豪越L")</f>
        <v>0</v>
      </c>
      <c r="AG65" s="623">
        <f>SUMIFS(O:O,I:I,'重功超期+活动'!Q65,B:B,"第4代帝豪")</f>
        <v>0</v>
      </c>
      <c r="AH65" s="623">
        <f>SUMIFS(O:O,I:I,'重功超期+活动'!Q65,B:B,"第5代帝豪")</f>
        <v>0</v>
      </c>
      <c r="AI65" s="624">
        <f t="shared" si="17"/>
        <v>0</v>
      </c>
    </row>
    <row r="66" ht="15.6" customHeight="1" spans="16:35">
      <c r="P66" s="685"/>
      <c r="Q66" s="683"/>
      <c r="R66" s="684"/>
      <c r="S66" s="576"/>
      <c r="T66" s="688"/>
      <c r="U66" s="576"/>
      <c r="V66" s="576"/>
      <c r="W66" s="685">
        <f t="shared" si="14"/>
        <v>0</v>
      </c>
      <c r="X66" s="686">
        <f t="shared" si="15"/>
        <v>0</v>
      </c>
      <c r="Y66" s="616"/>
      <c r="Z66" s="617">
        <f t="shared" si="13"/>
        <v>0</v>
      </c>
      <c r="AA66" s="623"/>
      <c r="AB66" s="623"/>
      <c r="AC66" s="623"/>
      <c r="AD66" s="624">
        <f t="shared" si="16"/>
        <v>0</v>
      </c>
      <c r="AF66" s="623">
        <f>SUMIFS(O:O,I:I,'重功超期+活动'!Q66,B:B,"豪越L")</f>
        <v>0</v>
      </c>
      <c r="AG66" s="623">
        <f>SUMIFS(O:O,I:I,'重功超期+活动'!Q66,B:B,"第4代帝豪")</f>
        <v>0</v>
      </c>
      <c r="AH66" s="623">
        <f>SUMIFS(O:O,I:I,'重功超期+活动'!Q66,B:B,"第5代帝豪")</f>
        <v>0</v>
      </c>
      <c r="AI66" s="624">
        <f t="shared" si="17"/>
        <v>0</v>
      </c>
    </row>
    <row r="67" ht="15.6" customHeight="1" spans="16:35">
      <c r="P67" s="685"/>
      <c r="Q67" s="683"/>
      <c r="R67" s="684"/>
      <c r="S67" s="576"/>
      <c r="T67" s="688"/>
      <c r="U67" s="576"/>
      <c r="V67" s="576"/>
      <c r="W67" s="685">
        <f t="shared" si="14"/>
        <v>0</v>
      </c>
      <c r="X67" s="686">
        <f t="shared" si="15"/>
        <v>0</v>
      </c>
      <c r="Y67" s="616"/>
      <c r="Z67" s="617">
        <f t="shared" si="13"/>
        <v>0</v>
      </c>
      <c r="AA67" s="623"/>
      <c r="AB67" s="623"/>
      <c r="AC67" s="623"/>
      <c r="AD67" s="624">
        <f t="shared" si="16"/>
        <v>0</v>
      </c>
      <c r="AF67" s="623">
        <f>SUMIFS(O:O,I:I,'重功超期+活动'!Q67,B:B,"豪越L")</f>
        <v>0</v>
      </c>
      <c r="AG67" s="623">
        <f>SUMIFS(O:O,I:I,'重功超期+活动'!Q67,B:B,"第4代帝豪")</f>
        <v>0</v>
      </c>
      <c r="AH67" s="623">
        <f>SUMIFS(O:O,I:I,'重功超期+活动'!Q67,B:B,"第5代帝豪")</f>
        <v>0</v>
      </c>
      <c r="AI67" s="624">
        <f t="shared" si="17"/>
        <v>0</v>
      </c>
    </row>
    <row r="68" ht="15.6" customHeight="1" spans="16:35">
      <c r="P68" s="685"/>
      <c r="Q68" s="683"/>
      <c r="R68" s="684"/>
      <c r="S68" s="576"/>
      <c r="T68" s="688"/>
      <c r="U68" s="576"/>
      <c r="V68" s="576"/>
      <c r="W68" s="685">
        <f t="shared" si="14"/>
        <v>0</v>
      </c>
      <c r="X68" s="686">
        <f t="shared" si="15"/>
        <v>0</v>
      </c>
      <c r="Y68" s="616"/>
      <c r="Z68" s="617">
        <f t="shared" si="13"/>
        <v>0</v>
      </c>
      <c r="AA68" s="623"/>
      <c r="AB68" s="623"/>
      <c r="AC68" s="623"/>
      <c r="AD68" s="624">
        <f t="shared" si="16"/>
        <v>0</v>
      </c>
      <c r="AF68" s="623">
        <f>SUMIFS(O:O,I:I,'重功超期+活动'!Q68,B:B,"豪越L")</f>
        <v>0</v>
      </c>
      <c r="AG68" s="623">
        <f>SUMIFS(O:O,I:I,'重功超期+活动'!Q68,B:B,"第4代帝豪")</f>
        <v>0</v>
      </c>
      <c r="AH68" s="623">
        <f>SUMIFS(O:O,I:I,'重功超期+活动'!Q68,B:B,"第5代帝豪")</f>
        <v>0</v>
      </c>
      <c r="AI68" s="624">
        <f t="shared" si="17"/>
        <v>0</v>
      </c>
    </row>
    <row r="69" ht="15.6" customHeight="1" spans="16:35">
      <c r="P69" s="685"/>
      <c r="Q69" s="683"/>
      <c r="R69" s="684"/>
      <c r="S69" s="576"/>
      <c r="T69" s="688"/>
      <c r="U69" s="576"/>
      <c r="V69" s="576"/>
      <c r="W69" s="685">
        <f t="shared" si="14"/>
        <v>0</v>
      </c>
      <c r="X69" s="686">
        <f t="shared" si="15"/>
        <v>0</v>
      </c>
      <c r="Y69" s="616"/>
      <c r="Z69" s="617">
        <f t="shared" si="13"/>
        <v>0</v>
      </c>
      <c r="AA69" s="623"/>
      <c r="AB69" s="623"/>
      <c r="AC69" s="623"/>
      <c r="AD69" s="624">
        <f t="shared" si="16"/>
        <v>0</v>
      </c>
      <c r="AF69" s="623">
        <f>SUMIFS(O:O,I:I,'重功超期+活动'!Q69,B:B,"豪越L")</f>
        <v>0</v>
      </c>
      <c r="AG69" s="623">
        <f>SUMIFS(O:O,I:I,'重功超期+活动'!Q69,B:B,"第4代帝豪")</f>
        <v>0</v>
      </c>
      <c r="AH69" s="623">
        <f>SUMIFS(O:O,I:I,'重功超期+活动'!Q69,B:B,"第5代帝豪")</f>
        <v>0</v>
      </c>
      <c r="AI69" s="624">
        <f t="shared" si="17"/>
        <v>0</v>
      </c>
    </row>
    <row r="70" ht="15.6" customHeight="1" spans="16:35">
      <c r="P70" s="685"/>
      <c r="Q70" s="683"/>
      <c r="R70" s="684"/>
      <c r="S70" s="576"/>
      <c r="T70" s="688"/>
      <c r="U70" s="576"/>
      <c r="V70" s="576"/>
      <c r="W70" s="685">
        <f t="shared" si="14"/>
        <v>0</v>
      </c>
      <c r="X70" s="686">
        <f t="shared" si="15"/>
        <v>0</v>
      </c>
      <c r="Y70" s="616"/>
      <c r="Z70" s="617">
        <f t="shared" si="13"/>
        <v>0</v>
      </c>
      <c r="AA70" s="623"/>
      <c r="AB70" s="623"/>
      <c r="AC70" s="623"/>
      <c r="AD70" s="624">
        <f t="shared" si="16"/>
        <v>0</v>
      </c>
      <c r="AF70" s="623">
        <f>SUMIFS(O:O,I:I,'重功超期+活动'!Q70,B:B,"豪越L")</f>
        <v>0</v>
      </c>
      <c r="AG70" s="623">
        <f>SUMIFS(O:O,I:I,'重功超期+活动'!Q70,B:B,"第4代帝豪")</f>
        <v>0</v>
      </c>
      <c r="AH70" s="623">
        <f>SUMIFS(O:O,I:I,'重功超期+活动'!Q70,B:B,"第5代帝豪")</f>
        <v>0</v>
      </c>
      <c r="AI70" s="624">
        <f t="shared" si="17"/>
        <v>0</v>
      </c>
    </row>
    <row r="71" ht="15.6" customHeight="1" spans="16:35">
      <c r="P71" s="685"/>
      <c r="Q71" s="683"/>
      <c r="R71" s="684"/>
      <c r="S71" s="576"/>
      <c r="T71" s="688"/>
      <c r="U71" s="576"/>
      <c r="V71" s="576"/>
      <c r="W71" s="685">
        <f t="shared" si="14"/>
        <v>0</v>
      </c>
      <c r="X71" s="686">
        <f t="shared" si="15"/>
        <v>0</v>
      </c>
      <c r="Y71" s="616"/>
      <c r="Z71" s="617">
        <f t="shared" si="13"/>
        <v>0</v>
      </c>
      <c r="AA71" s="623"/>
      <c r="AB71" s="623"/>
      <c r="AC71" s="623"/>
      <c r="AD71" s="624">
        <f t="shared" si="16"/>
        <v>0</v>
      </c>
      <c r="AF71" s="623">
        <f>SUMIFS(O:O,I:I,'重功超期+活动'!Q71,B:B,"豪越L")</f>
        <v>0</v>
      </c>
      <c r="AG71" s="623">
        <f>SUMIFS(O:O,I:I,'重功超期+活动'!Q71,B:B,"第4代帝豪")</f>
        <v>0</v>
      </c>
      <c r="AH71" s="623">
        <f>SUMIFS(O:O,I:I,'重功超期+活动'!Q71,B:B,"第5代帝豪")</f>
        <v>0</v>
      </c>
      <c r="AI71" s="624">
        <f t="shared" si="17"/>
        <v>0</v>
      </c>
    </row>
    <row r="72" ht="15.6" customHeight="1" spans="16:35">
      <c r="P72" s="685"/>
      <c r="Q72" s="683"/>
      <c r="R72" s="684"/>
      <c r="S72" s="576"/>
      <c r="T72" s="688"/>
      <c r="U72" s="576"/>
      <c r="V72" s="576"/>
      <c r="W72" s="685">
        <f t="shared" si="14"/>
        <v>0</v>
      </c>
      <c r="X72" s="686">
        <f t="shared" si="15"/>
        <v>0</v>
      </c>
      <c r="Y72" s="616"/>
      <c r="Z72" s="617">
        <f t="shared" si="13"/>
        <v>0</v>
      </c>
      <c r="AA72" s="623"/>
      <c r="AB72" s="623"/>
      <c r="AC72" s="623"/>
      <c r="AD72" s="624">
        <f t="shared" si="16"/>
        <v>0</v>
      </c>
      <c r="AF72" s="623">
        <f>SUMIFS(O:O,I:I,'重功超期+活动'!Q72,B:B,"豪越L")</f>
        <v>0</v>
      </c>
      <c r="AG72" s="623">
        <f>SUMIFS(O:O,I:I,'重功超期+活动'!Q72,B:B,"第4代帝豪")</f>
        <v>0</v>
      </c>
      <c r="AH72" s="623">
        <f>SUMIFS(O:O,I:I,'重功超期+活动'!Q72,B:B,"第5代帝豪")</f>
        <v>0</v>
      </c>
      <c r="AI72" s="624">
        <f t="shared" si="17"/>
        <v>0</v>
      </c>
    </row>
    <row r="73" ht="15.6" customHeight="1" spans="16:35">
      <c r="P73" s="685"/>
      <c r="Q73" s="683"/>
      <c r="R73" s="684"/>
      <c r="S73" s="576"/>
      <c r="T73" s="688"/>
      <c r="U73" s="576"/>
      <c r="V73" s="576"/>
      <c r="W73" s="685">
        <f t="shared" si="14"/>
        <v>0</v>
      </c>
      <c r="X73" s="686">
        <f t="shared" si="15"/>
        <v>0</v>
      </c>
      <c r="Y73" s="616"/>
      <c r="Z73" s="617">
        <f t="shared" si="13"/>
        <v>0</v>
      </c>
      <c r="AA73" s="623"/>
      <c r="AB73" s="623"/>
      <c r="AC73" s="623"/>
      <c r="AD73" s="624">
        <f t="shared" si="16"/>
        <v>0</v>
      </c>
      <c r="AF73" s="623">
        <f>SUMIFS(O:O,I:I,'重功超期+活动'!Q73,B:B,"豪越L")</f>
        <v>0</v>
      </c>
      <c r="AG73" s="623">
        <f>SUMIFS(O:O,I:I,'重功超期+活动'!Q73,B:B,"第4代帝豪")</f>
        <v>0</v>
      </c>
      <c r="AH73" s="623">
        <f>SUMIFS(O:O,I:I,'重功超期+活动'!Q73,B:B,"第5代帝豪")</f>
        <v>0</v>
      </c>
      <c r="AI73" s="624">
        <f t="shared" si="17"/>
        <v>0</v>
      </c>
    </row>
    <row r="74" ht="15.6" customHeight="1" spans="16:35">
      <c r="P74" s="685"/>
      <c r="Q74" s="683"/>
      <c r="R74" s="684"/>
      <c r="S74" s="576"/>
      <c r="T74" s="688"/>
      <c r="U74" s="576"/>
      <c r="V74" s="576"/>
      <c r="W74" s="685">
        <f t="shared" si="14"/>
        <v>0</v>
      </c>
      <c r="X74" s="686">
        <f t="shared" si="15"/>
        <v>0</v>
      </c>
      <c r="Y74" s="616"/>
      <c r="Z74" s="617">
        <f t="shared" si="13"/>
        <v>0</v>
      </c>
      <c r="AA74" s="623"/>
      <c r="AB74" s="623"/>
      <c r="AC74" s="623"/>
      <c r="AD74" s="624">
        <f t="shared" si="16"/>
        <v>0</v>
      </c>
      <c r="AF74" s="623">
        <f>SUMIFS(O:O,I:I,'重功超期+活动'!Q74,B:B,"豪越L")</f>
        <v>0</v>
      </c>
      <c r="AG74" s="623">
        <f>SUMIFS(O:O,I:I,'重功超期+活动'!Q74,B:B,"第4代帝豪")</f>
        <v>0</v>
      </c>
      <c r="AH74" s="623">
        <f>SUMIFS(O:O,I:I,'重功超期+活动'!Q74,B:B,"第5代帝豪")</f>
        <v>0</v>
      </c>
      <c r="AI74" s="624">
        <f t="shared" si="17"/>
        <v>0</v>
      </c>
    </row>
    <row r="75" ht="15.6" customHeight="1" spans="16:35">
      <c r="P75" s="685"/>
      <c r="Q75" s="683"/>
      <c r="R75" s="684"/>
      <c r="S75" s="576"/>
      <c r="T75" s="688"/>
      <c r="U75" s="576"/>
      <c r="V75" s="576"/>
      <c r="W75" s="685">
        <f t="shared" si="14"/>
        <v>0</v>
      </c>
      <c r="X75" s="686">
        <f t="shared" si="15"/>
        <v>0</v>
      </c>
      <c r="Y75" s="616"/>
      <c r="Z75" s="617">
        <f t="shared" si="13"/>
        <v>0</v>
      </c>
      <c r="AA75" s="623"/>
      <c r="AB75" s="623"/>
      <c r="AC75" s="623"/>
      <c r="AD75" s="624">
        <f t="shared" si="16"/>
        <v>0</v>
      </c>
      <c r="AF75" s="623">
        <f>SUMIFS(O:O,I:I,'重功超期+活动'!Q75,B:B,"豪越L")</f>
        <v>0</v>
      </c>
      <c r="AG75" s="623">
        <f>SUMIFS(O:O,I:I,'重功超期+活动'!Q75,B:B,"第4代帝豪")</f>
        <v>0</v>
      </c>
      <c r="AH75" s="623">
        <f>SUMIFS(O:O,I:I,'重功超期+活动'!Q75,B:B,"第5代帝豪")</f>
        <v>0</v>
      </c>
      <c r="AI75" s="624">
        <f t="shared" si="17"/>
        <v>0</v>
      </c>
    </row>
    <row r="76" ht="15.6" customHeight="1" spans="16:35">
      <c r="P76" s="685"/>
      <c r="Q76" s="683"/>
      <c r="R76" s="684"/>
      <c r="S76" s="576"/>
      <c r="T76" s="688"/>
      <c r="U76" s="576"/>
      <c r="V76" s="576"/>
      <c r="W76" s="685">
        <f t="shared" si="14"/>
        <v>0</v>
      </c>
      <c r="X76" s="686">
        <f t="shared" si="15"/>
        <v>0</v>
      </c>
      <c r="Y76" s="616"/>
      <c r="Z76" s="617">
        <f t="shared" si="13"/>
        <v>0</v>
      </c>
      <c r="AA76" s="623"/>
      <c r="AB76" s="623"/>
      <c r="AC76" s="623"/>
      <c r="AD76" s="624">
        <f t="shared" si="16"/>
        <v>0</v>
      </c>
      <c r="AF76" s="623">
        <f>SUMIFS(O:O,I:I,'重功超期+活动'!Q76,B:B,"豪越L")</f>
        <v>0</v>
      </c>
      <c r="AG76" s="623">
        <f>SUMIFS(O:O,I:I,'重功超期+活动'!Q76,B:B,"第4代帝豪")</f>
        <v>0</v>
      </c>
      <c r="AH76" s="623">
        <f>SUMIFS(O:O,I:I,'重功超期+活动'!Q76,B:B,"第5代帝豪")</f>
        <v>0</v>
      </c>
      <c r="AI76" s="624">
        <f t="shared" si="17"/>
        <v>0</v>
      </c>
    </row>
    <row r="77" ht="14.4" customHeight="1" spans="16:35">
      <c r="P77" s="685"/>
      <c r="Q77" s="689"/>
      <c r="R77" s="689"/>
      <c r="S77" s="689"/>
      <c r="T77" s="688"/>
      <c r="U77" s="689"/>
      <c r="V77" s="689"/>
      <c r="W77" s="685">
        <f t="shared" si="14"/>
        <v>0</v>
      </c>
      <c r="X77" s="686">
        <f t="shared" si="15"/>
        <v>0</v>
      </c>
      <c r="Y77" s="616"/>
      <c r="Z77" s="617">
        <f t="shared" si="13"/>
        <v>0</v>
      </c>
      <c r="AA77" s="623"/>
      <c r="AB77" s="623"/>
      <c r="AC77" s="623"/>
      <c r="AD77" s="624">
        <f t="shared" si="16"/>
        <v>0</v>
      </c>
      <c r="AF77" s="623">
        <f>SUMIFS(O:O,I:I,'重功超期+活动'!Q77,B:B,"豪越L")</f>
        <v>0</v>
      </c>
      <c r="AG77" s="623">
        <f>SUMIFS(O:O,I:I,'重功超期+活动'!Q77,B:B,"第4代帝豪")</f>
        <v>0</v>
      </c>
      <c r="AH77" s="623">
        <f>SUMIFS(O:O,I:I,'重功超期+活动'!Q77,B:B,"第5代帝豪")</f>
        <v>0</v>
      </c>
      <c r="AI77" s="624">
        <f t="shared" si="17"/>
        <v>0</v>
      </c>
    </row>
    <row r="78" ht="15.6" customHeight="1" spans="16:35">
      <c r="P78" s="685"/>
      <c r="Q78" s="683"/>
      <c r="R78" s="684"/>
      <c r="S78" s="576"/>
      <c r="T78" s="688"/>
      <c r="U78" s="576"/>
      <c r="V78" s="576"/>
      <c r="W78" s="685">
        <f t="shared" si="14"/>
        <v>0</v>
      </c>
      <c r="X78" s="686">
        <f t="shared" si="15"/>
        <v>0</v>
      </c>
      <c r="Y78" s="616"/>
      <c r="Z78" s="617">
        <f t="shared" si="13"/>
        <v>0</v>
      </c>
      <c r="AA78" s="623"/>
      <c r="AB78" s="623"/>
      <c r="AC78" s="623"/>
      <c r="AD78" s="624">
        <f t="shared" si="16"/>
        <v>0</v>
      </c>
      <c r="AF78" s="623">
        <f>SUMIFS(O:O,I:I,'重功超期+活动'!Q78,B:B,"豪越L")</f>
        <v>0</v>
      </c>
      <c r="AG78" s="623">
        <f>SUMIFS(O:O,I:I,'重功超期+活动'!Q78,B:B,"第4代帝豪")</f>
        <v>0</v>
      </c>
      <c r="AH78" s="623">
        <f>SUMIFS(O:O,I:I,'重功超期+活动'!Q78,B:B,"第5代帝豪")</f>
        <v>0</v>
      </c>
      <c r="AI78" s="624">
        <f t="shared" si="17"/>
        <v>0</v>
      </c>
    </row>
    <row r="79" ht="15.6" customHeight="1" spans="16:35">
      <c r="P79" s="685"/>
      <c r="Q79" s="683"/>
      <c r="R79" s="684"/>
      <c r="S79" s="576"/>
      <c r="T79" s="688"/>
      <c r="U79" s="576"/>
      <c r="V79" s="576"/>
      <c r="W79" s="685">
        <f t="shared" si="14"/>
        <v>0</v>
      </c>
      <c r="X79" s="686">
        <f t="shared" si="15"/>
        <v>0</v>
      </c>
      <c r="Y79" s="616"/>
      <c r="Z79" s="617">
        <f t="shared" si="13"/>
        <v>0</v>
      </c>
      <c r="AA79" s="623"/>
      <c r="AB79" s="623"/>
      <c r="AC79" s="623"/>
      <c r="AD79" s="624">
        <f t="shared" si="16"/>
        <v>0</v>
      </c>
      <c r="AF79" s="623">
        <f>SUMIFS(O:O,I:I,'重功超期+活动'!Q79,B:B,"豪越L")</f>
        <v>0</v>
      </c>
      <c r="AG79" s="623">
        <f>SUMIFS(O:O,I:I,'重功超期+活动'!Q79,B:B,"第4代帝豪")</f>
        <v>0</v>
      </c>
      <c r="AH79" s="623">
        <f>SUMIFS(O:O,I:I,'重功超期+活动'!Q79,B:B,"第5代帝豪")</f>
        <v>0</v>
      </c>
      <c r="AI79" s="624">
        <f t="shared" si="17"/>
        <v>0</v>
      </c>
    </row>
    <row r="80" ht="25.5" customHeight="1" spans="16:35">
      <c r="P80" s="685"/>
      <c r="Q80" s="683"/>
      <c r="R80" s="684"/>
      <c r="S80" s="576"/>
      <c r="T80" s="688"/>
      <c r="U80" s="576"/>
      <c r="V80" s="576"/>
      <c r="W80" s="685"/>
      <c r="X80" s="686">
        <f t="shared" si="15"/>
        <v>0</v>
      </c>
      <c r="Y80" s="616"/>
      <c r="Z80" s="617">
        <f t="shared" si="13"/>
        <v>0</v>
      </c>
      <c r="AA80" s="623"/>
      <c r="AB80" s="623"/>
      <c r="AC80" s="623"/>
      <c r="AD80" s="624">
        <f t="shared" si="16"/>
        <v>0</v>
      </c>
      <c r="AF80" s="623">
        <f>SUMIFS(O:O,I:I,'重功超期+活动'!Q80,B:B,"豪越L")</f>
        <v>0</v>
      </c>
      <c r="AG80" s="623">
        <f>SUMIFS(O:O,I:I,'重功超期+活动'!Q80,B:B,"第4代帝豪")</f>
        <v>0</v>
      </c>
      <c r="AH80" s="623">
        <f>SUMIFS(O:O,I:I,'重功超期+活动'!Q80,B:B,"第5代帝豪")</f>
        <v>0</v>
      </c>
      <c r="AI80" s="624">
        <f t="shared" si="17"/>
        <v>0</v>
      </c>
    </row>
    <row r="81" ht="14.4" customHeight="1" spans="15:35">
      <c r="P81" s="690" t="s">
        <v>162</v>
      </c>
      <c r="Q81" s="648"/>
      <c r="R81" s="648"/>
      <c r="S81" s="648"/>
      <c r="T81" s="648"/>
      <c r="U81" s="648"/>
      <c r="V81" s="648">
        <f>SUM(V55:V80)</f>
        <v>0</v>
      </c>
      <c r="W81" s="649"/>
      <c r="X81" s="631">
        <f>SUM(X55:X80)</f>
        <v>0</v>
      </c>
      <c r="Y81" s="616"/>
      <c r="Z81" s="617">
        <f t="shared" si="13"/>
        <v>0</v>
      </c>
      <c r="AA81" s="617"/>
      <c r="AB81" s="617"/>
      <c r="AC81" s="617"/>
      <c r="AD81" s="631">
        <f>SUM(AD55:AD80)</f>
        <v>0</v>
      </c>
      <c r="AF81" s="617"/>
      <c r="AG81" s="617"/>
      <c r="AH81" s="617"/>
      <c r="AI81" s="631">
        <f>SUM(AI55:AI80)</f>
        <v>0</v>
      </c>
    </row>
    <row r="86" spans="15:35">
      <c r="O86" s="620"/>
    </row>
    <row r="87" spans="15:35">
      <c r="O87" s="620"/>
    </row>
  </sheetData>
  <mergeCells count="5">
    <mergeCell ref="P1:X1"/>
    <mergeCell ref="AA1:AI1"/>
    <mergeCell ref="P51:W51"/>
    <mergeCell ref="P52:X52"/>
    <mergeCell ref="P40:P5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6"/>
  <sheetViews>
    <sheetView workbookViewId="0">
      <selection activeCell="A1" sqref="A1"/>
    </sheetView>
  </sheetViews>
  <sheetFormatPr defaultColWidth="9" defaultRowHeight="16.8"/>
  <cols>
    <col min="1" max="1" width="17.4423076923077" customWidth="1"/>
    <col min="2" max="2" width="12.4423076923077" customWidth="1"/>
    <col min="3" max="3" width="22.4423076923077" customWidth="1"/>
    <col min="4" max="4" width="10.4423076923077" customWidth="1"/>
    <col min="6" max="6" width="19.4423076923077" customWidth="1"/>
    <col min="7" max="7" width="14" customWidth="1"/>
    <col min="8" max="8" width="16.8846153846154" customWidth="1"/>
    <col min="9" max="9" width="15.4423076923077" customWidth="1"/>
    <col min="10" max="10" width="10.4423076923077" customWidth="1"/>
  </cols>
  <sheetData>
    <row r="1" ht="17.6" spans="1:10">
      <c r="A1" s="582" t="s">
        <v>718</v>
      </c>
      <c r="B1" s="583" t="s">
        <v>1048</v>
      </c>
      <c r="C1" s="584" t="s">
        <v>1049</v>
      </c>
      <c r="D1" s="584" t="s">
        <v>621</v>
      </c>
      <c r="E1" s="584" t="s">
        <v>143</v>
      </c>
      <c r="F1" s="584" t="s">
        <v>221</v>
      </c>
      <c r="G1" s="583" t="s">
        <v>1050</v>
      </c>
      <c r="H1" s="584" t="s">
        <v>1051</v>
      </c>
      <c r="I1" s="584" t="s">
        <v>1052</v>
      </c>
      <c r="J1" s="585" t="s">
        <v>155</v>
      </c>
    </row>
    <row r="2" ht="17.6" spans="1:10">
      <c r="A2" s="586" t="s">
        <v>778</v>
      </c>
      <c r="B2" s="587" t="s">
        <v>1053</v>
      </c>
      <c r="C2" s="584" t="s">
        <v>1054</v>
      </c>
      <c r="D2" s="584" t="s">
        <v>161</v>
      </c>
      <c r="E2" s="584" t="s">
        <v>1055</v>
      </c>
      <c r="F2" s="584" t="s">
        <v>1056</v>
      </c>
      <c r="G2" s="588"/>
      <c r="H2" s="584"/>
      <c r="I2" s="584"/>
      <c r="J2" s="585"/>
    </row>
    <row r="3" ht="17.6" spans="1:10">
      <c r="A3" s="586" t="s">
        <v>778</v>
      </c>
      <c r="B3" s="589" t="s">
        <v>1053</v>
      </c>
      <c r="C3" s="584" t="s">
        <v>1057</v>
      </c>
      <c r="D3" s="584" t="s">
        <v>161</v>
      </c>
      <c r="E3" s="584" t="s">
        <v>1058</v>
      </c>
      <c r="F3" s="584" t="s">
        <v>1059</v>
      </c>
      <c r="G3" s="590"/>
      <c r="H3" s="584"/>
      <c r="I3" s="584"/>
      <c r="J3" s="585"/>
    </row>
    <row r="4" ht="17.6" spans="1:10">
      <c r="A4" s="586" t="s">
        <v>778</v>
      </c>
      <c r="B4" s="589" t="s">
        <v>1060</v>
      </c>
      <c r="C4" s="584" t="s">
        <v>1057</v>
      </c>
      <c r="D4" s="584" t="s">
        <v>161</v>
      </c>
      <c r="E4" s="584" t="s">
        <v>1061</v>
      </c>
      <c r="F4" s="584" t="s">
        <v>1062</v>
      </c>
      <c r="G4" s="590"/>
      <c r="H4" s="584"/>
      <c r="I4" s="584"/>
      <c r="J4" s="585"/>
    </row>
    <row r="5" ht="17.6" spans="1:10">
      <c r="A5" s="586" t="s">
        <v>733</v>
      </c>
      <c r="B5" s="589" t="s">
        <v>1060</v>
      </c>
      <c r="C5" s="584" t="s">
        <v>1057</v>
      </c>
      <c r="D5" s="584" t="s">
        <v>161</v>
      </c>
      <c r="E5" s="584" t="s">
        <v>906</v>
      </c>
      <c r="F5" s="584" t="s">
        <v>1063</v>
      </c>
      <c r="G5" s="590"/>
      <c r="H5" s="584"/>
      <c r="I5" s="584"/>
      <c r="J5" s="585"/>
    </row>
    <row r="6" ht="17.6" spans="1:10">
      <c r="A6" s="586" t="s">
        <v>733</v>
      </c>
      <c r="B6" s="589" t="s">
        <v>1060</v>
      </c>
      <c r="C6" s="584" t="s">
        <v>1057</v>
      </c>
      <c r="D6" s="584" t="s">
        <v>185</v>
      </c>
      <c r="E6" s="584" t="s">
        <v>1064</v>
      </c>
      <c r="F6" s="584" t="s">
        <v>1063</v>
      </c>
      <c r="G6" s="590"/>
      <c r="H6" s="584"/>
      <c r="I6" s="584"/>
      <c r="J6" s="585"/>
    </row>
    <row r="7" ht="17.6" spans="1:10">
      <c r="A7" s="586" t="s">
        <v>778</v>
      </c>
      <c r="B7" s="591" t="s">
        <v>1060</v>
      </c>
      <c r="C7" s="584" t="s">
        <v>1057</v>
      </c>
      <c r="D7" s="584" t="s">
        <v>161</v>
      </c>
      <c r="E7" s="584" t="s">
        <v>1065</v>
      </c>
      <c r="F7" s="584" t="s">
        <v>1066</v>
      </c>
      <c r="G7" s="592"/>
      <c r="H7" s="584"/>
      <c r="I7" s="584"/>
      <c r="J7" s="585"/>
    </row>
    <row r="8" ht="17.6" spans="1:10">
      <c r="A8" s="586" t="s">
        <v>733</v>
      </c>
      <c r="B8" s="591" t="s">
        <v>1060</v>
      </c>
      <c r="C8" s="584" t="s">
        <v>1057</v>
      </c>
      <c r="D8" s="584" t="s">
        <v>161</v>
      </c>
      <c r="E8" s="584" t="s">
        <v>1067</v>
      </c>
      <c r="F8" s="584" t="s">
        <v>1063</v>
      </c>
      <c r="G8" s="593"/>
      <c r="H8" s="584"/>
      <c r="I8" s="584"/>
      <c r="J8" s="585"/>
    </row>
    <row r="9" ht="17.6" spans="1:10">
      <c r="A9" s="586" t="s">
        <v>733</v>
      </c>
      <c r="B9" s="589" t="s">
        <v>1060</v>
      </c>
      <c r="C9" s="584" t="s">
        <v>1057</v>
      </c>
      <c r="D9" s="584" t="s">
        <v>161</v>
      </c>
      <c r="E9" s="584" t="s">
        <v>1068</v>
      </c>
      <c r="F9" s="584" t="s">
        <v>1069</v>
      </c>
      <c r="G9" s="590"/>
      <c r="H9" s="584"/>
      <c r="I9" s="584"/>
      <c r="J9" s="585"/>
    </row>
    <row r="10" ht="17.6" spans="1:10">
      <c r="A10" s="586" t="s">
        <v>778</v>
      </c>
      <c r="B10" s="589" t="s">
        <v>1060</v>
      </c>
      <c r="C10" s="584" t="s">
        <v>1057</v>
      </c>
      <c r="D10" s="584" t="s">
        <v>161</v>
      </c>
      <c r="E10" s="584" t="s">
        <v>1070</v>
      </c>
      <c r="F10" s="584" t="s">
        <v>1071</v>
      </c>
      <c r="G10" s="594"/>
      <c r="H10" s="584"/>
      <c r="I10" s="584"/>
      <c r="J10" s="585"/>
    </row>
    <row r="11" ht="17.6" spans="1:10">
      <c r="A11" s="586" t="s">
        <v>778</v>
      </c>
      <c r="B11" s="589" t="s">
        <v>1060</v>
      </c>
      <c r="C11" s="584" t="s">
        <v>1057</v>
      </c>
      <c r="D11" s="584" t="s">
        <v>161</v>
      </c>
      <c r="E11" s="584" t="s">
        <v>1072</v>
      </c>
      <c r="F11" s="584" t="s">
        <v>1071</v>
      </c>
      <c r="G11" s="594"/>
      <c r="H11" s="584"/>
      <c r="I11" s="584"/>
      <c r="J11" s="585"/>
    </row>
    <row r="12" ht="17.6" spans="1:10">
      <c r="A12" s="586" t="s">
        <v>778</v>
      </c>
      <c r="B12" s="589" t="s">
        <v>1053</v>
      </c>
      <c r="C12" s="584" t="s">
        <v>1073</v>
      </c>
      <c r="D12" s="584" t="s">
        <v>161</v>
      </c>
      <c r="E12" s="584" t="s">
        <v>1074</v>
      </c>
      <c r="F12" s="584" t="s">
        <v>1075</v>
      </c>
      <c r="G12" s="593"/>
      <c r="H12" s="584"/>
      <c r="I12" s="584"/>
      <c r="J12" s="585"/>
    </row>
    <row r="13" ht="17.6" spans="1:10">
      <c r="A13" s="586" t="s">
        <v>778</v>
      </c>
      <c r="B13" s="589" t="s">
        <v>1060</v>
      </c>
      <c r="C13" s="584" t="s">
        <v>1073</v>
      </c>
      <c r="D13" s="584" t="s">
        <v>161</v>
      </c>
      <c r="E13" s="584" t="s">
        <v>738</v>
      </c>
      <c r="F13" s="584" t="s">
        <v>1076</v>
      </c>
      <c r="G13" s="590"/>
      <c r="H13" s="584"/>
      <c r="I13" s="584"/>
      <c r="J13" s="585"/>
    </row>
    <row r="14" ht="17.6" spans="1:10">
      <c r="A14" s="586" t="s">
        <v>733</v>
      </c>
      <c r="B14" s="589" t="s">
        <v>1060</v>
      </c>
      <c r="C14" s="584" t="s">
        <v>1073</v>
      </c>
      <c r="D14" s="584" t="s">
        <v>185</v>
      </c>
      <c r="E14" s="584" t="s">
        <v>752</v>
      </c>
      <c r="F14" s="584" t="s">
        <v>1077</v>
      </c>
      <c r="G14" s="590"/>
      <c r="H14" s="584"/>
      <c r="I14" s="584"/>
      <c r="J14" s="585"/>
    </row>
    <row r="15" ht="17.6" spans="1:10">
      <c r="A15" s="586" t="s">
        <v>778</v>
      </c>
      <c r="B15" s="589" t="s">
        <v>1060</v>
      </c>
      <c r="C15" s="584" t="s">
        <v>1073</v>
      </c>
      <c r="D15" s="584" t="s">
        <v>161</v>
      </c>
      <c r="E15" s="584" t="s">
        <v>740</v>
      </c>
      <c r="F15" s="584" t="s">
        <v>1077</v>
      </c>
      <c r="G15" s="590"/>
      <c r="H15" s="584"/>
      <c r="I15" s="584"/>
      <c r="J15" s="585"/>
    </row>
    <row r="16" ht="17.6" spans="1:10">
      <c r="A16" s="586" t="s">
        <v>733</v>
      </c>
      <c r="B16" s="589" t="s">
        <v>1060</v>
      </c>
      <c r="C16" s="584" t="s">
        <v>1078</v>
      </c>
      <c r="D16" s="584" t="s">
        <v>161</v>
      </c>
      <c r="E16" s="584" t="s">
        <v>1079</v>
      </c>
      <c r="F16" s="584" t="s">
        <v>1080</v>
      </c>
      <c r="G16" s="590"/>
      <c r="H16" s="584"/>
      <c r="I16" s="584"/>
      <c r="J16" s="585"/>
    </row>
    <row r="17" ht="17.6" spans="1:10">
      <c r="A17" s="586" t="s">
        <v>778</v>
      </c>
      <c r="B17" s="589" t="s">
        <v>1060</v>
      </c>
      <c r="C17" s="584" t="s">
        <v>1081</v>
      </c>
      <c r="D17" s="584" t="s">
        <v>161</v>
      </c>
      <c r="E17" s="584" t="s">
        <v>847</v>
      </c>
      <c r="F17" s="584" t="s">
        <v>1082</v>
      </c>
      <c r="G17" s="590"/>
      <c r="H17" s="584"/>
      <c r="I17" s="584"/>
      <c r="J17" s="585"/>
    </row>
    <row r="18" ht="17.6" spans="1:10">
      <c r="A18" s="586" t="s">
        <v>733</v>
      </c>
      <c r="B18" s="589" t="s">
        <v>1060</v>
      </c>
      <c r="C18" s="584" t="s">
        <v>1081</v>
      </c>
      <c r="D18" s="584" t="s">
        <v>185</v>
      </c>
      <c r="E18" s="584" t="s">
        <v>1083</v>
      </c>
      <c r="F18" s="584" t="s">
        <v>1082</v>
      </c>
      <c r="G18" s="590"/>
      <c r="H18" s="584"/>
      <c r="I18" s="584"/>
      <c r="J18" s="585"/>
    </row>
    <row r="19" ht="17.6" spans="1:10">
      <c r="A19" s="586" t="s">
        <v>778</v>
      </c>
      <c r="B19" s="589" t="s">
        <v>1053</v>
      </c>
      <c r="C19" s="584" t="s">
        <v>1084</v>
      </c>
      <c r="D19" s="584" t="s">
        <v>161</v>
      </c>
      <c r="E19" s="584" t="s">
        <v>839</v>
      </c>
      <c r="F19" s="584" t="s">
        <v>1085</v>
      </c>
      <c r="G19" s="590"/>
      <c r="H19" s="584"/>
      <c r="I19" s="584"/>
      <c r="J19" s="585"/>
    </row>
    <row r="20" ht="17.6" spans="1:10">
      <c r="A20" s="586" t="s">
        <v>733</v>
      </c>
      <c r="B20" s="589" t="s">
        <v>1060</v>
      </c>
      <c r="C20" s="584" t="s">
        <v>1084</v>
      </c>
      <c r="D20" s="584" t="s">
        <v>185</v>
      </c>
      <c r="E20" s="584" t="s">
        <v>1086</v>
      </c>
      <c r="F20" s="584" t="s">
        <v>1087</v>
      </c>
      <c r="G20" s="594"/>
      <c r="H20" s="584"/>
      <c r="I20" s="584"/>
      <c r="J20" s="585"/>
    </row>
    <row r="21" ht="17.6" spans="1:10">
      <c r="A21" s="586" t="s">
        <v>733</v>
      </c>
      <c r="B21" s="589" t="s">
        <v>1060</v>
      </c>
      <c r="C21" s="584" t="s">
        <v>1084</v>
      </c>
      <c r="D21" s="584" t="s">
        <v>185</v>
      </c>
      <c r="E21" s="584" t="s">
        <v>1088</v>
      </c>
      <c r="F21" s="584" t="s">
        <v>1089</v>
      </c>
      <c r="G21" s="593"/>
      <c r="H21" s="584"/>
      <c r="I21" s="584"/>
      <c r="J21" s="585"/>
    </row>
    <row r="22" ht="17.6" spans="1:10">
      <c r="A22" s="586" t="s">
        <v>778</v>
      </c>
      <c r="B22" s="589" t="s">
        <v>1060</v>
      </c>
      <c r="C22" s="584" t="s">
        <v>1084</v>
      </c>
      <c r="D22" s="584" t="s">
        <v>161</v>
      </c>
      <c r="E22" s="584" t="s">
        <v>1090</v>
      </c>
      <c r="F22" s="584" t="s">
        <v>1089</v>
      </c>
      <c r="G22" s="590"/>
      <c r="H22" s="584"/>
      <c r="I22" s="584"/>
      <c r="J22" s="585"/>
    </row>
    <row r="23" ht="17.6" spans="1:10">
      <c r="A23" s="586" t="s">
        <v>778</v>
      </c>
      <c r="B23" s="589" t="s">
        <v>1060</v>
      </c>
      <c r="C23" s="584" t="s">
        <v>1084</v>
      </c>
      <c r="D23" s="584" t="s">
        <v>161</v>
      </c>
      <c r="E23" s="584" t="s">
        <v>1091</v>
      </c>
      <c r="F23" s="584" t="s">
        <v>1087</v>
      </c>
      <c r="G23" s="592"/>
      <c r="H23" s="584"/>
      <c r="I23" s="584"/>
      <c r="J23" s="585"/>
    </row>
    <row r="24" ht="17.6" spans="1:10">
      <c r="A24" s="586" t="s">
        <v>778</v>
      </c>
      <c r="B24" s="589" t="s">
        <v>1060</v>
      </c>
      <c r="C24" s="584" t="s">
        <v>1092</v>
      </c>
      <c r="D24" s="584" t="s">
        <v>161</v>
      </c>
      <c r="E24" s="584" t="s">
        <v>318</v>
      </c>
      <c r="F24" s="584" t="s">
        <v>1093</v>
      </c>
      <c r="G24" s="590"/>
      <c r="H24" s="584"/>
      <c r="I24" s="584"/>
      <c r="J24" s="585"/>
    </row>
    <row r="25" ht="17.6" spans="1:10">
      <c r="A25" s="586" t="s">
        <v>778</v>
      </c>
      <c r="B25" s="589" t="s">
        <v>1060</v>
      </c>
      <c r="C25" s="584" t="s">
        <v>1094</v>
      </c>
      <c r="D25" s="584" t="s">
        <v>161</v>
      </c>
      <c r="E25" s="584" t="s">
        <v>1095</v>
      </c>
      <c r="F25" s="584" t="s">
        <v>1096</v>
      </c>
      <c r="G25" s="590"/>
      <c r="H25" s="584"/>
      <c r="I25" s="584"/>
      <c r="J25" s="585"/>
    </row>
    <row r="26" ht="17.6" spans="1:10">
      <c r="A26" s="586" t="s">
        <v>733</v>
      </c>
      <c r="B26" s="589" t="s">
        <v>1060</v>
      </c>
      <c r="C26" s="584" t="s">
        <v>1094</v>
      </c>
      <c r="D26" s="584" t="s">
        <v>185</v>
      </c>
      <c r="E26" s="584" t="s">
        <v>1097</v>
      </c>
      <c r="F26" s="584" t="s">
        <v>1098</v>
      </c>
      <c r="G26" s="590"/>
      <c r="H26" s="584"/>
      <c r="I26" s="584"/>
      <c r="J26" s="585"/>
    </row>
    <row r="27" ht="17.6" spans="1:10">
      <c r="A27" s="586" t="s">
        <v>733</v>
      </c>
      <c r="B27" s="589" t="s">
        <v>1060</v>
      </c>
      <c r="C27" s="584" t="s">
        <v>1094</v>
      </c>
      <c r="D27" s="584" t="s">
        <v>161</v>
      </c>
      <c r="E27" s="584" t="s">
        <v>1099</v>
      </c>
      <c r="F27" s="584" t="s">
        <v>1100</v>
      </c>
      <c r="G27" s="590"/>
      <c r="H27" s="584"/>
      <c r="I27" s="584"/>
      <c r="J27" s="585"/>
    </row>
    <row r="28" ht="17.6" spans="1:10">
      <c r="A28" s="586" t="s">
        <v>778</v>
      </c>
      <c r="B28" s="589" t="s">
        <v>1060</v>
      </c>
      <c r="C28" s="584" t="s">
        <v>1094</v>
      </c>
      <c r="D28" s="584" t="s">
        <v>161</v>
      </c>
      <c r="E28" s="584" t="s">
        <v>1101</v>
      </c>
      <c r="F28" s="584" t="s">
        <v>1100</v>
      </c>
      <c r="G28" s="590"/>
      <c r="H28" s="584"/>
      <c r="I28" s="584"/>
      <c r="J28" s="585"/>
    </row>
    <row r="29" ht="17.6" spans="1:10">
      <c r="A29" s="586" t="s">
        <v>778</v>
      </c>
      <c r="B29" s="589" t="s">
        <v>1060</v>
      </c>
      <c r="C29" s="584" t="s">
        <v>1102</v>
      </c>
      <c r="D29" s="584" t="s">
        <v>161</v>
      </c>
      <c r="E29" s="584" t="s">
        <v>1103</v>
      </c>
      <c r="F29" s="584" t="s">
        <v>1104</v>
      </c>
      <c r="G29" s="590"/>
      <c r="H29" s="584"/>
      <c r="I29" s="584"/>
      <c r="J29" s="585"/>
    </row>
    <row r="30" ht="17.6" spans="1:10">
      <c r="A30" s="586" t="s">
        <v>778</v>
      </c>
      <c r="B30" s="589" t="s">
        <v>1053</v>
      </c>
      <c r="C30" s="584" t="s">
        <v>1094</v>
      </c>
      <c r="D30" s="584" t="s">
        <v>161</v>
      </c>
      <c r="E30" s="584" t="s">
        <v>1105</v>
      </c>
      <c r="F30" s="584" t="s">
        <v>1106</v>
      </c>
      <c r="G30" s="593"/>
      <c r="H30" s="584"/>
      <c r="I30" s="584"/>
      <c r="J30" s="585"/>
    </row>
    <row r="31" ht="17.6" spans="1:10">
      <c r="A31" s="586" t="s">
        <v>733</v>
      </c>
      <c r="B31" s="589" t="s">
        <v>1060</v>
      </c>
      <c r="C31" s="584" t="s">
        <v>1102</v>
      </c>
      <c r="D31" s="584" t="s">
        <v>185</v>
      </c>
      <c r="E31" s="584" t="s">
        <v>1107</v>
      </c>
      <c r="F31" s="584" t="s">
        <v>1108</v>
      </c>
      <c r="G31" s="590"/>
      <c r="H31" s="584"/>
      <c r="I31" s="584"/>
      <c r="J31" s="585"/>
    </row>
    <row r="32" ht="17.6" spans="1:10">
      <c r="A32" s="586" t="s">
        <v>778</v>
      </c>
      <c r="B32" s="589" t="s">
        <v>1060</v>
      </c>
      <c r="C32" s="584" t="s">
        <v>1094</v>
      </c>
      <c r="D32" s="584" t="s">
        <v>161</v>
      </c>
      <c r="E32" s="584" t="s">
        <v>1109</v>
      </c>
      <c r="F32" s="584" t="s">
        <v>1098</v>
      </c>
      <c r="G32" s="590"/>
      <c r="H32" s="584"/>
      <c r="I32" s="584"/>
      <c r="J32" s="585"/>
    </row>
    <row r="33" ht="17.6" spans="1:10">
      <c r="A33" s="586" t="s">
        <v>778</v>
      </c>
      <c r="B33" s="589" t="s">
        <v>1060</v>
      </c>
      <c r="C33" s="584" t="s">
        <v>1102</v>
      </c>
      <c r="D33" s="584" t="s">
        <v>161</v>
      </c>
      <c r="E33" s="584" t="s">
        <v>1110</v>
      </c>
      <c r="F33" s="584" t="s">
        <v>1108</v>
      </c>
      <c r="G33" s="590"/>
      <c r="H33" s="584"/>
      <c r="I33" s="584"/>
      <c r="J33" s="585"/>
    </row>
    <row r="34" ht="17.6" spans="1:10">
      <c r="A34" s="586" t="s">
        <v>733</v>
      </c>
      <c r="B34" s="589" t="s">
        <v>1060</v>
      </c>
      <c r="C34" s="584" t="s">
        <v>1102</v>
      </c>
      <c r="D34" s="584" t="s">
        <v>161</v>
      </c>
      <c r="E34" s="584" t="s">
        <v>1111</v>
      </c>
      <c r="F34" s="584" t="s">
        <v>1108</v>
      </c>
      <c r="G34" s="590"/>
      <c r="H34" s="584"/>
      <c r="I34" s="584"/>
      <c r="J34" s="585"/>
    </row>
    <row r="35" ht="17.6" spans="1:10">
      <c r="A35" s="586" t="s">
        <v>778</v>
      </c>
      <c r="B35" s="589" t="s">
        <v>1060</v>
      </c>
      <c r="C35" s="584" t="s">
        <v>1102</v>
      </c>
      <c r="D35" s="584" t="s">
        <v>161</v>
      </c>
      <c r="E35" s="584" t="s">
        <v>1112</v>
      </c>
      <c r="F35" s="584" t="s">
        <v>1113</v>
      </c>
      <c r="G35" s="590"/>
      <c r="H35" s="584"/>
      <c r="I35" s="584"/>
      <c r="J35" s="585"/>
    </row>
    <row r="36" ht="17.6" spans="1:10">
      <c r="A36" s="586" t="s">
        <v>778</v>
      </c>
      <c r="B36" s="589" t="s">
        <v>1060</v>
      </c>
      <c r="C36" s="584" t="s">
        <v>1114</v>
      </c>
      <c r="D36" s="584" t="s">
        <v>161</v>
      </c>
      <c r="E36" s="584" t="s">
        <v>468</v>
      </c>
      <c r="F36" s="584" t="s">
        <v>1115</v>
      </c>
      <c r="G36" s="590"/>
      <c r="H36" s="584"/>
      <c r="I36" s="584"/>
      <c r="J36" s="585"/>
    </row>
    <row r="37" ht="17.6" spans="1:10">
      <c r="A37" s="586" t="s">
        <v>778</v>
      </c>
      <c r="B37" s="589" t="s">
        <v>1116</v>
      </c>
      <c r="C37" s="584" t="s">
        <v>1117</v>
      </c>
      <c r="D37" s="584" t="s">
        <v>161</v>
      </c>
      <c r="E37" s="584" t="s">
        <v>1118</v>
      </c>
      <c r="F37" s="584" t="s">
        <v>276</v>
      </c>
      <c r="G37" s="590"/>
      <c r="H37" s="584"/>
      <c r="I37" s="584"/>
      <c r="J37" s="585"/>
    </row>
    <row r="38" ht="17.6" spans="1:10">
      <c r="A38" s="586" t="s">
        <v>733</v>
      </c>
      <c r="B38" s="589" t="s">
        <v>1053</v>
      </c>
      <c r="C38" s="584" t="s">
        <v>1117</v>
      </c>
      <c r="D38" s="584" t="s">
        <v>185</v>
      </c>
      <c r="E38" s="584" t="s">
        <v>1119</v>
      </c>
      <c r="F38" s="584" t="s">
        <v>276</v>
      </c>
      <c r="G38" s="590"/>
      <c r="H38" s="584"/>
      <c r="I38" s="584"/>
      <c r="J38" s="585"/>
    </row>
    <row r="39" ht="17.6" spans="1:10">
      <c r="A39" s="586" t="s">
        <v>733</v>
      </c>
      <c r="B39" s="589" t="s">
        <v>1116</v>
      </c>
      <c r="C39" s="584" t="s">
        <v>1117</v>
      </c>
      <c r="D39" s="584" t="s">
        <v>185</v>
      </c>
      <c r="E39" s="584" t="s">
        <v>1120</v>
      </c>
      <c r="F39" s="584" t="s">
        <v>795</v>
      </c>
      <c r="G39" s="593"/>
      <c r="H39" s="584"/>
      <c r="I39" s="584"/>
      <c r="J39" s="585"/>
    </row>
    <row r="40" ht="17.6" spans="1:10">
      <c r="A40" s="586" t="s">
        <v>733</v>
      </c>
      <c r="B40" s="589" t="s">
        <v>1116</v>
      </c>
      <c r="C40" s="584" t="s">
        <v>1117</v>
      </c>
      <c r="D40" s="584" t="s">
        <v>185</v>
      </c>
      <c r="E40" s="584" t="s">
        <v>1121</v>
      </c>
      <c r="F40" s="584" t="s">
        <v>1122</v>
      </c>
      <c r="G40" s="590"/>
      <c r="H40" s="584"/>
      <c r="I40" s="584"/>
      <c r="J40" s="585"/>
    </row>
    <row r="41" ht="17.6" spans="1:10">
      <c r="A41" s="586" t="s">
        <v>778</v>
      </c>
      <c r="B41" s="589" t="s">
        <v>1060</v>
      </c>
      <c r="C41" s="584" t="s">
        <v>1102</v>
      </c>
      <c r="D41" s="584" t="s">
        <v>161</v>
      </c>
      <c r="E41" s="584" t="s">
        <v>1123</v>
      </c>
      <c r="F41" s="584" t="s">
        <v>1124</v>
      </c>
      <c r="G41" s="590"/>
      <c r="H41" s="584"/>
      <c r="I41" s="584"/>
      <c r="J41" s="585"/>
    </row>
    <row r="42" ht="17.6" spans="1:10">
      <c r="A42" s="586" t="s">
        <v>733</v>
      </c>
      <c r="B42" s="589" t="s">
        <v>1060</v>
      </c>
      <c r="C42" s="584" t="s">
        <v>1102</v>
      </c>
      <c r="D42" s="584" t="s">
        <v>185</v>
      </c>
      <c r="E42" s="584" t="s">
        <v>1125</v>
      </c>
      <c r="F42" s="584" t="s">
        <v>1124</v>
      </c>
      <c r="G42" s="590"/>
      <c r="H42" s="584"/>
      <c r="I42" s="584"/>
      <c r="J42" s="585"/>
    </row>
    <row r="43" ht="17.6" spans="1:10">
      <c r="A43" s="586" t="s">
        <v>733</v>
      </c>
      <c r="B43" s="589" t="s">
        <v>1060</v>
      </c>
      <c r="C43" s="584" t="s">
        <v>1102</v>
      </c>
      <c r="D43" s="584" t="s">
        <v>161</v>
      </c>
      <c r="E43" s="584" t="s">
        <v>1126</v>
      </c>
      <c r="F43" s="584" t="s">
        <v>1113</v>
      </c>
      <c r="G43" s="590"/>
      <c r="H43" s="584"/>
      <c r="I43" s="584"/>
      <c r="J43" s="585"/>
    </row>
    <row r="44" ht="17.6" spans="1:10">
      <c r="A44" s="586" t="s">
        <v>778</v>
      </c>
      <c r="B44" s="589" t="s">
        <v>1060</v>
      </c>
      <c r="C44" s="584" t="s">
        <v>1127</v>
      </c>
      <c r="D44" s="584" t="s">
        <v>161</v>
      </c>
      <c r="E44" s="584" t="s">
        <v>1128</v>
      </c>
      <c r="F44" s="584" t="s">
        <v>1129</v>
      </c>
      <c r="G44" s="590"/>
      <c r="H44" s="584"/>
      <c r="I44" s="584"/>
      <c r="J44" s="585"/>
    </row>
    <row r="45" ht="17.6" spans="1:10">
      <c r="A45" s="586" t="s">
        <v>778</v>
      </c>
      <c r="B45" s="589" t="s">
        <v>1053</v>
      </c>
      <c r="C45" s="584" t="s">
        <v>1054</v>
      </c>
      <c r="D45" s="584" t="s">
        <v>1130</v>
      </c>
      <c r="E45" s="584" t="s">
        <v>277</v>
      </c>
      <c r="F45" s="584" t="s">
        <v>276</v>
      </c>
      <c r="G45" s="590"/>
      <c r="H45" s="584"/>
      <c r="I45" s="584"/>
      <c r="J45" s="585"/>
    </row>
    <row r="46" ht="17.6" spans="1:10">
      <c r="A46" s="586" t="s">
        <v>778</v>
      </c>
      <c r="B46" s="589" t="s">
        <v>1116</v>
      </c>
      <c r="C46" s="584" t="s">
        <v>1117</v>
      </c>
      <c r="D46" s="584" t="s">
        <v>1130</v>
      </c>
      <c r="E46" s="584" t="s">
        <v>281</v>
      </c>
      <c r="F46" s="584" t="s">
        <v>325</v>
      </c>
      <c r="G46" s="593"/>
      <c r="H46" s="584"/>
      <c r="I46" s="584"/>
      <c r="J46" s="585"/>
    </row>
    <row r="47" ht="17.6" spans="1:10">
      <c r="A47" s="586" t="s">
        <v>733</v>
      </c>
      <c r="B47" s="589" t="s">
        <v>1116</v>
      </c>
      <c r="C47" s="584" t="s">
        <v>1131</v>
      </c>
      <c r="D47" s="584" t="s">
        <v>161</v>
      </c>
      <c r="E47" s="584" t="s">
        <v>1132</v>
      </c>
      <c r="F47" s="584" t="s">
        <v>1122</v>
      </c>
      <c r="G47" s="590"/>
      <c r="H47" s="584"/>
      <c r="I47" s="584"/>
      <c r="J47" s="585"/>
    </row>
    <row r="48" ht="17.6" spans="1:10">
      <c r="A48" s="586" t="s">
        <v>733</v>
      </c>
      <c r="B48" s="589" t="s">
        <v>1116</v>
      </c>
      <c r="C48" s="584" t="s">
        <v>1131</v>
      </c>
      <c r="D48" s="584" t="s">
        <v>161</v>
      </c>
      <c r="E48" s="584" t="s">
        <v>208</v>
      </c>
      <c r="F48" s="584" t="s">
        <v>1133</v>
      </c>
      <c r="G48" s="590"/>
      <c r="H48" s="584"/>
      <c r="I48" s="584"/>
      <c r="J48" s="585"/>
    </row>
    <row r="49" ht="17.6" spans="1:10">
      <c r="A49" s="586" t="s">
        <v>733</v>
      </c>
      <c r="B49" s="589" t="s">
        <v>1053</v>
      </c>
      <c r="C49" s="584" t="s">
        <v>1131</v>
      </c>
      <c r="D49" s="584" t="s">
        <v>263</v>
      </c>
      <c r="E49" s="584" t="s">
        <v>270</v>
      </c>
      <c r="F49" s="584" t="s">
        <v>642</v>
      </c>
      <c r="G49" s="590"/>
      <c r="H49" s="584"/>
      <c r="I49" s="584"/>
      <c r="J49" s="585"/>
    </row>
    <row r="50" ht="17.6" spans="1:10">
      <c r="A50" s="586" t="s">
        <v>733</v>
      </c>
      <c r="B50" s="589" t="s">
        <v>1116</v>
      </c>
      <c r="C50" s="584" t="s">
        <v>1131</v>
      </c>
      <c r="D50" s="584" t="s">
        <v>263</v>
      </c>
      <c r="E50" s="584" t="s">
        <v>1134</v>
      </c>
      <c r="F50" s="584" t="s">
        <v>1135</v>
      </c>
      <c r="G50" s="590"/>
      <c r="H50" s="584"/>
      <c r="I50" s="584"/>
      <c r="J50" s="585"/>
    </row>
    <row r="51" ht="17.6" spans="1:10">
      <c r="A51" s="586" t="s">
        <v>778</v>
      </c>
      <c r="B51" s="589" t="s">
        <v>1060</v>
      </c>
      <c r="C51" s="584" t="s">
        <v>1114</v>
      </c>
      <c r="D51" s="584" t="s">
        <v>161</v>
      </c>
      <c r="E51" s="584" t="s">
        <v>467</v>
      </c>
      <c r="F51" s="584" t="s">
        <v>1136</v>
      </c>
      <c r="G51" s="590"/>
      <c r="H51" s="584"/>
      <c r="I51" s="584"/>
      <c r="J51" s="585"/>
    </row>
    <row r="52" ht="17.6" spans="1:10">
      <c r="A52" s="586" t="s">
        <v>733</v>
      </c>
      <c r="B52" s="589" t="s">
        <v>1060</v>
      </c>
      <c r="C52" s="584" t="s">
        <v>1114</v>
      </c>
      <c r="D52" s="584" t="s">
        <v>185</v>
      </c>
      <c r="E52" s="584" t="s">
        <v>495</v>
      </c>
      <c r="F52" s="584" t="s">
        <v>1136</v>
      </c>
      <c r="G52" s="590"/>
      <c r="H52" s="584"/>
      <c r="I52" s="584"/>
      <c r="J52" s="585"/>
    </row>
    <row r="53" ht="17.6" spans="1:10">
      <c r="A53" s="586" t="s">
        <v>733</v>
      </c>
      <c r="B53" s="589" t="s">
        <v>1053</v>
      </c>
      <c r="C53" s="584" t="s">
        <v>1131</v>
      </c>
      <c r="D53" s="584" t="s">
        <v>161</v>
      </c>
      <c r="E53" s="584" t="s">
        <v>907</v>
      </c>
      <c r="F53" s="584" t="s">
        <v>1137</v>
      </c>
      <c r="G53" s="590"/>
      <c r="H53" s="584"/>
      <c r="I53" s="584"/>
      <c r="J53" s="585"/>
    </row>
    <row r="54" ht="12.9" customHeight="1" spans="1:10">
      <c r="A54" s="586" t="s">
        <v>733</v>
      </c>
      <c r="B54" s="589" t="s">
        <v>1116</v>
      </c>
      <c r="C54" s="584" t="s">
        <v>1131</v>
      </c>
      <c r="D54" s="584" t="s">
        <v>667</v>
      </c>
      <c r="E54" s="584" t="s">
        <v>261</v>
      </c>
      <c r="F54" s="584" t="s">
        <v>642</v>
      </c>
      <c r="G54" s="590"/>
      <c r="H54" s="584"/>
      <c r="I54" s="584"/>
      <c r="J54" s="585"/>
    </row>
    <row r="55" ht="17.6" spans="1:10">
      <c r="A55" s="586" t="s">
        <v>733</v>
      </c>
      <c r="B55" s="589" t="s">
        <v>1116</v>
      </c>
      <c r="C55" s="584" t="s">
        <v>1131</v>
      </c>
      <c r="D55" s="584" t="s">
        <v>645</v>
      </c>
      <c r="E55" s="584" t="s">
        <v>239</v>
      </c>
      <c r="F55" s="584" t="s">
        <v>642</v>
      </c>
      <c r="G55" s="590"/>
      <c r="H55" s="584"/>
      <c r="I55" s="584"/>
      <c r="J55" s="585"/>
    </row>
    <row r="56" ht="17.6" spans="1:10">
      <c r="A56" s="586" t="s">
        <v>733</v>
      </c>
      <c r="B56" s="589" t="s">
        <v>1053</v>
      </c>
      <c r="C56" s="584" t="s">
        <v>1131</v>
      </c>
      <c r="D56" s="584" t="s">
        <v>249</v>
      </c>
      <c r="E56" s="584" t="s">
        <v>253</v>
      </c>
      <c r="F56" s="584" t="s">
        <v>642</v>
      </c>
      <c r="G56" s="590"/>
      <c r="H56" s="584"/>
      <c r="I56" s="584"/>
      <c r="J56" s="585"/>
    </row>
    <row r="57" ht="17.6" spans="1:10">
      <c r="A57" s="586" t="s">
        <v>733</v>
      </c>
      <c r="B57" s="589" t="s">
        <v>1053</v>
      </c>
      <c r="C57" s="584" t="s">
        <v>1131</v>
      </c>
      <c r="D57" s="584" t="s">
        <v>660</v>
      </c>
      <c r="E57" s="584" t="s">
        <v>248</v>
      </c>
      <c r="F57" s="584" t="s">
        <v>642</v>
      </c>
      <c r="G57" s="590"/>
      <c r="H57" s="584"/>
      <c r="I57" s="584"/>
      <c r="J57" s="585"/>
    </row>
    <row r="58" ht="17.6" spans="1:10">
      <c r="A58" s="586" t="s">
        <v>778</v>
      </c>
      <c r="B58" s="589" t="s">
        <v>1060</v>
      </c>
      <c r="C58" s="584" t="s">
        <v>1092</v>
      </c>
      <c r="D58" s="584" t="s">
        <v>161</v>
      </c>
      <c r="E58" s="584" t="s">
        <v>322</v>
      </c>
      <c r="F58" s="584" t="s">
        <v>1138</v>
      </c>
      <c r="G58" s="590"/>
      <c r="H58" s="584"/>
      <c r="I58" s="584"/>
      <c r="J58" s="585"/>
    </row>
    <row r="59" ht="17.6" spans="1:10">
      <c r="A59" s="586" t="s">
        <v>778</v>
      </c>
      <c r="B59" s="589" t="s">
        <v>1116</v>
      </c>
      <c r="C59" s="584" t="s">
        <v>1117</v>
      </c>
      <c r="D59" s="584" t="s">
        <v>161</v>
      </c>
      <c r="E59" s="584" t="s">
        <v>405</v>
      </c>
      <c r="F59" s="584" t="s">
        <v>1139</v>
      </c>
      <c r="G59" s="590"/>
      <c r="H59" s="584"/>
      <c r="I59" s="584"/>
      <c r="J59" s="585"/>
    </row>
    <row r="60" ht="17.6" spans="1:10">
      <c r="A60" s="586" t="s">
        <v>778</v>
      </c>
      <c r="B60" s="589" t="s">
        <v>1060</v>
      </c>
      <c r="C60" s="584" t="s">
        <v>1092</v>
      </c>
      <c r="D60" s="584" t="s">
        <v>161</v>
      </c>
      <c r="E60" s="584" t="s">
        <v>326</v>
      </c>
      <c r="F60" s="584" t="s">
        <v>325</v>
      </c>
      <c r="G60" s="592"/>
      <c r="H60" s="584"/>
      <c r="I60" s="584"/>
      <c r="J60" s="585"/>
    </row>
    <row r="61" ht="17.6" spans="1:10">
      <c r="A61" s="586" t="s">
        <v>733</v>
      </c>
      <c r="B61" s="595" t="s">
        <v>1053</v>
      </c>
      <c r="C61" s="584" t="s">
        <v>1054</v>
      </c>
      <c r="D61" s="584" t="s">
        <v>185</v>
      </c>
      <c r="E61" s="584" t="s">
        <v>1140</v>
      </c>
      <c r="F61" s="584" t="s">
        <v>1056</v>
      </c>
      <c r="G61" s="590"/>
      <c r="H61" s="584"/>
      <c r="I61" s="584"/>
      <c r="J61" s="585"/>
    </row>
    <row r="62" ht="17.6" spans="1:10">
      <c r="A62" s="586" t="s">
        <v>733</v>
      </c>
      <c r="B62" s="595" t="s">
        <v>1053</v>
      </c>
      <c r="C62" s="584" t="s">
        <v>1054</v>
      </c>
      <c r="D62" s="584" t="s">
        <v>185</v>
      </c>
      <c r="E62" s="584" t="s">
        <v>1141</v>
      </c>
      <c r="F62" s="584" t="s">
        <v>1056</v>
      </c>
      <c r="G62" s="590"/>
      <c r="H62" s="584"/>
      <c r="I62" s="584"/>
      <c r="J62" s="585"/>
    </row>
    <row r="63" ht="17.6" spans="1:10">
      <c r="A63" s="586" t="s">
        <v>733</v>
      </c>
      <c r="B63" s="589" t="s">
        <v>1116</v>
      </c>
      <c r="C63" s="584" t="s">
        <v>1092</v>
      </c>
      <c r="D63" s="584" t="s">
        <v>161</v>
      </c>
      <c r="E63" s="584" t="s">
        <v>331</v>
      </c>
      <c r="F63" s="584" t="s">
        <v>325</v>
      </c>
      <c r="G63" s="593"/>
      <c r="H63" s="584"/>
      <c r="I63" s="584"/>
      <c r="J63" s="585"/>
    </row>
    <row r="64" ht="17.6" spans="1:10">
      <c r="A64" s="586" t="s">
        <v>733</v>
      </c>
      <c r="B64" s="589" t="s">
        <v>1116</v>
      </c>
      <c r="C64" s="584" t="s">
        <v>1117</v>
      </c>
      <c r="D64" s="584" t="s">
        <v>185</v>
      </c>
      <c r="E64" s="584" t="s">
        <v>188</v>
      </c>
      <c r="F64" s="584" t="s">
        <v>1142</v>
      </c>
      <c r="G64" s="590"/>
      <c r="H64" s="584"/>
      <c r="I64" s="584"/>
      <c r="J64" s="585"/>
    </row>
    <row r="65" ht="17.6" spans="1:10">
      <c r="A65" s="586" t="s">
        <v>733</v>
      </c>
      <c r="B65" s="589" t="s">
        <v>1116</v>
      </c>
      <c r="C65" s="584" t="s">
        <v>1092</v>
      </c>
      <c r="D65" s="584" t="s">
        <v>161</v>
      </c>
      <c r="E65" s="584" t="s">
        <v>334</v>
      </c>
      <c r="F65" s="584" t="s">
        <v>325</v>
      </c>
      <c r="G65" s="593"/>
      <c r="H65" s="584"/>
      <c r="I65" s="584"/>
      <c r="J65" s="585"/>
    </row>
    <row r="66" ht="17.6" spans="1:10">
      <c r="A66" s="586" t="s">
        <v>733</v>
      </c>
      <c r="B66" s="589" t="s">
        <v>1116</v>
      </c>
      <c r="C66" s="584" t="s">
        <v>1092</v>
      </c>
      <c r="D66" s="584" t="s">
        <v>161</v>
      </c>
      <c r="E66" s="584" t="s">
        <v>335</v>
      </c>
      <c r="F66" s="584" t="s">
        <v>325</v>
      </c>
      <c r="G66" s="593"/>
      <c r="H66" s="584"/>
      <c r="I66" s="584"/>
      <c r="J66" s="585"/>
    </row>
    <row r="67" ht="17.6" spans="1:10">
      <c r="A67" s="586" t="s">
        <v>733</v>
      </c>
      <c r="B67" s="589" t="s">
        <v>1060</v>
      </c>
      <c r="C67" s="584" t="s">
        <v>1127</v>
      </c>
      <c r="D67" s="584" t="s">
        <v>161</v>
      </c>
      <c r="E67" s="584" t="s">
        <v>1143</v>
      </c>
      <c r="F67" s="584" t="s">
        <v>1144</v>
      </c>
      <c r="G67" s="590"/>
      <c r="H67" s="584"/>
      <c r="I67" s="584"/>
      <c r="J67" s="585"/>
    </row>
    <row r="68" ht="17.6" spans="1:10">
      <c r="A68" s="586" t="s">
        <v>733</v>
      </c>
      <c r="B68" s="589" t="s">
        <v>1060</v>
      </c>
      <c r="C68" s="584" t="s">
        <v>1127</v>
      </c>
      <c r="D68" s="584" t="s">
        <v>161</v>
      </c>
      <c r="E68" s="584" t="s">
        <v>1145</v>
      </c>
      <c r="F68" s="584" t="s">
        <v>1129</v>
      </c>
      <c r="G68" s="590"/>
      <c r="H68" s="584"/>
      <c r="I68" s="584"/>
      <c r="J68" s="585"/>
    </row>
    <row r="69" ht="17.6" spans="1:10">
      <c r="A69" s="586" t="s">
        <v>733</v>
      </c>
      <c r="B69" s="589" t="s">
        <v>1116</v>
      </c>
      <c r="C69" s="584" t="s">
        <v>1117</v>
      </c>
      <c r="D69" s="584" t="s">
        <v>185</v>
      </c>
      <c r="E69" s="584" t="s">
        <v>416</v>
      </c>
      <c r="F69" s="584" t="s">
        <v>1139</v>
      </c>
      <c r="G69" s="590"/>
      <c r="H69" s="584"/>
      <c r="I69" s="584"/>
      <c r="J69" s="585"/>
    </row>
    <row r="70" ht="17.6" spans="1:10">
      <c r="A70" s="586" t="s">
        <v>733</v>
      </c>
      <c r="B70" s="589" t="s">
        <v>1060</v>
      </c>
      <c r="C70" s="584" t="s">
        <v>1127</v>
      </c>
      <c r="D70" s="584" t="s">
        <v>161</v>
      </c>
      <c r="E70" s="584" t="s">
        <v>1146</v>
      </c>
      <c r="F70" s="584" t="s">
        <v>1129</v>
      </c>
      <c r="G70" s="590"/>
      <c r="H70" s="584"/>
      <c r="I70" s="584"/>
      <c r="J70" s="585"/>
    </row>
    <row r="71" ht="17.6" spans="1:10">
      <c r="A71" s="586" t="s">
        <v>733</v>
      </c>
      <c r="B71" s="589" t="s">
        <v>1060</v>
      </c>
      <c r="C71" s="584" t="s">
        <v>1127</v>
      </c>
      <c r="D71" s="584" t="s">
        <v>161</v>
      </c>
      <c r="E71" s="584" t="s">
        <v>1147</v>
      </c>
      <c r="F71" s="584" t="s">
        <v>1129</v>
      </c>
      <c r="G71" s="590"/>
      <c r="H71" s="584"/>
      <c r="I71" s="584"/>
      <c r="J71" s="585"/>
    </row>
    <row r="72" ht="17.6" spans="1:10">
      <c r="A72" s="586" t="s">
        <v>778</v>
      </c>
      <c r="B72" s="589" t="s">
        <v>1053</v>
      </c>
      <c r="C72" s="584" t="s">
        <v>1054</v>
      </c>
      <c r="D72" s="584" t="s">
        <v>1130</v>
      </c>
      <c r="E72" s="584" t="s">
        <v>1141</v>
      </c>
      <c r="F72" s="584" t="s">
        <v>1056</v>
      </c>
      <c r="G72" s="590"/>
      <c r="H72" s="584"/>
      <c r="I72" s="584"/>
      <c r="J72" s="585"/>
    </row>
    <row r="73" ht="17.6" spans="1:10">
      <c r="A73" s="586" t="s">
        <v>733</v>
      </c>
      <c r="B73" s="589" t="s">
        <v>1060</v>
      </c>
      <c r="C73" s="584" t="s">
        <v>1127</v>
      </c>
      <c r="D73" s="584" t="s">
        <v>161</v>
      </c>
      <c r="E73" s="584" t="s">
        <v>1148</v>
      </c>
      <c r="F73" s="584" t="s">
        <v>1129</v>
      </c>
      <c r="G73" s="593"/>
      <c r="H73" s="584"/>
      <c r="I73" s="584"/>
      <c r="J73" s="585"/>
    </row>
    <row r="74" ht="17.6" spans="1:10">
      <c r="A74" s="586" t="s">
        <v>778</v>
      </c>
      <c r="B74" s="589" t="s">
        <v>1116</v>
      </c>
      <c r="C74" s="584" t="s">
        <v>1117</v>
      </c>
      <c r="D74" s="584" t="s">
        <v>161</v>
      </c>
      <c r="E74" s="584" t="s">
        <v>166</v>
      </c>
      <c r="F74" s="584" t="s">
        <v>1142</v>
      </c>
      <c r="G74" s="590"/>
      <c r="H74" s="584"/>
      <c r="I74" s="584"/>
      <c r="J74" s="585"/>
    </row>
    <row r="75" ht="17.6" spans="1:10">
      <c r="A75" s="586" t="s">
        <v>778</v>
      </c>
      <c r="B75" s="589" t="s">
        <v>1116</v>
      </c>
      <c r="C75" s="584" t="s">
        <v>1117</v>
      </c>
      <c r="D75" s="584" t="s">
        <v>161</v>
      </c>
      <c r="E75" s="584" t="s">
        <v>1149</v>
      </c>
      <c r="F75" s="584" t="s">
        <v>1150</v>
      </c>
      <c r="G75" s="593"/>
      <c r="H75" s="584"/>
      <c r="I75" s="584"/>
      <c r="J75" s="585"/>
    </row>
    <row r="76" ht="17.6" spans="1:10">
      <c r="A76" s="586" t="s">
        <v>778</v>
      </c>
      <c r="B76" s="589" t="s">
        <v>1116</v>
      </c>
      <c r="C76" s="584" t="s">
        <v>1117</v>
      </c>
      <c r="D76" s="584" t="s">
        <v>161</v>
      </c>
      <c r="E76" s="584" t="s">
        <v>400</v>
      </c>
      <c r="F76" s="584" t="s">
        <v>1139</v>
      </c>
      <c r="G76" s="590"/>
      <c r="H76" s="584"/>
      <c r="I76" s="584"/>
      <c r="J76" s="585"/>
    </row>
    <row r="77" ht="17.6" spans="1:10">
      <c r="A77" s="586" t="s">
        <v>778</v>
      </c>
      <c r="B77" s="589" t="s">
        <v>1116</v>
      </c>
      <c r="C77" s="584" t="s">
        <v>1117</v>
      </c>
      <c r="D77" s="584" t="s">
        <v>161</v>
      </c>
      <c r="E77" s="584" t="s">
        <v>404</v>
      </c>
      <c r="F77" s="584" t="s">
        <v>1139</v>
      </c>
      <c r="G77" s="590"/>
      <c r="H77" s="584"/>
      <c r="I77" s="584"/>
      <c r="J77" s="585"/>
    </row>
    <row r="78" ht="17.6" spans="1:10">
      <c r="A78" s="586" t="s">
        <v>778</v>
      </c>
      <c r="B78" s="589" t="s">
        <v>1116</v>
      </c>
      <c r="C78" s="584" t="s">
        <v>1117</v>
      </c>
      <c r="D78" s="584" t="s">
        <v>161</v>
      </c>
      <c r="E78" s="584" t="s">
        <v>403</v>
      </c>
      <c r="F78" s="584" t="s">
        <v>1139</v>
      </c>
      <c r="G78" s="590"/>
      <c r="H78" s="584"/>
      <c r="I78" s="584"/>
      <c r="J78" s="585"/>
    </row>
    <row r="79" ht="17.6" spans="1:10">
      <c r="A79" s="586" t="s">
        <v>778</v>
      </c>
      <c r="B79" s="589" t="s">
        <v>1116</v>
      </c>
      <c r="C79" s="584" t="s">
        <v>1117</v>
      </c>
      <c r="D79" s="584" t="s">
        <v>161</v>
      </c>
      <c r="E79" s="584" t="s">
        <v>402</v>
      </c>
      <c r="F79" s="584" t="s">
        <v>1151</v>
      </c>
      <c r="G79" s="590"/>
      <c r="H79" s="584"/>
      <c r="I79" s="584"/>
      <c r="J79" s="585"/>
    </row>
    <row r="80" ht="17.6" spans="1:10">
      <c r="A80" s="586" t="s">
        <v>733</v>
      </c>
      <c r="B80" s="589" t="s">
        <v>1053</v>
      </c>
      <c r="C80" s="584" t="s">
        <v>1117</v>
      </c>
      <c r="D80" s="584" t="s">
        <v>185</v>
      </c>
      <c r="E80" s="584" t="s">
        <v>213</v>
      </c>
      <c r="F80" s="584" t="s">
        <v>1150</v>
      </c>
      <c r="G80" s="590"/>
      <c r="H80" s="584"/>
      <c r="I80" s="584"/>
      <c r="J80" s="585"/>
    </row>
    <row r="81" ht="17.6" spans="1:10">
      <c r="A81" s="589" t="s">
        <v>733</v>
      </c>
      <c r="B81" s="589" t="s">
        <v>1116</v>
      </c>
      <c r="C81" s="584" t="s">
        <v>1117</v>
      </c>
      <c r="D81" s="584" t="s">
        <v>185</v>
      </c>
      <c r="E81" s="584" t="s">
        <v>421</v>
      </c>
      <c r="F81" s="584" t="s">
        <v>1151</v>
      </c>
      <c r="G81" s="593"/>
      <c r="H81" s="584"/>
      <c r="I81" s="584"/>
      <c r="J81" s="585"/>
    </row>
    <row r="82" ht="17.6" spans="1:10">
      <c r="A82" s="586" t="s">
        <v>733</v>
      </c>
      <c r="B82" s="589" t="s">
        <v>1116</v>
      </c>
      <c r="C82" s="584" t="s">
        <v>1117</v>
      </c>
      <c r="D82" s="584" t="s">
        <v>185</v>
      </c>
      <c r="E82" s="584" t="s">
        <v>417</v>
      </c>
      <c r="F82" s="584" t="s">
        <v>1139</v>
      </c>
      <c r="G82" s="593"/>
      <c r="H82" s="584"/>
      <c r="I82" s="584"/>
      <c r="J82" s="585"/>
    </row>
    <row r="83" ht="17.6" spans="1:10">
      <c r="A83" s="586" t="s">
        <v>733</v>
      </c>
      <c r="B83" s="589" t="s">
        <v>1116</v>
      </c>
      <c r="C83" s="584" t="s">
        <v>1117</v>
      </c>
      <c r="D83" s="584" t="s">
        <v>185</v>
      </c>
      <c r="E83" s="584" t="s">
        <v>418</v>
      </c>
      <c r="F83" s="584" t="s">
        <v>1139</v>
      </c>
      <c r="G83" s="593"/>
      <c r="H83" s="584"/>
      <c r="I83" s="584"/>
      <c r="J83" s="585"/>
    </row>
    <row r="84" ht="17.6" spans="1:10">
      <c r="A84" s="586" t="s">
        <v>778</v>
      </c>
      <c r="B84" s="589" t="s">
        <v>1053</v>
      </c>
      <c r="C84" s="584" t="s">
        <v>1054</v>
      </c>
      <c r="D84" s="584" t="s">
        <v>1130</v>
      </c>
      <c r="E84" s="584" t="s">
        <v>1152</v>
      </c>
      <c r="F84" s="584" t="s">
        <v>276</v>
      </c>
      <c r="G84" s="593"/>
      <c r="H84" s="584"/>
      <c r="I84" s="584"/>
      <c r="J84" s="585"/>
    </row>
    <row r="85" ht="17.6" spans="1:10">
      <c r="A85" s="586" t="s">
        <v>778</v>
      </c>
      <c r="B85" s="589" t="s">
        <v>1053</v>
      </c>
      <c r="C85" s="584" t="s">
        <v>1054</v>
      </c>
      <c r="D85" s="584" t="s">
        <v>1130</v>
      </c>
      <c r="E85" s="584" t="s">
        <v>1153</v>
      </c>
      <c r="F85" s="584" t="s">
        <v>276</v>
      </c>
      <c r="G85" s="592"/>
      <c r="H85" s="584"/>
      <c r="I85" s="584"/>
      <c r="J85" s="585"/>
    </row>
    <row r="86" ht="17.6" spans="1:10">
      <c r="A86" s="586" t="s">
        <v>778</v>
      </c>
      <c r="B86" s="596" t="s">
        <v>1060</v>
      </c>
      <c r="C86" s="584" t="s">
        <v>1084</v>
      </c>
      <c r="D86" s="584" t="s">
        <v>1130</v>
      </c>
      <c r="E86" s="584" t="s">
        <v>1154</v>
      </c>
      <c r="F86" s="584" t="s">
        <v>1087</v>
      </c>
      <c r="G86" s="597"/>
      <c r="H86" s="584"/>
      <c r="I86" s="584"/>
      <c r="J86" s="585"/>
    </row>
    <row r="87" ht="17.6" spans="1:10">
      <c r="A87" s="586" t="s">
        <v>778</v>
      </c>
      <c r="B87" s="589" t="s">
        <v>1060</v>
      </c>
      <c r="C87" s="584" t="s">
        <v>1131</v>
      </c>
      <c r="D87" s="584" t="s">
        <v>161</v>
      </c>
      <c r="E87" s="584" t="s">
        <v>1155</v>
      </c>
      <c r="F87" s="584" t="s">
        <v>1133</v>
      </c>
      <c r="G87" s="590"/>
      <c r="H87" s="584"/>
      <c r="I87" s="584"/>
      <c r="J87" s="585"/>
    </row>
    <row r="88" ht="17.6" spans="1:10">
      <c r="A88" s="586" t="s">
        <v>733</v>
      </c>
      <c r="B88" s="589" t="s">
        <v>1116</v>
      </c>
      <c r="C88" s="584" t="s">
        <v>1131</v>
      </c>
      <c r="D88" s="584" t="s">
        <v>645</v>
      </c>
      <c r="E88" s="584" t="s">
        <v>235</v>
      </c>
      <c r="F88" s="584" t="s">
        <v>1139</v>
      </c>
      <c r="G88" s="594"/>
      <c r="H88" s="584"/>
      <c r="I88" s="584"/>
      <c r="J88" s="585"/>
    </row>
    <row r="89" ht="17.6" spans="1:10">
      <c r="A89" s="598" t="s">
        <v>733</v>
      </c>
      <c r="B89" s="599" t="s">
        <v>1053</v>
      </c>
      <c r="C89" s="584" t="s">
        <v>1054</v>
      </c>
      <c r="D89" s="584" t="s">
        <v>161</v>
      </c>
      <c r="E89" s="584" t="s">
        <v>1156</v>
      </c>
      <c r="F89" s="584"/>
      <c r="G89" s="594"/>
      <c r="H89" s="584"/>
      <c r="I89" s="584"/>
      <c r="J89" s="585"/>
    </row>
    <row r="90" ht="17.6" spans="1:10">
      <c r="A90" s="598" t="s">
        <v>733</v>
      </c>
      <c r="B90" s="599" t="s">
        <v>1053</v>
      </c>
      <c r="C90" s="584" t="s">
        <v>1054</v>
      </c>
      <c r="D90" s="584" t="s">
        <v>161</v>
      </c>
      <c r="E90" s="584" t="s">
        <v>1157</v>
      </c>
      <c r="F90" s="584"/>
      <c r="G90" s="594"/>
      <c r="H90" s="584"/>
      <c r="I90" s="584"/>
      <c r="J90" s="585"/>
    </row>
    <row r="91" ht="17.6" spans="1:10">
      <c r="A91" s="598" t="s">
        <v>733</v>
      </c>
      <c r="B91" s="599" t="s">
        <v>1053</v>
      </c>
      <c r="C91" s="584" t="s">
        <v>1158</v>
      </c>
      <c r="D91" s="584" t="s">
        <v>161</v>
      </c>
      <c r="E91" s="584" t="s">
        <v>1159</v>
      </c>
      <c r="F91" s="584"/>
      <c r="G91" s="594"/>
      <c r="H91" s="584"/>
      <c r="I91" s="584"/>
      <c r="J91" s="585"/>
    </row>
    <row r="92" ht="17.6" spans="1:10">
      <c r="A92" s="598" t="s">
        <v>733</v>
      </c>
      <c r="B92" s="599" t="s">
        <v>1160</v>
      </c>
      <c r="C92" s="584" t="s">
        <v>1161</v>
      </c>
      <c r="D92" s="584" t="s">
        <v>161</v>
      </c>
      <c r="E92" s="584" t="s">
        <v>1162</v>
      </c>
      <c r="F92" s="584"/>
      <c r="G92" s="594"/>
      <c r="H92" s="584"/>
      <c r="I92" s="584"/>
      <c r="J92" s="585"/>
    </row>
    <row r="93" ht="17.6" spans="1:10">
      <c r="A93" s="598" t="s">
        <v>733</v>
      </c>
      <c r="B93" s="599" t="s">
        <v>1160</v>
      </c>
      <c r="C93" s="584" t="s">
        <v>1161</v>
      </c>
      <c r="D93" s="584" t="s">
        <v>161</v>
      </c>
      <c r="E93" s="584" t="s">
        <v>1163</v>
      </c>
      <c r="F93" s="584"/>
      <c r="G93" s="594"/>
      <c r="H93" s="584"/>
      <c r="I93" s="584"/>
      <c r="J93" s="585"/>
    </row>
    <row r="94" ht="17.6" spans="1:10">
      <c r="A94" s="598" t="s">
        <v>733</v>
      </c>
      <c r="B94" s="599" t="s">
        <v>1160</v>
      </c>
      <c r="C94" s="584" t="s">
        <v>1161</v>
      </c>
      <c r="D94" s="584" t="s">
        <v>161</v>
      </c>
      <c r="E94" s="584" t="s">
        <v>1164</v>
      </c>
      <c r="F94" s="584"/>
      <c r="G94" s="594"/>
      <c r="H94" s="584"/>
      <c r="I94" s="584"/>
      <c r="J94" s="585"/>
    </row>
    <row r="95" ht="17.6" spans="1:10">
      <c r="A95" s="598" t="s">
        <v>733</v>
      </c>
      <c r="B95" s="599" t="s">
        <v>1160</v>
      </c>
      <c r="C95" s="584" t="s">
        <v>1165</v>
      </c>
      <c r="D95" s="584" t="s">
        <v>161</v>
      </c>
      <c r="E95" s="584" t="s">
        <v>736</v>
      </c>
      <c r="F95" s="584"/>
      <c r="G95" s="594"/>
      <c r="H95" s="584"/>
      <c r="I95" s="584"/>
      <c r="J95" s="585"/>
    </row>
    <row r="96" ht="17.6" spans="1:10">
      <c r="A96" s="598" t="s">
        <v>733</v>
      </c>
      <c r="B96" s="599" t="s">
        <v>1160</v>
      </c>
      <c r="C96" s="584" t="s">
        <v>1165</v>
      </c>
      <c r="D96" s="584" t="s">
        <v>161</v>
      </c>
      <c r="E96" s="584" t="s">
        <v>1166</v>
      </c>
      <c r="F96" s="584"/>
      <c r="G96" s="594"/>
      <c r="H96" s="584"/>
      <c r="I96" s="584"/>
      <c r="J96" s="585"/>
    </row>
    <row r="97" ht="17.6" spans="1:10">
      <c r="A97" s="598" t="s">
        <v>733</v>
      </c>
      <c r="B97" s="599" t="s">
        <v>1160</v>
      </c>
      <c r="C97" s="584" t="s">
        <v>1165</v>
      </c>
      <c r="D97" s="584" t="s">
        <v>161</v>
      </c>
      <c r="E97" s="584" t="s">
        <v>1167</v>
      </c>
      <c r="F97" s="584"/>
      <c r="G97" s="594"/>
      <c r="H97" s="584"/>
      <c r="I97" s="584"/>
      <c r="J97" s="585"/>
    </row>
    <row r="98" ht="17.6" spans="1:10">
      <c r="A98" s="598" t="s">
        <v>733</v>
      </c>
      <c r="B98" s="599" t="s">
        <v>1160</v>
      </c>
      <c r="C98" s="584" t="s">
        <v>1165</v>
      </c>
      <c r="D98" s="584" t="s">
        <v>161</v>
      </c>
      <c r="E98" s="584" t="s">
        <v>1168</v>
      </c>
      <c r="F98" s="584"/>
      <c r="G98" s="594"/>
      <c r="H98" s="584"/>
      <c r="I98" s="584"/>
      <c r="J98" s="585"/>
    </row>
    <row r="99" ht="17.6" spans="1:10">
      <c r="A99" s="598" t="s">
        <v>733</v>
      </c>
      <c r="B99" s="599" t="s">
        <v>1160</v>
      </c>
      <c r="C99" s="584" t="s">
        <v>1165</v>
      </c>
      <c r="D99" s="584" t="s">
        <v>161</v>
      </c>
      <c r="E99" s="584" t="s">
        <v>1169</v>
      </c>
      <c r="F99" s="584"/>
      <c r="G99" s="594"/>
      <c r="H99" s="584"/>
      <c r="I99" s="584"/>
      <c r="J99" s="585"/>
    </row>
    <row r="100" ht="17.6" spans="1:10">
      <c r="A100" s="598" t="s">
        <v>733</v>
      </c>
      <c r="B100" s="599" t="s">
        <v>1160</v>
      </c>
      <c r="C100" s="584" t="s">
        <v>1165</v>
      </c>
      <c r="D100" s="584" t="s">
        <v>161</v>
      </c>
      <c r="E100" s="584" t="s">
        <v>1170</v>
      </c>
      <c r="F100" s="584"/>
      <c r="G100" s="594"/>
      <c r="H100" s="584"/>
      <c r="I100" s="584"/>
      <c r="J100" s="585"/>
    </row>
    <row r="101" ht="17.6" spans="1:10">
      <c r="A101" s="598" t="s">
        <v>733</v>
      </c>
      <c r="B101" s="599" t="s">
        <v>1160</v>
      </c>
      <c r="C101" s="584" t="s">
        <v>1165</v>
      </c>
      <c r="D101" s="584" t="s">
        <v>161</v>
      </c>
      <c r="E101" s="584" t="s">
        <v>735</v>
      </c>
      <c r="F101" s="584"/>
      <c r="G101" s="594"/>
      <c r="H101" s="584"/>
      <c r="I101" s="584"/>
      <c r="J101" s="585"/>
    </row>
    <row r="102" ht="17.6" spans="1:10">
      <c r="A102" s="598" t="s">
        <v>733</v>
      </c>
      <c r="B102" s="599" t="s">
        <v>1160</v>
      </c>
      <c r="C102" s="584" t="s">
        <v>1171</v>
      </c>
      <c r="D102" s="584" t="s">
        <v>161</v>
      </c>
      <c r="E102" s="584" t="s">
        <v>1172</v>
      </c>
      <c r="F102" s="584"/>
      <c r="G102" s="594"/>
      <c r="H102" s="584"/>
      <c r="I102" s="584"/>
      <c r="J102" s="585"/>
    </row>
    <row r="103" ht="17.6" spans="1:10">
      <c r="A103" s="598" t="s">
        <v>733</v>
      </c>
      <c r="B103" s="599" t="s">
        <v>1160</v>
      </c>
      <c r="C103" s="584" t="s">
        <v>1171</v>
      </c>
      <c r="D103" s="584" t="s">
        <v>161</v>
      </c>
      <c r="E103" s="584" t="s">
        <v>1173</v>
      </c>
      <c r="F103" s="584"/>
      <c r="G103" s="594"/>
      <c r="H103" s="584"/>
      <c r="I103" s="584"/>
      <c r="J103" s="585"/>
    </row>
    <row r="104" ht="17.6" spans="1:10">
      <c r="A104" s="598" t="s">
        <v>733</v>
      </c>
      <c r="B104" s="599" t="s">
        <v>1160</v>
      </c>
      <c r="C104" s="584" t="s">
        <v>1171</v>
      </c>
      <c r="D104" s="584" t="s">
        <v>161</v>
      </c>
      <c r="E104" s="584" t="s">
        <v>1174</v>
      </c>
      <c r="F104" s="584"/>
      <c r="G104" s="594"/>
      <c r="H104" s="584"/>
      <c r="I104" s="584"/>
      <c r="J104" s="585"/>
    </row>
    <row r="105" ht="17.6" spans="1:10">
      <c r="A105" s="598" t="s">
        <v>733</v>
      </c>
      <c r="B105" s="599" t="s">
        <v>1160</v>
      </c>
      <c r="C105" s="584" t="s">
        <v>1171</v>
      </c>
      <c r="D105" s="584" t="s">
        <v>161</v>
      </c>
      <c r="E105" s="584" t="s">
        <v>1175</v>
      </c>
      <c r="F105" s="584"/>
      <c r="G105" s="594"/>
      <c r="H105" s="584"/>
      <c r="I105" s="584"/>
      <c r="J105" s="585"/>
    </row>
    <row r="106" ht="17.6" spans="1:10">
      <c r="A106" s="598" t="s">
        <v>733</v>
      </c>
      <c r="B106" s="599" t="s">
        <v>1160</v>
      </c>
      <c r="C106" s="584" t="s">
        <v>1171</v>
      </c>
      <c r="D106" s="584" t="s">
        <v>161</v>
      </c>
      <c r="E106" s="584" t="s">
        <v>1176</v>
      </c>
      <c r="F106" s="584"/>
      <c r="G106" s="594"/>
      <c r="H106" s="584"/>
      <c r="I106" s="584"/>
      <c r="J106" s="585"/>
    </row>
    <row r="107" ht="17.6" spans="1:10">
      <c r="A107" s="598" t="s">
        <v>733</v>
      </c>
      <c r="B107" s="599" t="s">
        <v>1160</v>
      </c>
      <c r="C107" s="584" t="s">
        <v>1171</v>
      </c>
      <c r="D107" s="584" t="s">
        <v>161</v>
      </c>
      <c r="E107" s="584" t="s">
        <v>1177</v>
      </c>
      <c r="F107" s="584"/>
      <c r="G107" s="594"/>
      <c r="H107" s="584"/>
      <c r="I107" s="584"/>
      <c r="J107" s="585"/>
    </row>
    <row r="108" ht="17.6" spans="1:10">
      <c r="A108" s="598" t="s">
        <v>733</v>
      </c>
      <c r="B108" s="599" t="s">
        <v>1160</v>
      </c>
      <c r="C108" s="584" t="s">
        <v>1178</v>
      </c>
      <c r="D108" s="584" t="s">
        <v>161</v>
      </c>
      <c r="E108" s="584" t="s">
        <v>1179</v>
      </c>
      <c r="F108" s="584"/>
      <c r="G108" s="594"/>
      <c r="H108" s="584"/>
      <c r="I108" s="584"/>
      <c r="J108" s="585"/>
    </row>
    <row r="109" ht="17.6" spans="1:10">
      <c r="A109" s="598" t="s">
        <v>733</v>
      </c>
      <c r="B109" s="599" t="s">
        <v>1160</v>
      </c>
      <c r="C109" s="584" t="s">
        <v>1178</v>
      </c>
      <c r="D109" s="584" t="s">
        <v>161</v>
      </c>
      <c r="E109" s="584" t="s">
        <v>1180</v>
      </c>
      <c r="F109" s="584"/>
      <c r="G109" s="594"/>
      <c r="H109" s="584"/>
      <c r="I109" s="584"/>
      <c r="J109" s="585"/>
    </row>
    <row r="110" ht="17.6" spans="1:10">
      <c r="A110" s="598" t="s">
        <v>733</v>
      </c>
      <c r="B110" s="599" t="s">
        <v>1160</v>
      </c>
      <c r="C110" s="584" t="s">
        <v>1178</v>
      </c>
      <c r="D110" s="584" t="s">
        <v>161</v>
      </c>
      <c r="E110" s="584" t="s">
        <v>1181</v>
      </c>
      <c r="F110" s="584"/>
      <c r="G110" s="594"/>
      <c r="H110" s="584"/>
      <c r="I110" s="584"/>
      <c r="J110" s="585"/>
    </row>
    <row r="111" ht="17.6" spans="1:10">
      <c r="A111" s="598" t="s">
        <v>733</v>
      </c>
      <c r="B111" s="599" t="s">
        <v>1160</v>
      </c>
      <c r="C111" s="584" t="s">
        <v>1158</v>
      </c>
      <c r="D111" s="584" t="s">
        <v>161</v>
      </c>
      <c r="E111" s="584" t="s">
        <v>1182</v>
      </c>
      <c r="F111" s="584"/>
      <c r="G111" s="594"/>
      <c r="H111" s="584"/>
      <c r="I111" s="584"/>
      <c r="J111" s="585"/>
    </row>
    <row r="112" ht="17.6" spans="1:10">
      <c r="A112" s="598" t="s">
        <v>778</v>
      </c>
      <c r="B112" s="599" t="s">
        <v>1053</v>
      </c>
      <c r="C112" s="584" t="s">
        <v>1054</v>
      </c>
      <c r="D112" s="584" t="s">
        <v>185</v>
      </c>
      <c r="E112" s="584" t="s">
        <v>1183</v>
      </c>
      <c r="F112" s="584"/>
      <c r="G112" s="594"/>
      <c r="H112" s="584"/>
      <c r="I112" s="584"/>
      <c r="J112" s="585"/>
    </row>
    <row r="113" ht="17.6" spans="1:10">
      <c r="A113" s="598" t="s">
        <v>778</v>
      </c>
      <c r="B113" s="599" t="s">
        <v>1160</v>
      </c>
      <c r="C113" s="584" t="s">
        <v>1161</v>
      </c>
      <c r="D113" s="584" t="s">
        <v>161</v>
      </c>
      <c r="E113" s="584" t="s">
        <v>1184</v>
      </c>
      <c r="F113" s="584"/>
      <c r="G113" s="594"/>
      <c r="H113" s="584"/>
      <c r="I113" s="584"/>
      <c r="J113" s="585"/>
    </row>
    <row r="114" ht="17.6" spans="1:10">
      <c r="A114" s="598" t="s">
        <v>778</v>
      </c>
      <c r="B114" s="599" t="s">
        <v>1160</v>
      </c>
      <c r="C114" s="584" t="s">
        <v>1185</v>
      </c>
      <c r="D114" s="584" t="s">
        <v>185</v>
      </c>
      <c r="E114" s="584" t="s">
        <v>1186</v>
      </c>
      <c r="F114" s="584"/>
      <c r="G114" s="594"/>
      <c r="H114" s="584"/>
      <c r="I114" s="584"/>
      <c r="J114" s="585"/>
    </row>
    <row r="115" ht="17.6" spans="1:10">
      <c r="A115" s="598" t="s">
        <v>778</v>
      </c>
      <c r="B115" s="599" t="s">
        <v>1160</v>
      </c>
      <c r="C115" s="584" t="s">
        <v>1165</v>
      </c>
      <c r="D115" s="584" t="s">
        <v>185</v>
      </c>
      <c r="E115" s="584" t="s">
        <v>1187</v>
      </c>
      <c r="F115" s="584"/>
      <c r="G115" s="594"/>
      <c r="H115" s="584"/>
      <c r="I115" s="584"/>
      <c r="J115" s="585"/>
    </row>
    <row r="116" ht="17.6" spans="1:10">
      <c r="A116" s="598" t="s">
        <v>778</v>
      </c>
      <c r="B116" s="599" t="s">
        <v>1160</v>
      </c>
      <c r="C116" s="584" t="s">
        <v>1165</v>
      </c>
      <c r="D116" s="584" t="s">
        <v>185</v>
      </c>
      <c r="E116" s="584" t="s">
        <v>1188</v>
      </c>
      <c r="F116" s="584"/>
      <c r="G116" s="594"/>
      <c r="H116" s="584"/>
      <c r="I116" s="584"/>
      <c r="J116" s="585"/>
    </row>
    <row r="117" ht="17.6" spans="1:10">
      <c r="A117" s="598" t="s">
        <v>778</v>
      </c>
      <c r="B117" s="599" t="s">
        <v>1160</v>
      </c>
      <c r="C117" s="584" t="s">
        <v>1165</v>
      </c>
      <c r="D117" s="584" t="s">
        <v>185</v>
      </c>
      <c r="E117" s="584" t="s">
        <v>1189</v>
      </c>
      <c r="F117" s="584"/>
      <c r="G117" s="594"/>
      <c r="H117" s="584"/>
      <c r="I117" s="584"/>
      <c r="J117" s="585"/>
    </row>
    <row r="118" ht="17.6" spans="1:10">
      <c r="A118" s="598" t="s">
        <v>778</v>
      </c>
      <c r="B118" s="599" t="s">
        <v>1160</v>
      </c>
      <c r="C118" s="584" t="s">
        <v>1165</v>
      </c>
      <c r="D118" s="584" t="s">
        <v>185</v>
      </c>
      <c r="E118" s="584" t="s">
        <v>1190</v>
      </c>
      <c r="F118" s="584"/>
      <c r="G118" s="594"/>
      <c r="H118" s="584"/>
      <c r="I118" s="584"/>
      <c r="J118" s="585"/>
    </row>
    <row r="119" ht="17.6" spans="1:10">
      <c r="A119" s="598" t="s">
        <v>778</v>
      </c>
      <c r="B119" s="599" t="s">
        <v>1160</v>
      </c>
      <c r="C119" s="584" t="s">
        <v>1171</v>
      </c>
      <c r="D119" s="584" t="s">
        <v>185</v>
      </c>
      <c r="E119" s="584" t="s">
        <v>1191</v>
      </c>
      <c r="F119" s="584"/>
      <c r="G119" s="594"/>
      <c r="H119" s="584"/>
      <c r="I119" s="584"/>
      <c r="J119" s="585"/>
    </row>
    <row r="120" ht="17.6" spans="1:10">
      <c r="A120" s="598" t="s">
        <v>778</v>
      </c>
      <c r="B120" s="599" t="s">
        <v>1160</v>
      </c>
      <c r="C120" s="584" t="s">
        <v>1171</v>
      </c>
      <c r="D120" s="584" t="s">
        <v>185</v>
      </c>
      <c r="E120" s="584" t="s">
        <v>1192</v>
      </c>
      <c r="F120" s="584"/>
      <c r="G120" s="594"/>
      <c r="H120" s="584"/>
      <c r="I120" s="584"/>
      <c r="J120" s="585"/>
    </row>
    <row r="121" ht="17.6" spans="1:10">
      <c r="A121" s="598" t="s">
        <v>778</v>
      </c>
      <c r="B121" s="599" t="s">
        <v>1053</v>
      </c>
      <c r="C121" s="584" t="s">
        <v>1054</v>
      </c>
      <c r="D121" s="584" t="s">
        <v>161</v>
      </c>
      <c r="E121" s="584" t="s">
        <v>1193</v>
      </c>
      <c r="F121" s="584" t="s">
        <v>1194</v>
      </c>
      <c r="G121" s="594"/>
      <c r="H121" s="584"/>
      <c r="I121" s="584"/>
      <c r="J121" s="585"/>
    </row>
    <row r="122" ht="17.6" spans="1:10">
      <c r="A122" s="598" t="s">
        <v>778</v>
      </c>
      <c r="B122" s="599" t="s">
        <v>1053</v>
      </c>
      <c r="C122" s="584" t="s">
        <v>1054</v>
      </c>
      <c r="D122" s="584" t="s">
        <v>161</v>
      </c>
      <c r="E122" s="584" t="s">
        <v>1195</v>
      </c>
      <c r="F122" s="584" t="s">
        <v>1196</v>
      </c>
      <c r="G122" s="594"/>
      <c r="H122" s="584"/>
      <c r="I122" s="584"/>
      <c r="J122" s="585"/>
    </row>
    <row r="123" ht="17.6" spans="1:10">
      <c r="A123" s="598" t="s">
        <v>778</v>
      </c>
      <c r="B123" s="599" t="s">
        <v>1053</v>
      </c>
      <c r="C123" s="584" t="s">
        <v>1054</v>
      </c>
      <c r="D123" s="584" t="s">
        <v>161</v>
      </c>
      <c r="E123" s="584" t="s">
        <v>1197</v>
      </c>
      <c r="F123" s="584" t="s">
        <v>1198</v>
      </c>
      <c r="G123" s="594"/>
      <c r="H123" s="584"/>
      <c r="I123" s="584"/>
      <c r="J123" s="585"/>
    </row>
    <row r="124" ht="17.6" spans="1:10">
      <c r="A124" s="598" t="s">
        <v>778</v>
      </c>
      <c r="B124" s="599" t="s">
        <v>1053</v>
      </c>
      <c r="C124" s="584" t="s">
        <v>1054</v>
      </c>
      <c r="D124" s="584" t="s">
        <v>161</v>
      </c>
      <c r="E124" s="584" t="s">
        <v>1199</v>
      </c>
      <c r="F124" s="584" t="s">
        <v>1200</v>
      </c>
      <c r="G124" s="594"/>
      <c r="H124" s="584"/>
      <c r="I124" s="584"/>
      <c r="J124" s="585"/>
    </row>
    <row r="125" ht="17.6" spans="1:10">
      <c r="A125" s="598" t="s">
        <v>778</v>
      </c>
      <c r="B125" s="599" t="s">
        <v>1053</v>
      </c>
      <c r="C125" s="584" t="s">
        <v>1054</v>
      </c>
      <c r="D125" s="584" t="s">
        <v>161</v>
      </c>
      <c r="E125" s="584" t="s">
        <v>1201</v>
      </c>
      <c r="F125" s="584" t="s">
        <v>1202</v>
      </c>
      <c r="G125" s="594"/>
      <c r="H125" s="584"/>
      <c r="I125" s="584"/>
      <c r="J125" s="585"/>
    </row>
    <row r="126" ht="17.6" spans="1:10">
      <c r="A126" s="598" t="s">
        <v>778</v>
      </c>
      <c r="B126" s="599" t="s">
        <v>1053</v>
      </c>
      <c r="C126" s="584" t="s">
        <v>1054</v>
      </c>
      <c r="D126" s="584" t="s">
        <v>161</v>
      </c>
      <c r="E126" s="584" t="s">
        <v>1203</v>
      </c>
      <c r="F126" s="584" t="s">
        <v>1204</v>
      </c>
      <c r="G126" s="594"/>
      <c r="H126" s="584"/>
      <c r="I126" s="584"/>
      <c r="J126" s="585"/>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8"/>
  <sheetViews>
    <sheetView workbookViewId="0">
      <selection activeCell="A1" sqref="A1"/>
    </sheetView>
  </sheetViews>
  <sheetFormatPr defaultColWidth="9" defaultRowHeight="16.8"/>
  <cols>
    <col min="1" max="1" width="5.33653846153846" customWidth="1"/>
    <col min="2" max="2" width="16.8846153846154" customWidth="1"/>
    <col min="3" max="3" width="11.1153846153846" customWidth="1"/>
    <col min="4" max="4" width="19" customWidth="1"/>
    <col min="5" max="5" width="18.4423076923077" customWidth="1"/>
    <col min="6" max="6" width="8.66346153846154" customWidth="1"/>
    <col min="7" max="7" width="0.115384615384615" customWidth="1"/>
    <col min="8" max="8" width="10.3365384615385" customWidth="1"/>
    <col min="9" max="9" width="9.88461538461538" customWidth="1"/>
    <col min="10" max="10" width="9.44230769230769" customWidth="1"/>
    <col min="11" max="11" width="10.3365384615385" customWidth="1"/>
  </cols>
  <sheetData>
    <row r="1" spans="1:9">
      <c r="A1" s="573" t="s">
        <v>303</v>
      </c>
      <c r="B1" s="452" t="s">
        <v>1205</v>
      </c>
      <c r="C1" s="574" t="s">
        <v>653</v>
      </c>
      <c r="D1" s="452" t="s">
        <v>643</v>
      </c>
      <c r="E1" s="452" t="s">
        <v>636</v>
      </c>
      <c r="F1" s="452" t="s">
        <v>11</v>
      </c>
      <c r="G1" s="452"/>
      <c r="H1" s="452" t="s">
        <v>1206</v>
      </c>
    </row>
    <row r="2" spans="1:9">
      <c r="A2" s="575"/>
      <c r="B2" s="433" t="s">
        <v>1207</v>
      </c>
      <c r="C2" s="433" t="s">
        <v>863</v>
      </c>
      <c r="D2" s="433" t="s">
        <v>1208</v>
      </c>
      <c r="E2" s="433" t="s">
        <v>1209</v>
      </c>
      <c r="F2" s="433" t="s">
        <v>257</v>
      </c>
      <c r="H2" s="433" t="s">
        <v>771</v>
      </c>
      <c r="I2" s="433"/>
    </row>
    <row r="3" spans="1:9">
      <c r="A3" s="576"/>
      <c r="B3" s="433" t="s">
        <v>1210</v>
      </c>
      <c r="C3" s="433" t="s">
        <v>1211</v>
      </c>
      <c r="D3" s="433" t="s">
        <v>1212</v>
      </c>
      <c r="E3" s="433" t="s">
        <v>1213</v>
      </c>
      <c r="F3" s="433" t="s">
        <v>230</v>
      </c>
      <c r="H3" s="433" t="s">
        <v>771</v>
      </c>
      <c r="I3" s="433"/>
    </row>
    <row r="4" spans="1:9">
      <c r="A4" s="576"/>
      <c r="B4" s="433" t="s">
        <v>1210</v>
      </c>
      <c r="C4" s="433" t="s">
        <v>1211</v>
      </c>
      <c r="D4" s="433" t="s">
        <v>1214</v>
      </c>
      <c r="E4" s="433" t="s">
        <v>1215</v>
      </c>
      <c r="F4" s="433" t="s">
        <v>231</v>
      </c>
      <c r="H4" s="433" t="s">
        <v>1216</v>
      </c>
      <c r="I4" s="433"/>
    </row>
    <row r="5" spans="1:9">
      <c r="A5" s="576"/>
      <c r="B5" s="433" t="s">
        <v>1217</v>
      </c>
      <c r="C5" s="433" t="s">
        <v>1211</v>
      </c>
      <c r="D5" s="433" t="s">
        <v>1218</v>
      </c>
      <c r="E5" s="433" t="s">
        <v>1219</v>
      </c>
      <c r="F5" s="433" t="s">
        <v>251</v>
      </c>
      <c r="H5" s="433" t="s">
        <v>1216</v>
      </c>
      <c r="I5" s="433"/>
    </row>
    <row r="6" spans="1:9">
      <c r="A6" s="576"/>
      <c r="B6" s="433" t="s">
        <v>1210</v>
      </c>
      <c r="C6" s="433" t="s">
        <v>671</v>
      </c>
      <c r="D6" s="433" t="s">
        <v>1220</v>
      </c>
      <c r="E6" s="433" t="s">
        <v>1221</v>
      </c>
      <c r="F6" s="433" t="s">
        <v>231</v>
      </c>
      <c r="H6" s="433" t="s">
        <v>1216</v>
      </c>
      <c r="I6" s="433"/>
    </row>
    <row r="7" spans="1:9">
      <c r="A7" s="576"/>
      <c r="B7" s="433" t="s">
        <v>1210</v>
      </c>
      <c r="C7" s="433" t="s">
        <v>946</v>
      </c>
      <c r="D7" s="433" t="s">
        <v>1222</v>
      </c>
      <c r="E7" s="433" t="s">
        <v>1223</v>
      </c>
      <c r="F7" s="433" t="s">
        <v>230</v>
      </c>
      <c r="H7" s="433" t="s">
        <v>1216</v>
      </c>
      <c r="I7" s="433"/>
    </row>
    <row r="8" spans="1:9">
      <c r="A8" s="576"/>
      <c r="B8" s="433" t="s">
        <v>1207</v>
      </c>
      <c r="C8" s="433" t="s">
        <v>863</v>
      </c>
      <c r="D8" s="433" t="s">
        <v>1224</v>
      </c>
      <c r="E8" s="433" t="s">
        <v>1225</v>
      </c>
      <c r="F8" s="433" t="s">
        <v>260</v>
      </c>
      <c r="H8" s="433" t="s">
        <v>1226</v>
      </c>
      <c r="I8" s="433"/>
    </row>
    <row r="9" spans="1:9">
      <c r="A9" s="576"/>
      <c r="B9" s="433" t="s">
        <v>1207</v>
      </c>
      <c r="C9" s="433" t="s">
        <v>663</v>
      </c>
      <c r="D9" s="433" t="s">
        <v>1227</v>
      </c>
      <c r="E9" s="433" t="s">
        <v>1228</v>
      </c>
      <c r="F9" s="433" t="s">
        <v>257</v>
      </c>
      <c r="H9" s="433" t="s">
        <v>1226</v>
      </c>
      <c r="I9" s="433"/>
    </row>
    <row r="10" spans="1:9">
      <c r="A10" s="576"/>
      <c r="B10" s="433" t="s">
        <v>1207</v>
      </c>
      <c r="C10" s="433" t="s">
        <v>663</v>
      </c>
      <c r="D10" s="433" t="s">
        <v>1229</v>
      </c>
      <c r="E10" s="433" t="s">
        <v>1230</v>
      </c>
      <c r="F10" s="433" t="s">
        <v>260</v>
      </c>
      <c r="H10" s="433" t="s">
        <v>1226</v>
      </c>
      <c r="I10" s="433"/>
    </row>
    <row r="11" spans="1:9">
      <c r="A11" s="576"/>
      <c r="B11" s="433" t="s">
        <v>1210</v>
      </c>
      <c r="C11" s="433" t="s">
        <v>1211</v>
      </c>
      <c r="D11" s="433" t="s">
        <v>1231</v>
      </c>
      <c r="E11" s="433" t="s">
        <v>1232</v>
      </c>
      <c r="F11" s="433" t="s">
        <v>232</v>
      </c>
      <c r="H11" s="433" t="s">
        <v>1226</v>
      </c>
      <c r="I11" s="433"/>
    </row>
    <row r="12" spans="1:9">
      <c r="A12" s="576"/>
      <c r="B12" s="433" t="s">
        <v>1217</v>
      </c>
      <c r="C12" s="433" t="s">
        <v>1211</v>
      </c>
      <c r="D12" s="433" t="s">
        <v>1233</v>
      </c>
      <c r="E12" s="433" t="s">
        <v>1234</v>
      </c>
      <c r="F12" s="433" t="s">
        <v>250</v>
      </c>
      <c r="H12" s="433" t="s">
        <v>1235</v>
      </c>
      <c r="I12" s="433"/>
    </row>
    <row r="13" spans="1:9">
      <c r="A13" s="576"/>
      <c r="B13" s="433" t="s">
        <v>1236</v>
      </c>
      <c r="C13" s="433" t="s">
        <v>1237</v>
      </c>
      <c r="D13" s="433" t="s">
        <v>1238</v>
      </c>
      <c r="E13" s="433" t="s">
        <v>1239</v>
      </c>
      <c r="F13" s="433" t="s">
        <v>241</v>
      </c>
      <c r="H13" s="433" t="s">
        <v>1235</v>
      </c>
      <c r="I13" s="433"/>
    </row>
    <row r="14" spans="1:9">
      <c r="A14" s="576"/>
      <c r="B14" s="433" t="s">
        <v>1210</v>
      </c>
      <c r="C14" s="433" t="s">
        <v>1211</v>
      </c>
      <c r="D14" s="433" t="s">
        <v>1240</v>
      </c>
      <c r="E14" s="433" t="s">
        <v>1241</v>
      </c>
      <c r="F14" s="433" t="s">
        <v>230</v>
      </c>
      <c r="H14" s="433" t="s">
        <v>1235</v>
      </c>
      <c r="I14" s="433"/>
    </row>
    <row r="15" spans="1:9">
      <c r="A15" s="576"/>
      <c r="B15" s="433" t="s">
        <v>1207</v>
      </c>
      <c r="C15" s="433" t="s">
        <v>946</v>
      </c>
      <c r="D15" s="433" t="s">
        <v>1242</v>
      </c>
      <c r="E15" s="433" t="s">
        <v>1243</v>
      </c>
      <c r="F15" s="433" t="s">
        <v>257</v>
      </c>
      <c r="H15" s="433" t="s">
        <v>1235</v>
      </c>
      <c r="I15" s="433"/>
    </row>
    <row r="16" spans="1:9">
      <c r="A16" s="576"/>
      <c r="B16" s="433" t="s">
        <v>1210</v>
      </c>
      <c r="C16" s="433" t="s">
        <v>863</v>
      </c>
      <c r="D16" s="433" t="s">
        <v>1244</v>
      </c>
      <c r="E16" s="433" t="s">
        <v>1245</v>
      </c>
      <c r="F16" s="433" t="s">
        <v>231</v>
      </c>
      <c r="H16" s="433" t="s">
        <v>1235</v>
      </c>
      <c r="I16" s="433"/>
    </row>
    <row r="17" spans="1:9">
      <c r="A17" s="576"/>
      <c r="B17" s="433" t="s">
        <v>1207</v>
      </c>
      <c r="C17" s="433" t="s">
        <v>863</v>
      </c>
      <c r="D17" s="433" t="s">
        <v>1246</v>
      </c>
      <c r="E17" s="433" t="s">
        <v>1247</v>
      </c>
      <c r="F17" s="433" t="s">
        <v>257</v>
      </c>
      <c r="H17" s="433" t="s">
        <v>1235</v>
      </c>
      <c r="I17" s="433"/>
    </row>
    <row r="18" spans="1:9">
      <c r="A18" s="576"/>
      <c r="B18" s="433" t="s">
        <v>1207</v>
      </c>
      <c r="C18" s="433" t="s">
        <v>663</v>
      </c>
      <c r="D18" s="433" t="s">
        <v>1248</v>
      </c>
      <c r="E18" s="433" t="s">
        <v>1249</v>
      </c>
      <c r="F18" s="433" t="s">
        <v>260</v>
      </c>
      <c r="H18" s="433" t="s">
        <v>1235</v>
      </c>
      <c r="I18" s="433"/>
    </row>
    <row r="19" spans="1:9">
      <c r="A19" s="576"/>
      <c r="B19" s="433" t="s">
        <v>1207</v>
      </c>
      <c r="C19" s="433" t="s">
        <v>663</v>
      </c>
      <c r="D19" s="433" t="s">
        <v>1250</v>
      </c>
      <c r="E19" s="433" t="s">
        <v>1251</v>
      </c>
      <c r="F19" s="433" t="s">
        <v>259</v>
      </c>
      <c r="H19" s="433" t="s">
        <v>1235</v>
      </c>
      <c r="I19" s="433"/>
    </row>
    <row r="20" spans="1:9">
      <c r="A20" s="576"/>
      <c r="B20" s="433" t="s">
        <v>1207</v>
      </c>
      <c r="C20" s="433" t="s">
        <v>663</v>
      </c>
      <c r="D20" s="433" t="s">
        <v>668</v>
      </c>
      <c r="E20" s="433" t="s">
        <v>661</v>
      </c>
      <c r="F20" s="433" t="s">
        <v>259</v>
      </c>
      <c r="H20" s="433" t="s">
        <v>1252</v>
      </c>
      <c r="I20" s="433"/>
    </row>
    <row r="21" spans="1:9">
      <c r="A21" s="576"/>
      <c r="B21" s="433" t="s">
        <v>1253</v>
      </c>
      <c r="C21" s="433" t="s">
        <v>979</v>
      </c>
      <c r="D21" s="433" t="s">
        <v>1254</v>
      </c>
      <c r="E21" s="433" t="s">
        <v>1255</v>
      </c>
      <c r="F21" s="433" t="s">
        <v>237</v>
      </c>
      <c r="H21" s="433" t="s">
        <v>1252</v>
      </c>
      <c r="I21" s="433"/>
    </row>
    <row r="22" spans="1:9">
      <c r="A22" s="576"/>
      <c r="B22" s="433" t="s">
        <v>1217</v>
      </c>
      <c r="C22" s="433" t="s">
        <v>1211</v>
      </c>
      <c r="D22" s="433" t="s">
        <v>1256</v>
      </c>
      <c r="E22" s="433" t="s">
        <v>1257</v>
      </c>
      <c r="F22" s="433" t="s">
        <v>251</v>
      </c>
      <c r="H22" s="433" t="s">
        <v>1252</v>
      </c>
      <c r="I22" s="433"/>
    </row>
    <row r="23" spans="1:9">
      <c r="A23" s="576"/>
      <c r="B23" s="433" t="s">
        <v>1236</v>
      </c>
      <c r="C23" s="433" t="s">
        <v>1211</v>
      </c>
      <c r="D23" s="433" t="s">
        <v>1258</v>
      </c>
      <c r="E23" s="433" t="s">
        <v>1259</v>
      </c>
      <c r="F23" s="433" t="s">
        <v>243</v>
      </c>
      <c r="H23" s="433" t="s">
        <v>1252</v>
      </c>
      <c r="I23" s="433"/>
    </row>
    <row r="24" spans="1:9">
      <c r="A24" s="576"/>
      <c r="B24" s="433" t="s">
        <v>1217</v>
      </c>
      <c r="C24" s="433" t="s">
        <v>1211</v>
      </c>
      <c r="D24" s="433" t="s">
        <v>1260</v>
      </c>
      <c r="E24" s="433" t="s">
        <v>1261</v>
      </c>
      <c r="F24" s="433" t="s">
        <v>252</v>
      </c>
      <c r="H24" s="433" t="s">
        <v>1252</v>
      </c>
      <c r="I24" s="433"/>
    </row>
    <row r="25" spans="1:9">
      <c r="A25" s="576"/>
      <c r="B25" s="433" t="s">
        <v>1217</v>
      </c>
      <c r="C25" s="433" t="s">
        <v>1211</v>
      </c>
      <c r="D25" s="433" t="s">
        <v>1262</v>
      </c>
      <c r="E25" s="433" t="s">
        <v>1263</v>
      </c>
      <c r="F25" s="433" t="s">
        <v>251</v>
      </c>
      <c r="H25" s="433" t="s">
        <v>1252</v>
      </c>
      <c r="I25" s="433"/>
    </row>
    <row r="26" spans="1:9">
      <c r="A26" s="576"/>
      <c r="B26" s="433" t="s">
        <v>1210</v>
      </c>
      <c r="C26" s="433" t="s">
        <v>1211</v>
      </c>
      <c r="D26" s="433" t="s">
        <v>1264</v>
      </c>
      <c r="E26" s="433" t="s">
        <v>1265</v>
      </c>
      <c r="F26" s="433" t="s">
        <v>232</v>
      </c>
      <c r="H26" s="433" t="s">
        <v>1252</v>
      </c>
      <c r="I26" s="433"/>
    </row>
    <row r="27" spans="1:9">
      <c r="A27" s="576"/>
      <c r="B27" s="433" t="s">
        <v>1266</v>
      </c>
      <c r="C27" s="433" t="s">
        <v>1211</v>
      </c>
      <c r="D27" s="433" t="s">
        <v>1267</v>
      </c>
      <c r="E27" s="433" t="s">
        <v>1268</v>
      </c>
      <c r="F27" s="433" t="s">
        <v>265</v>
      </c>
      <c r="H27" s="433" t="s">
        <v>1252</v>
      </c>
      <c r="I27" s="433"/>
    </row>
    <row r="28" spans="1:9">
      <c r="A28" s="576"/>
      <c r="B28" s="433" t="s">
        <v>1210</v>
      </c>
      <c r="C28" s="433" t="s">
        <v>946</v>
      </c>
      <c r="D28" s="433" t="s">
        <v>1269</v>
      </c>
      <c r="E28" s="433" t="s">
        <v>1270</v>
      </c>
      <c r="F28" s="433" t="s">
        <v>231</v>
      </c>
      <c r="H28" s="433" t="s">
        <v>1252</v>
      </c>
      <c r="I28" s="433"/>
    </row>
    <row r="29" spans="1:9">
      <c r="A29" s="576"/>
      <c r="B29" s="433" t="s">
        <v>1266</v>
      </c>
      <c r="C29" s="433" t="s">
        <v>960</v>
      </c>
      <c r="D29" s="433" t="s">
        <v>1271</v>
      </c>
      <c r="E29" s="433" t="s">
        <v>1272</v>
      </c>
      <c r="F29" s="433" t="s">
        <v>266</v>
      </c>
      <c r="H29" s="433" t="s">
        <v>1252</v>
      </c>
      <c r="I29" s="433"/>
    </row>
    <row r="30" spans="1:9">
      <c r="A30" s="576"/>
      <c r="B30" s="433" t="s">
        <v>1207</v>
      </c>
      <c r="C30" s="433" t="s">
        <v>1211</v>
      </c>
      <c r="D30" s="577" t="s">
        <v>1273</v>
      </c>
      <c r="E30" s="433" t="s">
        <v>1274</v>
      </c>
      <c r="F30" s="433" t="s">
        <v>259</v>
      </c>
      <c r="H30" s="433" t="s">
        <v>1252</v>
      </c>
      <c r="I30" s="433"/>
    </row>
    <row r="31" spans="1:9">
      <c r="A31" s="576"/>
      <c r="B31" s="433" t="s">
        <v>1236</v>
      </c>
      <c r="C31" s="433" t="s">
        <v>1211</v>
      </c>
      <c r="D31" s="577" t="s">
        <v>1275</v>
      </c>
      <c r="E31" s="433" t="s">
        <v>1276</v>
      </c>
      <c r="F31" s="433" t="s">
        <v>243</v>
      </c>
      <c r="H31" s="433" t="s">
        <v>1252</v>
      </c>
      <c r="I31" s="433"/>
    </row>
    <row r="32" spans="1:9">
      <c r="A32" s="576"/>
      <c r="B32" s="433" t="s">
        <v>1266</v>
      </c>
      <c r="C32" s="433" t="s">
        <v>863</v>
      </c>
      <c r="D32" s="433" t="s">
        <v>1277</v>
      </c>
      <c r="E32" s="433" t="s">
        <v>1278</v>
      </c>
      <c r="F32" s="433" t="s">
        <v>265</v>
      </c>
      <c r="H32" s="433" t="s">
        <v>1252</v>
      </c>
      <c r="I32" s="433"/>
    </row>
    <row r="33" spans="1:9">
      <c r="A33" s="576"/>
      <c r="B33" s="433" t="s">
        <v>1210</v>
      </c>
      <c r="C33" s="433" t="s">
        <v>1211</v>
      </c>
      <c r="D33" s="433" t="s">
        <v>1279</v>
      </c>
      <c r="E33" s="433" t="s">
        <v>1280</v>
      </c>
      <c r="F33" s="433" t="s">
        <v>230</v>
      </c>
      <c r="H33" s="433" t="s">
        <v>1252</v>
      </c>
      <c r="I33" s="433"/>
    </row>
    <row r="34" spans="1:9">
      <c r="A34" s="576"/>
      <c r="B34" s="433" t="s">
        <v>1266</v>
      </c>
      <c r="C34" s="433" t="s">
        <v>863</v>
      </c>
      <c r="D34" s="433" t="s">
        <v>1281</v>
      </c>
      <c r="E34" s="433" t="s">
        <v>1282</v>
      </c>
      <c r="F34" s="433" t="s">
        <v>266</v>
      </c>
      <c r="H34" s="433" t="s">
        <v>1252</v>
      </c>
      <c r="I34" s="433"/>
    </row>
    <row r="35" spans="1:9">
      <c r="A35" s="576"/>
      <c r="B35" s="433" t="s">
        <v>1236</v>
      </c>
      <c r="C35" s="433" t="s">
        <v>671</v>
      </c>
      <c r="D35" s="433" t="s">
        <v>1283</v>
      </c>
      <c r="E35" s="433" t="s">
        <v>1284</v>
      </c>
      <c r="F35" s="433" t="s">
        <v>243</v>
      </c>
      <c r="H35" s="433" t="s">
        <v>1252</v>
      </c>
      <c r="I35" s="433"/>
    </row>
    <row r="36" spans="1:9">
      <c r="A36" s="576"/>
      <c r="B36" s="433" t="s">
        <v>1210</v>
      </c>
      <c r="C36" s="433" t="s">
        <v>671</v>
      </c>
      <c r="D36" s="433" t="s">
        <v>1285</v>
      </c>
      <c r="E36" s="433" t="s">
        <v>1286</v>
      </c>
      <c r="F36" s="433" t="s">
        <v>232</v>
      </c>
      <c r="H36" s="433" t="s">
        <v>1252</v>
      </c>
      <c r="I36" s="433"/>
    </row>
    <row r="37" spans="1:9">
      <c r="A37" s="576"/>
      <c r="B37" s="433" t="s">
        <v>1207</v>
      </c>
      <c r="C37" s="433" t="s">
        <v>1211</v>
      </c>
      <c r="D37" s="433" t="s">
        <v>1287</v>
      </c>
      <c r="E37" s="433" t="s">
        <v>1288</v>
      </c>
      <c r="F37" s="433" t="s">
        <v>256</v>
      </c>
      <c r="H37" s="433" t="s">
        <v>1252</v>
      </c>
      <c r="I37" s="433"/>
    </row>
    <row r="38" spans="1:9">
      <c r="A38" s="576"/>
      <c r="B38" s="433" t="s">
        <v>1266</v>
      </c>
      <c r="C38" s="433" t="s">
        <v>663</v>
      </c>
      <c r="D38" s="433" t="s">
        <v>1289</v>
      </c>
      <c r="E38" s="433" t="s">
        <v>1290</v>
      </c>
      <c r="F38" s="433" t="s">
        <v>265</v>
      </c>
      <c r="H38" s="433" t="s">
        <v>761</v>
      </c>
      <c r="I38" s="433"/>
    </row>
    <row r="39" spans="1:9">
      <c r="A39" s="576"/>
      <c r="B39" s="433" t="s">
        <v>1236</v>
      </c>
      <c r="C39" s="433" t="s">
        <v>1291</v>
      </c>
      <c r="D39" s="433" t="s">
        <v>1292</v>
      </c>
      <c r="E39" s="433" t="s">
        <v>1293</v>
      </c>
      <c r="F39" s="433" t="s">
        <v>242</v>
      </c>
      <c r="H39" s="433" t="s">
        <v>761</v>
      </c>
      <c r="I39" s="433"/>
    </row>
    <row r="40" spans="1:9">
      <c r="A40" s="576"/>
      <c r="B40" s="433" t="s">
        <v>1207</v>
      </c>
      <c r="C40" s="433" t="s">
        <v>663</v>
      </c>
      <c r="D40" s="433" t="s">
        <v>1294</v>
      </c>
      <c r="E40" s="433" t="s">
        <v>1295</v>
      </c>
      <c r="F40" s="433" t="s">
        <v>258</v>
      </c>
      <c r="H40" s="433" t="s">
        <v>761</v>
      </c>
      <c r="I40" s="433"/>
    </row>
    <row r="41" spans="1:9">
      <c r="A41" s="576"/>
      <c r="B41" s="433" t="s">
        <v>1207</v>
      </c>
      <c r="C41" s="433" t="s">
        <v>1237</v>
      </c>
      <c r="D41" s="433" t="s">
        <v>1296</v>
      </c>
      <c r="E41" s="433" t="s">
        <v>1297</v>
      </c>
      <c r="F41" s="433" t="s">
        <v>256</v>
      </c>
      <c r="H41" s="433" t="s">
        <v>761</v>
      </c>
      <c r="I41" s="433"/>
    </row>
    <row r="42" spans="1:9">
      <c r="A42" s="576"/>
      <c r="B42" s="433" t="s">
        <v>1207</v>
      </c>
      <c r="C42" s="433" t="s">
        <v>1211</v>
      </c>
      <c r="D42" s="433" t="s">
        <v>1298</v>
      </c>
      <c r="E42" s="433" t="s">
        <v>1299</v>
      </c>
      <c r="F42" s="433" t="s">
        <v>256</v>
      </c>
      <c r="H42" s="433" t="s">
        <v>761</v>
      </c>
      <c r="I42" s="433"/>
    </row>
    <row r="43" spans="1:9">
      <c r="A43" s="576"/>
      <c r="B43" s="433" t="s">
        <v>1207</v>
      </c>
      <c r="C43" s="433" t="s">
        <v>1211</v>
      </c>
      <c r="D43" s="433" t="s">
        <v>1300</v>
      </c>
      <c r="E43" s="433" t="s">
        <v>1301</v>
      </c>
      <c r="F43" s="433" t="s">
        <v>257</v>
      </c>
      <c r="H43" s="433" t="s">
        <v>761</v>
      </c>
      <c r="I43" s="433"/>
    </row>
    <row r="44" spans="1:9">
      <c r="A44" s="576"/>
      <c r="B44" s="433" t="s">
        <v>1236</v>
      </c>
      <c r="C44" s="433" t="s">
        <v>1211</v>
      </c>
      <c r="D44" s="433" t="s">
        <v>1302</v>
      </c>
      <c r="E44" s="433" t="s">
        <v>1303</v>
      </c>
      <c r="F44" s="433" t="s">
        <v>242</v>
      </c>
      <c r="H44" s="433" t="s">
        <v>761</v>
      </c>
      <c r="I44" s="433"/>
    </row>
    <row r="45" spans="1:9">
      <c r="A45" s="576"/>
      <c r="B45" s="433" t="s">
        <v>1236</v>
      </c>
      <c r="C45" s="433" t="s">
        <v>946</v>
      </c>
      <c r="D45" s="433" t="s">
        <v>1304</v>
      </c>
      <c r="E45" s="433" t="s">
        <v>1305</v>
      </c>
      <c r="F45" s="433" t="s">
        <v>242</v>
      </c>
      <c r="H45" s="433" t="s">
        <v>1306</v>
      </c>
      <c r="I45" s="433"/>
    </row>
    <row r="46" spans="1:9">
      <c r="A46" s="576"/>
      <c r="B46" s="433" t="s">
        <v>1217</v>
      </c>
      <c r="C46" s="433" t="s">
        <v>663</v>
      </c>
      <c r="D46" s="578" t="s">
        <v>1307</v>
      </c>
      <c r="E46" s="433" t="s">
        <v>1308</v>
      </c>
      <c r="F46" s="433" t="s">
        <v>251</v>
      </c>
      <c r="H46" s="433" t="s">
        <v>1306</v>
      </c>
      <c r="I46" s="433"/>
    </row>
    <row r="47" spans="1:9">
      <c r="A47" s="576"/>
      <c r="B47" s="433" t="s">
        <v>1217</v>
      </c>
      <c r="C47" s="433" t="s">
        <v>671</v>
      </c>
      <c r="D47" s="433" t="s">
        <v>674</v>
      </c>
      <c r="E47" s="433" t="s">
        <v>669</v>
      </c>
      <c r="F47" s="433" t="s">
        <v>250</v>
      </c>
      <c r="H47" s="433" t="s">
        <v>1306</v>
      </c>
      <c r="I47" s="433"/>
    </row>
    <row r="48" spans="1:9">
      <c r="A48" s="576"/>
      <c r="B48" s="433" t="s">
        <v>1266</v>
      </c>
      <c r="C48" s="433" t="s">
        <v>863</v>
      </c>
      <c r="D48" s="578" t="s">
        <v>1309</v>
      </c>
      <c r="E48" s="433" t="s">
        <v>1310</v>
      </c>
      <c r="F48" s="433" t="s">
        <v>266</v>
      </c>
      <c r="H48" s="433" t="s">
        <v>1306</v>
      </c>
      <c r="I48" s="433"/>
    </row>
    <row r="49" spans="1:10">
      <c r="A49" s="576"/>
      <c r="B49" s="433" t="s">
        <v>1217</v>
      </c>
      <c r="C49" s="433" t="s">
        <v>946</v>
      </c>
      <c r="D49" s="578" t="s">
        <v>1311</v>
      </c>
      <c r="E49" s="433" t="s">
        <v>1312</v>
      </c>
      <c r="F49" s="433" t="s">
        <v>250</v>
      </c>
      <c r="H49" s="433" t="s">
        <v>1306</v>
      </c>
      <c r="I49" s="433"/>
    </row>
    <row r="50" spans="1:10">
      <c r="A50" s="576"/>
      <c r="B50" s="433" t="s">
        <v>1217</v>
      </c>
      <c r="C50" s="433" t="s">
        <v>863</v>
      </c>
      <c r="D50" s="578" t="s">
        <v>1313</v>
      </c>
      <c r="E50" s="433" t="s">
        <v>1314</v>
      </c>
      <c r="F50" s="433" t="s">
        <v>251</v>
      </c>
      <c r="H50" s="433" t="s">
        <v>1306</v>
      </c>
      <c r="I50" s="433"/>
    </row>
    <row r="51" spans="1:10">
      <c r="A51" s="576"/>
      <c r="B51" s="433" t="s">
        <v>1210</v>
      </c>
      <c r="C51" s="433" t="s">
        <v>1211</v>
      </c>
      <c r="D51" s="578" t="s">
        <v>1315</v>
      </c>
      <c r="E51" s="433" t="s">
        <v>1316</v>
      </c>
      <c r="F51" s="433" t="s">
        <v>232</v>
      </c>
      <c r="H51" s="433" t="s">
        <v>1306</v>
      </c>
      <c r="I51" s="433"/>
    </row>
    <row r="52" spans="1:10">
      <c r="A52" s="576"/>
      <c r="B52" s="433" t="s">
        <v>1236</v>
      </c>
      <c r="C52" s="433" t="s">
        <v>1211</v>
      </c>
      <c r="D52" s="578" t="s">
        <v>1317</v>
      </c>
      <c r="E52" s="433" t="s">
        <v>1318</v>
      </c>
      <c r="F52" s="433" t="s">
        <v>241</v>
      </c>
      <c r="H52" s="433" t="s">
        <v>1306</v>
      </c>
      <c r="I52" s="433"/>
    </row>
    <row r="53" spans="1:10">
      <c r="A53" s="576"/>
      <c r="B53" s="433" t="s">
        <v>1217</v>
      </c>
      <c r="C53" s="433" t="s">
        <v>1211</v>
      </c>
      <c r="D53" s="433" t="s">
        <v>1319</v>
      </c>
      <c r="E53" s="433" t="s">
        <v>1320</v>
      </c>
      <c r="F53" s="433" t="s">
        <v>251</v>
      </c>
      <c r="H53" s="433" t="s">
        <v>1306</v>
      </c>
      <c r="I53" s="433"/>
    </row>
    <row r="54" spans="1:10">
      <c r="A54" s="576"/>
      <c r="B54" s="433" t="s">
        <v>1321</v>
      </c>
      <c r="C54" s="433" t="s">
        <v>1211</v>
      </c>
      <c r="D54" s="578" t="s">
        <v>1322</v>
      </c>
      <c r="E54" s="433" t="s">
        <v>1323</v>
      </c>
      <c r="F54" s="433" t="s">
        <v>262</v>
      </c>
      <c r="H54" s="433" t="s">
        <v>1306</v>
      </c>
      <c r="I54" s="433"/>
    </row>
    <row r="55" spans="1:10">
      <c r="A55" s="576"/>
      <c r="B55" s="433" t="s">
        <v>1236</v>
      </c>
      <c r="C55" s="433" t="s">
        <v>1211</v>
      </c>
      <c r="D55" s="578" t="s">
        <v>1324</v>
      </c>
      <c r="E55" s="433" t="s">
        <v>1325</v>
      </c>
      <c r="F55" s="433" t="s">
        <v>242</v>
      </c>
      <c r="H55" s="433" t="s">
        <v>1306</v>
      </c>
      <c r="I55" s="433"/>
    </row>
    <row r="56" spans="1:10">
      <c r="A56" s="576"/>
      <c r="B56" s="433" t="s">
        <v>1236</v>
      </c>
      <c r="C56" s="433" t="s">
        <v>1211</v>
      </c>
      <c r="D56" s="578" t="s">
        <v>1326</v>
      </c>
      <c r="E56" s="433" t="s">
        <v>1327</v>
      </c>
      <c r="F56" s="433" t="s">
        <v>241</v>
      </c>
      <c r="H56" s="433" t="s">
        <v>1306</v>
      </c>
      <c r="I56" s="433"/>
    </row>
    <row r="57" spans="1:10">
      <c r="A57" s="576"/>
      <c r="B57" s="433" t="s">
        <v>1266</v>
      </c>
      <c r="C57" s="433" t="s">
        <v>1328</v>
      </c>
      <c r="D57" s="433" t="s">
        <v>1329</v>
      </c>
      <c r="E57" s="433" t="s">
        <v>1330</v>
      </c>
      <c r="F57" s="433" t="s">
        <v>264</v>
      </c>
      <c r="H57" s="433" t="s">
        <v>1306</v>
      </c>
      <c r="I57" s="433"/>
    </row>
    <row r="58" spans="1:10">
      <c r="A58" s="576"/>
      <c r="B58" s="433" t="s">
        <v>1210</v>
      </c>
      <c r="C58" s="433" t="s">
        <v>1211</v>
      </c>
      <c r="D58" s="579" t="s">
        <v>1331</v>
      </c>
      <c r="E58" s="433" t="s">
        <v>1332</v>
      </c>
      <c r="F58" s="433" t="s">
        <v>233</v>
      </c>
      <c r="H58" s="433" t="s">
        <v>1333</v>
      </c>
      <c r="I58" s="433"/>
      <c r="J58" s="433" t="s">
        <v>1334</v>
      </c>
    </row>
    <row r="59" spans="1:10">
      <c r="A59" s="576"/>
      <c r="B59" s="433" t="s">
        <v>1207</v>
      </c>
      <c r="C59" s="433" t="s">
        <v>1291</v>
      </c>
      <c r="D59" s="433" t="s">
        <v>1335</v>
      </c>
      <c r="E59" s="433" t="s">
        <v>1336</v>
      </c>
      <c r="F59" s="433" t="s">
        <v>256</v>
      </c>
      <c r="H59" s="433" t="s">
        <v>1333</v>
      </c>
      <c r="I59" s="433"/>
    </row>
    <row r="60" spans="1:10">
      <c r="A60" s="576"/>
      <c r="B60" s="433" t="s">
        <v>1217</v>
      </c>
      <c r="C60" s="433" t="s">
        <v>1211</v>
      </c>
      <c r="D60" s="577" t="s">
        <v>1337</v>
      </c>
      <c r="E60" s="433" t="s">
        <v>1338</v>
      </c>
      <c r="F60" s="433" t="s">
        <v>250</v>
      </c>
      <c r="H60" s="433" t="s">
        <v>1333</v>
      </c>
      <c r="I60" s="433"/>
    </row>
    <row r="61" spans="1:10">
      <c r="A61" s="576"/>
      <c r="B61" s="433" t="s">
        <v>1217</v>
      </c>
      <c r="C61" s="433" t="s">
        <v>946</v>
      </c>
      <c r="D61" s="580" t="s">
        <v>1339</v>
      </c>
      <c r="E61" s="433" t="s">
        <v>1340</v>
      </c>
      <c r="F61" s="433" t="s">
        <v>251</v>
      </c>
      <c r="H61" s="433" t="s">
        <v>1333</v>
      </c>
      <c r="I61" s="433"/>
    </row>
    <row r="62" spans="1:10">
      <c r="A62" s="576"/>
      <c r="B62" s="433" t="s">
        <v>1217</v>
      </c>
      <c r="C62" s="433" t="s">
        <v>1341</v>
      </c>
      <c r="D62" s="433" t="s">
        <v>1342</v>
      </c>
      <c r="E62" s="433" t="s">
        <v>1343</v>
      </c>
      <c r="F62" s="433" t="s">
        <v>251</v>
      </c>
      <c r="H62" s="433" t="s">
        <v>1333</v>
      </c>
      <c r="I62" s="433"/>
    </row>
    <row r="63" spans="1:10">
      <c r="A63" s="576"/>
      <c r="B63" s="433" t="s">
        <v>1207</v>
      </c>
      <c r="C63" s="433" t="s">
        <v>1211</v>
      </c>
      <c r="D63" s="577" t="s">
        <v>1344</v>
      </c>
      <c r="E63" s="433" t="s">
        <v>1345</v>
      </c>
      <c r="F63" s="433" t="s">
        <v>258</v>
      </c>
      <c r="H63" s="433" t="s">
        <v>1346</v>
      </c>
      <c r="I63" s="433"/>
    </row>
    <row r="64" spans="1:10">
      <c r="A64" s="576"/>
      <c r="B64" s="433" t="s">
        <v>1207</v>
      </c>
      <c r="C64" s="433" t="s">
        <v>1347</v>
      </c>
      <c r="D64" s="433" t="s">
        <v>1348</v>
      </c>
      <c r="E64" s="433" t="s">
        <v>1349</v>
      </c>
      <c r="F64" s="433" t="s">
        <v>258</v>
      </c>
      <c r="H64" s="433" t="s">
        <v>732</v>
      </c>
      <c r="I64" s="433"/>
    </row>
    <row r="65" spans="1:9">
      <c r="A65" s="576"/>
      <c r="B65" s="433" t="s">
        <v>1210</v>
      </c>
      <c r="C65" s="433" t="s">
        <v>671</v>
      </c>
      <c r="D65" s="433" t="s">
        <v>1350</v>
      </c>
      <c r="E65" s="433" t="s">
        <v>1351</v>
      </c>
      <c r="F65" s="433" t="s">
        <v>231</v>
      </c>
      <c r="H65" s="433" t="s">
        <v>732</v>
      </c>
      <c r="I65" s="433"/>
    </row>
    <row r="66" spans="1:9">
      <c r="A66" s="576"/>
      <c r="B66" s="433" t="s">
        <v>1210</v>
      </c>
      <c r="C66" s="433" t="s">
        <v>863</v>
      </c>
      <c r="D66" s="433" t="s">
        <v>1352</v>
      </c>
      <c r="E66" s="433" t="s">
        <v>1353</v>
      </c>
      <c r="F66" s="433" t="s">
        <v>230</v>
      </c>
      <c r="H66" s="433" t="s">
        <v>732</v>
      </c>
      <c r="I66" s="433"/>
    </row>
    <row r="67" spans="1:9">
      <c r="A67" s="576"/>
      <c r="B67" s="433" t="s">
        <v>1210</v>
      </c>
      <c r="C67" s="433" t="s">
        <v>946</v>
      </c>
      <c r="D67" s="433" t="s">
        <v>1354</v>
      </c>
      <c r="E67" s="433" t="s">
        <v>1355</v>
      </c>
      <c r="F67" s="433" t="s">
        <v>231</v>
      </c>
      <c r="H67" s="433" t="s">
        <v>1356</v>
      </c>
      <c r="I67" s="433"/>
    </row>
    <row r="68" spans="1:9">
      <c r="A68" s="576"/>
      <c r="B68" s="433" t="s">
        <v>1236</v>
      </c>
      <c r="C68" s="433" t="s">
        <v>979</v>
      </c>
      <c r="D68" s="433" t="s">
        <v>1357</v>
      </c>
      <c r="E68" s="433" t="s">
        <v>1358</v>
      </c>
      <c r="F68" s="433" t="s">
        <v>243</v>
      </c>
      <c r="H68" s="433" t="s">
        <v>1356</v>
      </c>
      <c r="I68" s="433"/>
    </row>
    <row r="69" spans="1:9">
      <c r="A69" s="576"/>
      <c r="B69" s="433" t="s">
        <v>1207</v>
      </c>
      <c r="C69" s="433" t="s">
        <v>946</v>
      </c>
      <c r="D69" s="433" t="s">
        <v>1359</v>
      </c>
      <c r="E69" s="433" t="s">
        <v>1360</v>
      </c>
      <c r="F69" s="433" t="s">
        <v>260</v>
      </c>
      <c r="H69" s="433" t="s">
        <v>1356</v>
      </c>
      <c r="I69" s="433"/>
    </row>
    <row r="70" spans="1:9">
      <c r="A70" s="576"/>
      <c r="B70" s="433" t="s">
        <v>1210</v>
      </c>
      <c r="C70" s="433" t="s">
        <v>1291</v>
      </c>
      <c r="D70" s="433" t="s">
        <v>1361</v>
      </c>
      <c r="E70" s="433" t="s">
        <v>1362</v>
      </c>
      <c r="F70" s="433" t="s">
        <v>231</v>
      </c>
      <c r="H70" s="433" t="s">
        <v>1356</v>
      </c>
      <c r="I70" s="433"/>
    </row>
    <row r="71" spans="1:9">
      <c r="A71" s="576"/>
      <c r="B71" s="433" t="s">
        <v>1217</v>
      </c>
      <c r="C71" s="433" t="s">
        <v>1211</v>
      </c>
      <c r="D71" s="433" t="s">
        <v>1363</v>
      </c>
      <c r="E71" s="433" t="s">
        <v>1364</v>
      </c>
      <c r="F71" s="433" t="s">
        <v>251</v>
      </c>
      <c r="H71" s="433" t="s">
        <v>1356</v>
      </c>
      <c r="I71" s="433"/>
    </row>
    <row r="72" spans="1:9">
      <c r="A72" s="576"/>
      <c r="B72" s="433" t="s">
        <v>1217</v>
      </c>
      <c r="C72" s="433" t="s">
        <v>1211</v>
      </c>
      <c r="D72" s="433" t="s">
        <v>1365</v>
      </c>
      <c r="E72" s="433" t="s">
        <v>1366</v>
      </c>
      <c r="F72" s="433" t="s">
        <v>251</v>
      </c>
      <c r="H72" s="433" t="s">
        <v>1356</v>
      </c>
      <c r="I72" s="433"/>
    </row>
    <row r="73" spans="1:9">
      <c r="A73" s="576"/>
      <c r="B73" s="433" t="s">
        <v>1207</v>
      </c>
      <c r="C73" s="433" t="s">
        <v>1211</v>
      </c>
      <c r="D73" s="433" t="s">
        <v>1367</v>
      </c>
      <c r="E73" s="433" t="s">
        <v>1368</v>
      </c>
      <c r="F73" s="433" t="s">
        <v>258</v>
      </c>
      <c r="H73" s="433" t="s">
        <v>1356</v>
      </c>
      <c r="I73" s="433"/>
    </row>
    <row r="74" spans="1:9">
      <c r="A74" s="576"/>
      <c r="B74" s="433" t="s">
        <v>1266</v>
      </c>
      <c r="C74" s="433" t="s">
        <v>1211</v>
      </c>
      <c r="D74" s="433" t="s">
        <v>1369</v>
      </c>
      <c r="E74" s="433" t="s">
        <v>1370</v>
      </c>
      <c r="F74" s="433" t="s">
        <v>266</v>
      </c>
      <c r="H74" s="433" t="s">
        <v>1356</v>
      </c>
      <c r="I74" s="433"/>
    </row>
    <row r="75" spans="1:9">
      <c r="A75" s="576"/>
      <c r="B75" s="433" t="s">
        <v>1207</v>
      </c>
      <c r="C75" s="433" t="s">
        <v>1211</v>
      </c>
      <c r="D75" s="433" t="s">
        <v>1371</v>
      </c>
      <c r="E75" s="433" t="s">
        <v>1372</v>
      </c>
      <c r="F75" s="433" t="s">
        <v>257</v>
      </c>
      <c r="H75" s="433" t="s">
        <v>1356</v>
      </c>
      <c r="I75" s="433"/>
    </row>
    <row r="76" spans="1:9">
      <c r="A76" s="576"/>
      <c r="B76" s="433" t="s">
        <v>1217</v>
      </c>
      <c r="C76" s="433" t="s">
        <v>1211</v>
      </c>
      <c r="D76" s="433" t="s">
        <v>1373</v>
      </c>
      <c r="E76" s="433" t="s">
        <v>1374</v>
      </c>
      <c r="F76" s="433" t="s">
        <v>250</v>
      </c>
      <c r="H76" s="433" t="s">
        <v>1375</v>
      </c>
      <c r="I76" s="433"/>
    </row>
    <row r="77" spans="1:9">
      <c r="A77" s="576"/>
      <c r="B77" s="433" t="s">
        <v>1210</v>
      </c>
      <c r="C77" s="433" t="s">
        <v>1211</v>
      </c>
      <c r="D77" s="433" t="s">
        <v>1376</v>
      </c>
      <c r="E77" s="433" t="s">
        <v>1377</v>
      </c>
      <c r="F77" s="433" t="s">
        <v>232</v>
      </c>
      <c r="H77" s="433" t="s">
        <v>1375</v>
      </c>
      <c r="I77" s="433"/>
    </row>
    <row r="78" spans="1:9">
      <c r="A78" s="576"/>
      <c r="B78" s="433" t="s">
        <v>1236</v>
      </c>
      <c r="C78" s="433" t="s">
        <v>940</v>
      </c>
      <c r="D78" s="433" t="s">
        <v>1378</v>
      </c>
      <c r="E78" s="433" t="s">
        <v>1379</v>
      </c>
      <c r="F78" s="433" t="s">
        <v>242</v>
      </c>
      <c r="H78" s="433" t="s">
        <v>1375</v>
      </c>
      <c r="I78" s="433"/>
    </row>
    <row r="79" spans="1:9">
      <c r="A79" s="576"/>
      <c r="B79" s="433" t="s">
        <v>1207</v>
      </c>
      <c r="C79" s="433" t="s">
        <v>663</v>
      </c>
      <c r="D79" s="433" t="s">
        <v>1380</v>
      </c>
      <c r="E79" s="433" t="s">
        <v>1381</v>
      </c>
      <c r="F79" s="433" t="s">
        <v>259</v>
      </c>
      <c r="H79" s="433" t="s">
        <v>1375</v>
      </c>
      <c r="I79" s="433"/>
    </row>
    <row r="80" spans="1:9">
      <c r="A80" s="576"/>
      <c r="B80" s="433" t="s">
        <v>1210</v>
      </c>
      <c r="C80" s="433" t="s">
        <v>1211</v>
      </c>
      <c r="D80" s="433" t="s">
        <v>1382</v>
      </c>
      <c r="E80" s="433" t="s">
        <v>1383</v>
      </c>
      <c r="F80" s="433" t="s">
        <v>259</v>
      </c>
      <c r="H80" s="433" t="s">
        <v>1384</v>
      </c>
      <c r="I80" s="433"/>
    </row>
    <row r="81" spans="1:9">
      <c r="A81" s="576"/>
      <c r="B81" s="433" t="s">
        <v>1266</v>
      </c>
      <c r="C81" s="433" t="s">
        <v>1211</v>
      </c>
      <c r="D81" s="433" t="s">
        <v>1385</v>
      </c>
      <c r="E81" s="433" t="s">
        <v>1386</v>
      </c>
      <c r="F81" s="433" t="s">
        <v>268</v>
      </c>
      <c r="H81" s="433" t="s">
        <v>1387</v>
      </c>
      <c r="I81" s="433"/>
    </row>
    <row r="82" spans="1:9">
      <c r="A82" s="576"/>
      <c r="B82" s="433" t="s">
        <v>1236</v>
      </c>
      <c r="C82" s="433" t="s">
        <v>1211</v>
      </c>
      <c r="D82" s="433" t="s">
        <v>1388</v>
      </c>
      <c r="E82" s="433" t="s">
        <v>1389</v>
      </c>
      <c r="F82" s="433" t="s">
        <v>241</v>
      </c>
      <c r="H82" s="433" t="s">
        <v>1387</v>
      </c>
      <c r="I82" s="433"/>
    </row>
    <row r="83" spans="1:9">
      <c r="A83" s="576"/>
      <c r="B83" s="433" t="s">
        <v>1236</v>
      </c>
      <c r="C83" s="433" t="s">
        <v>1211</v>
      </c>
      <c r="D83" s="433" t="s">
        <v>1390</v>
      </c>
      <c r="E83" s="433" t="s">
        <v>1391</v>
      </c>
      <c r="F83" s="433" t="s">
        <v>243</v>
      </c>
      <c r="H83" s="433" t="s">
        <v>1387</v>
      </c>
      <c r="I83" s="433"/>
    </row>
    <row r="84" spans="1:9">
      <c r="A84" s="576"/>
      <c r="B84" s="433" t="s">
        <v>1210</v>
      </c>
      <c r="C84" s="433" t="s">
        <v>1211</v>
      </c>
      <c r="D84" s="433" t="s">
        <v>1392</v>
      </c>
      <c r="E84" s="433" t="s">
        <v>1393</v>
      </c>
      <c r="F84" s="433" t="s">
        <v>232</v>
      </c>
      <c r="H84" s="433" t="s">
        <v>1387</v>
      </c>
      <c r="I84" s="433"/>
    </row>
    <row r="85" spans="1:9">
      <c r="A85" s="576"/>
      <c r="B85" s="433" t="s">
        <v>1217</v>
      </c>
      <c r="C85" s="433" t="s">
        <v>1211</v>
      </c>
      <c r="D85" s="433" t="s">
        <v>1394</v>
      </c>
      <c r="E85" s="433" t="s">
        <v>1395</v>
      </c>
      <c r="F85" s="433" t="s">
        <v>250</v>
      </c>
      <c r="H85" s="433" t="s">
        <v>1387</v>
      </c>
      <c r="I85" s="433"/>
    </row>
    <row r="86" spans="1:9">
      <c r="A86" s="576"/>
      <c r="B86" s="433" t="s">
        <v>1217</v>
      </c>
      <c r="C86" s="433" t="s">
        <v>1211</v>
      </c>
      <c r="D86" s="433" t="s">
        <v>1396</v>
      </c>
      <c r="E86" s="433" t="s">
        <v>1397</v>
      </c>
      <c r="F86" s="433" t="s">
        <v>252</v>
      </c>
      <c r="H86" s="433" t="s">
        <v>1387</v>
      </c>
      <c r="I86" s="433"/>
    </row>
    <row r="87" spans="1:9">
      <c r="A87" s="576"/>
      <c r="B87" s="433" t="s">
        <v>1266</v>
      </c>
      <c r="C87" s="433" t="s">
        <v>663</v>
      </c>
      <c r="D87" s="433" t="s">
        <v>1398</v>
      </c>
      <c r="E87" s="433" t="s">
        <v>1399</v>
      </c>
      <c r="F87" s="433" t="s">
        <v>266</v>
      </c>
      <c r="H87" s="433" t="s">
        <v>1387</v>
      </c>
      <c r="I87" s="433"/>
    </row>
    <row r="88" spans="1:9">
      <c r="A88" s="576"/>
      <c r="B88" s="433" t="s">
        <v>1210</v>
      </c>
      <c r="C88" s="433" t="s">
        <v>671</v>
      </c>
      <c r="D88" s="433" t="s">
        <v>1400</v>
      </c>
      <c r="E88" s="433" t="s">
        <v>1401</v>
      </c>
      <c r="F88" s="433" t="s">
        <v>232</v>
      </c>
      <c r="H88" s="433" t="s">
        <v>1387</v>
      </c>
      <c r="I88" s="433"/>
    </row>
    <row r="89" spans="1:9">
      <c r="A89" s="576"/>
      <c r="B89" s="433" t="s">
        <v>1266</v>
      </c>
      <c r="C89" s="433" t="s">
        <v>946</v>
      </c>
      <c r="D89" s="433" t="s">
        <v>682</v>
      </c>
      <c r="E89" s="433" t="s">
        <v>680</v>
      </c>
      <c r="F89" s="433" t="s">
        <v>268</v>
      </c>
      <c r="H89" s="433" t="s">
        <v>1387</v>
      </c>
      <c r="I89" s="433"/>
    </row>
    <row r="90" spans="1:9">
      <c r="A90" s="576"/>
      <c r="B90" s="433" t="s">
        <v>1217</v>
      </c>
      <c r="C90" s="433" t="s">
        <v>1341</v>
      </c>
      <c r="D90" s="433" t="s">
        <v>1402</v>
      </c>
      <c r="E90" s="433" t="s">
        <v>1403</v>
      </c>
      <c r="F90" s="433" t="s">
        <v>251</v>
      </c>
      <c r="H90" s="433" t="s">
        <v>1387</v>
      </c>
      <c r="I90" s="433"/>
    </row>
    <row r="91" spans="1:9">
      <c r="A91" s="576"/>
      <c r="B91" s="433" t="s">
        <v>1210</v>
      </c>
      <c r="C91" s="433" t="s">
        <v>946</v>
      </c>
      <c r="D91" s="433" t="s">
        <v>1404</v>
      </c>
      <c r="E91" s="433" t="s">
        <v>1405</v>
      </c>
      <c r="F91" s="433" t="s">
        <v>233</v>
      </c>
      <c r="H91" s="433" t="s">
        <v>1406</v>
      </c>
      <c r="I91" s="433"/>
    </row>
    <row r="92" spans="1:9">
      <c r="A92" s="576"/>
      <c r="B92" s="433" t="s">
        <v>1217</v>
      </c>
      <c r="C92" s="433" t="s">
        <v>1211</v>
      </c>
      <c r="D92" s="433" t="s">
        <v>1407</v>
      </c>
      <c r="E92" s="433" t="s">
        <v>1408</v>
      </c>
      <c r="F92" s="433" t="s">
        <v>250</v>
      </c>
      <c r="H92" s="433" t="s">
        <v>1406</v>
      </c>
      <c r="I92" s="433"/>
    </row>
    <row r="93" spans="1:9">
      <c r="A93" s="576"/>
      <c r="B93" s="433" t="s">
        <v>1236</v>
      </c>
      <c r="C93" s="433" t="s">
        <v>1211</v>
      </c>
      <c r="D93" s="433" t="s">
        <v>1409</v>
      </c>
      <c r="E93" s="433" t="s">
        <v>1410</v>
      </c>
      <c r="F93" s="433" t="s">
        <v>242</v>
      </c>
      <c r="H93" s="433" t="s">
        <v>1406</v>
      </c>
      <c r="I93" s="433"/>
    </row>
    <row r="94" spans="1:9">
      <c r="A94" s="576"/>
      <c r="B94" s="433" t="s">
        <v>1207</v>
      </c>
      <c r="C94" s="433" t="s">
        <v>1211</v>
      </c>
      <c r="D94" s="433" t="s">
        <v>1411</v>
      </c>
      <c r="E94" s="433" t="s">
        <v>1412</v>
      </c>
      <c r="F94" s="433" t="s">
        <v>257</v>
      </c>
      <c r="H94" s="433" t="s">
        <v>1406</v>
      </c>
      <c r="I94" s="433"/>
    </row>
    <row r="95" spans="1:9">
      <c r="A95" s="576"/>
      <c r="B95" s="433" t="s">
        <v>1217</v>
      </c>
      <c r="C95" s="433" t="s">
        <v>1211</v>
      </c>
      <c r="D95" s="433" t="s">
        <v>1413</v>
      </c>
      <c r="E95" s="433" t="s">
        <v>1414</v>
      </c>
      <c r="F95" s="433" t="s">
        <v>250</v>
      </c>
      <c r="H95" s="433" t="s">
        <v>1406</v>
      </c>
      <c r="I95" s="433"/>
    </row>
    <row r="96" spans="1:9">
      <c r="A96" s="576"/>
      <c r="B96" s="433" t="s">
        <v>1236</v>
      </c>
      <c r="C96" s="433" t="s">
        <v>1211</v>
      </c>
      <c r="D96" s="433" t="s">
        <v>1415</v>
      </c>
      <c r="E96" s="433" t="s">
        <v>1416</v>
      </c>
      <c r="F96" s="433" t="s">
        <v>243</v>
      </c>
      <c r="H96" s="433" t="s">
        <v>1406</v>
      </c>
      <c r="I96" s="433"/>
    </row>
    <row r="97" spans="1:9">
      <c r="A97" s="576"/>
      <c r="B97" s="433" t="s">
        <v>1217</v>
      </c>
      <c r="C97" s="433" t="s">
        <v>1211</v>
      </c>
      <c r="D97" s="433" t="s">
        <v>1417</v>
      </c>
      <c r="E97" s="433" t="s">
        <v>1418</v>
      </c>
      <c r="F97" s="433" t="s">
        <v>250</v>
      </c>
      <c r="H97" s="433" t="s">
        <v>1406</v>
      </c>
      <c r="I97" s="433"/>
    </row>
    <row r="98" spans="1:9">
      <c r="A98" s="576"/>
      <c r="B98" s="433" t="s">
        <v>1217</v>
      </c>
      <c r="C98" s="433" t="s">
        <v>1211</v>
      </c>
      <c r="D98" s="433" t="s">
        <v>1419</v>
      </c>
      <c r="E98" s="433" t="s">
        <v>1420</v>
      </c>
      <c r="F98" s="433" t="s">
        <v>251</v>
      </c>
      <c r="H98" s="433" t="s">
        <v>1406</v>
      </c>
      <c r="I98" s="433"/>
    </row>
    <row r="99" spans="1:9">
      <c r="A99" s="576"/>
      <c r="B99" s="433" t="s">
        <v>1210</v>
      </c>
      <c r="C99" s="433" t="s">
        <v>1211</v>
      </c>
      <c r="D99" s="433" t="s">
        <v>1421</v>
      </c>
      <c r="E99" s="433" t="s">
        <v>1422</v>
      </c>
      <c r="F99" s="433" t="s">
        <v>231</v>
      </c>
      <c r="H99" s="433" t="s">
        <v>1423</v>
      </c>
      <c r="I99" s="433"/>
    </row>
    <row r="100" spans="1:9">
      <c r="A100" s="576"/>
      <c r="B100" s="433" t="s">
        <v>1210</v>
      </c>
      <c r="C100" s="433" t="s">
        <v>663</v>
      </c>
      <c r="D100" s="433" t="s">
        <v>1424</v>
      </c>
      <c r="E100" s="433" t="s">
        <v>683</v>
      </c>
      <c r="F100" s="433" t="s">
        <v>231</v>
      </c>
      <c r="H100" s="433" t="s">
        <v>1423</v>
      </c>
      <c r="I100" s="433"/>
    </row>
    <row r="101" spans="1:9">
      <c r="A101" s="576"/>
      <c r="B101" s="433" t="s">
        <v>1425</v>
      </c>
      <c r="C101" s="433" t="s">
        <v>946</v>
      </c>
      <c r="D101" s="433" t="s">
        <v>1426</v>
      </c>
      <c r="E101" s="433" t="s">
        <v>1427</v>
      </c>
      <c r="F101" s="433" t="s">
        <v>247</v>
      </c>
      <c r="H101" s="433" t="s">
        <v>1428</v>
      </c>
      <c r="I101" s="433"/>
    </row>
    <row r="102" spans="1:9">
      <c r="A102" s="576"/>
      <c r="B102" s="433" t="s">
        <v>1217</v>
      </c>
      <c r="C102" s="433" t="s">
        <v>671</v>
      </c>
      <c r="D102" s="433" t="s">
        <v>1429</v>
      </c>
      <c r="E102" s="433" t="s">
        <v>1430</v>
      </c>
      <c r="F102" s="433" t="s">
        <v>252</v>
      </c>
      <c r="H102" s="433" t="s">
        <v>1428</v>
      </c>
      <c r="I102" s="433"/>
    </row>
    <row r="103" spans="1:9">
      <c r="A103" s="576"/>
      <c r="B103" s="433" t="s">
        <v>1217</v>
      </c>
      <c r="C103" s="433" t="s">
        <v>663</v>
      </c>
      <c r="D103" s="433" t="s">
        <v>1037</v>
      </c>
      <c r="E103" s="433" t="s">
        <v>1431</v>
      </c>
      <c r="F103" s="433" t="s">
        <v>251</v>
      </c>
      <c r="H103" s="433" t="s">
        <v>1428</v>
      </c>
      <c r="I103" s="433"/>
    </row>
    <row r="104" spans="1:9">
      <c r="A104" s="576"/>
      <c r="B104" s="433" t="s">
        <v>1207</v>
      </c>
      <c r="C104" s="433" t="s">
        <v>671</v>
      </c>
      <c r="D104" s="433" t="s">
        <v>1432</v>
      </c>
      <c r="E104" s="433" t="s">
        <v>1433</v>
      </c>
      <c r="F104" s="433" t="s">
        <v>260</v>
      </c>
      <c r="H104" s="433" t="s">
        <v>1428</v>
      </c>
      <c r="I104" s="433"/>
    </row>
    <row r="105" spans="1:9">
      <c r="A105" s="576"/>
      <c r="B105" s="433" t="s">
        <v>1266</v>
      </c>
      <c r="C105" s="433" t="s">
        <v>663</v>
      </c>
      <c r="D105" s="433" t="s">
        <v>1434</v>
      </c>
      <c r="E105" s="433" t="s">
        <v>1435</v>
      </c>
      <c r="F105" s="433" t="s">
        <v>264</v>
      </c>
      <c r="H105" s="433" t="s">
        <v>1428</v>
      </c>
      <c r="I105" s="433"/>
    </row>
    <row r="106" spans="1:9">
      <c r="A106" s="576"/>
      <c r="B106" s="433" t="s">
        <v>1210</v>
      </c>
      <c r="C106" s="433" t="s">
        <v>686</v>
      </c>
      <c r="D106" s="433" t="s">
        <v>687</v>
      </c>
      <c r="E106" s="433" t="s">
        <v>685</v>
      </c>
      <c r="F106" s="433" t="s">
        <v>232</v>
      </c>
      <c r="H106" s="433" t="s">
        <v>1428</v>
      </c>
      <c r="I106" s="433"/>
    </row>
    <row r="107" spans="1:9">
      <c r="A107" s="576"/>
      <c r="B107" s="433" t="s">
        <v>1236</v>
      </c>
      <c r="C107" s="433" t="s">
        <v>1211</v>
      </c>
      <c r="D107" s="433" t="s">
        <v>1436</v>
      </c>
      <c r="E107" s="433" t="s">
        <v>1437</v>
      </c>
      <c r="F107" s="433" t="s">
        <v>243</v>
      </c>
      <c r="H107" s="433" t="s">
        <v>1428</v>
      </c>
      <c r="I107" s="433"/>
    </row>
    <row r="108" spans="1:9">
      <c r="A108" s="576"/>
      <c r="B108" s="433" t="s">
        <v>1236</v>
      </c>
      <c r="C108" s="433" t="s">
        <v>1211</v>
      </c>
      <c r="D108" s="433" t="s">
        <v>1438</v>
      </c>
      <c r="E108" s="433" t="s">
        <v>1439</v>
      </c>
      <c r="F108" s="433" t="s">
        <v>241</v>
      </c>
      <c r="H108" s="433" t="s">
        <v>1428</v>
      </c>
      <c r="I108" s="433"/>
    </row>
    <row r="109" spans="1:9">
      <c r="A109" s="576"/>
      <c r="B109" s="433" t="s">
        <v>1217</v>
      </c>
      <c r="C109" s="433" t="s">
        <v>1211</v>
      </c>
      <c r="D109" s="433" t="s">
        <v>1440</v>
      </c>
      <c r="E109" s="433" t="s">
        <v>1441</v>
      </c>
      <c r="F109" s="433" t="s">
        <v>252</v>
      </c>
      <c r="H109" s="433" t="s">
        <v>1428</v>
      </c>
      <c r="I109" s="433"/>
    </row>
    <row r="110" spans="1:9">
      <c r="A110" s="576"/>
      <c r="B110" s="433" t="s">
        <v>1210</v>
      </c>
      <c r="C110" s="433" t="s">
        <v>1211</v>
      </c>
      <c r="D110" s="433" t="s">
        <v>1442</v>
      </c>
      <c r="E110" s="433" t="s">
        <v>1443</v>
      </c>
      <c r="F110" s="433" t="s">
        <v>230</v>
      </c>
      <c r="H110" s="433" t="s">
        <v>1428</v>
      </c>
      <c r="I110" s="433"/>
    </row>
    <row r="111" spans="1:9">
      <c r="A111" s="576"/>
      <c r="B111" s="433" t="s">
        <v>1236</v>
      </c>
      <c r="C111" s="433" t="s">
        <v>1211</v>
      </c>
      <c r="D111" s="433" t="s">
        <v>1444</v>
      </c>
      <c r="E111" s="433" t="s">
        <v>1445</v>
      </c>
      <c r="F111" s="433" t="s">
        <v>243</v>
      </c>
      <c r="H111" s="433" t="s">
        <v>1428</v>
      </c>
      <c r="I111" s="433"/>
    </row>
    <row r="112" spans="1:9">
      <c r="A112" s="576"/>
      <c r="B112" s="433" t="s">
        <v>1217</v>
      </c>
      <c r="C112" s="433" t="s">
        <v>1211</v>
      </c>
      <c r="D112" s="433" t="s">
        <v>1446</v>
      </c>
      <c r="E112" s="433" t="s">
        <v>1447</v>
      </c>
      <c r="F112" s="433" t="s">
        <v>252</v>
      </c>
      <c r="H112" s="433" t="s">
        <v>1428</v>
      </c>
      <c r="I112" s="433"/>
    </row>
    <row r="113" spans="1:9">
      <c r="A113" s="576"/>
      <c r="B113" s="433" t="s">
        <v>1217</v>
      </c>
      <c r="C113" s="433" t="s">
        <v>1211</v>
      </c>
      <c r="D113" s="433" t="s">
        <v>1448</v>
      </c>
      <c r="E113" s="433" t="s">
        <v>1449</v>
      </c>
      <c r="F113" s="433" t="s">
        <v>250</v>
      </c>
      <c r="H113" s="433" t="s">
        <v>1428</v>
      </c>
      <c r="I113" s="433"/>
    </row>
    <row r="114" spans="1:9">
      <c r="A114" s="576"/>
      <c r="B114" s="433" t="s">
        <v>1217</v>
      </c>
      <c r="C114" s="433" t="s">
        <v>1341</v>
      </c>
      <c r="D114" s="433" t="s">
        <v>1450</v>
      </c>
      <c r="E114" s="433" t="s">
        <v>1451</v>
      </c>
      <c r="F114" s="433" t="s">
        <v>250</v>
      </c>
      <c r="H114" s="433" t="s">
        <v>1428</v>
      </c>
      <c r="I114" s="433"/>
    </row>
    <row r="115" spans="1:9">
      <c r="A115" s="576"/>
      <c r="B115" s="433" t="s">
        <v>1207</v>
      </c>
      <c r="C115" s="433" t="s">
        <v>1452</v>
      </c>
      <c r="D115" s="433" t="s">
        <v>1453</v>
      </c>
      <c r="E115" s="433" t="s">
        <v>1454</v>
      </c>
      <c r="F115" s="433" t="s">
        <v>260</v>
      </c>
      <c r="H115" s="433" t="s">
        <v>1428</v>
      </c>
      <c r="I115" s="433"/>
    </row>
    <row r="116" spans="1:9">
      <c r="A116" s="576"/>
      <c r="B116" s="433" t="s">
        <v>1266</v>
      </c>
      <c r="C116" s="433" t="s">
        <v>1452</v>
      </c>
      <c r="D116" s="433" t="s">
        <v>1455</v>
      </c>
      <c r="E116" s="433" t="s">
        <v>1456</v>
      </c>
      <c r="F116" s="433" t="s">
        <v>265</v>
      </c>
      <c r="H116" s="433" t="s">
        <v>1428</v>
      </c>
      <c r="I116" s="433"/>
    </row>
    <row r="117" spans="1:9">
      <c r="A117" s="576"/>
      <c r="B117" s="433" t="s">
        <v>1236</v>
      </c>
      <c r="C117" s="433" t="s">
        <v>1457</v>
      </c>
      <c r="D117" s="433" t="s">
        <v>1458</v>
      </c>
      <c r="E117" s="433" t="s">
        <v>1459</v>
      </c>
      <c r="F117" s="433" t="s">
        <v>241</v>
      </c>
      <c r="H117" s="433" t="s">
        <v>1428</v>
      </c>
      <c r="I117" s="433"/>
    </row>
    <row r="118" spans="1:9">
      <c r="A118" s="576"/>
      <c r="B118" s="433" t="s">
        <v>1266</v>
      </c>
      <c r="C118" s="433" t="s">
        <v>1328</v>
      </c>
      <c r="D118" s="433" t="s">
        <v>1460</v>
      </c>
      <c r="E118" s="433" t="s">
        <v>1461</v>
      </c>
      <c r="F118" s="433" t="s">
        <v>266</v>
      </c>
      <c r="H118" s="433" t="s">
        <v>1462</v>
      </c>
      <c r="I118" s="433"/>
    </row>
    <row r="119" spans="1:9">
      <c r="A119" s="576"/>
      <c r="B119" s="433" t="s">
        <v>1236</v>
      </c>
      <c r="C119" s="433" t="s">
        <v>863</v>
      </c>
      <c r="D119" s="433" t="s">
        <v>1463</v>
      </c>
      <c r="E119" s="433" t="s">
        <v>1464</v>
      </c>
      <c r="F119" s="433" t="s">
        <v>243</v>
      </c>
      <c r="H119" s="433" t="s">
        <v>1462</v>
      </c>
      <c r="I119" s="433"/>
    </row>
    <row r="120" spans="1:9">
      <c r="A120" s="576"/>
      <c r="B120" s="433" t="s">
        <v>1465</v>
      </c>
      <c r="C120" s="433" t="s">
        <v>1291</v>
      </c>
      <c r="D120" s="433" t="s">
        <v>1466</v>
      </c>
      <c r="E120" s="433" t="s">
        <v>1467</v>
      </c>
      <c r="F120" s="433" t="s">
        <v>254</v>
      </c>
      <c r="H120" s="433" t="s">
        <v>1462</v>
      </c>
      <c r="I120" s="433"/>
    </row>
    <row r="121" spans="1:9">
      <c r="A121" s="576"/>
      <c r="B121" s="433" t="s">
        <v>1210</v>
      </c>
      <c r="C121" s="433" t="s">
        <v>946</v>
      </c>
      <c r="D121" s="433" t="s">
        <v>1468</v>
      </c>
      <c r="E121" s="433" t="s">
        <v>1469</v>
      </c>
      <c r="F121" s="433" t="s">
        <v>232</v>
      </c>
      <c r="H121" s="433" t="s">
        <v>1462</v>
      </c>
      <c r="I121" s="433"/>
    </row>
    <row r="122" spans="1:9">
      <c r="A122" s="581"/>
      <c r="B122" s="433" t="s">
        <v>1236</v>
      </c>
      <c r="C122" s="433" t="s">
        <v>671</v>
      </c>
      <c r="D122" s="433" t="s">
        <v>1470</v>
      </c>
      <c r="E122" s="433" t="s">
        <v>1471</v>
      </c>
      <c r="F122" s="433" t="s">
        <v>243</v>
      </c>
      <c r="H122" s="433" t="s">
        <v>1462</v>
      </c>
      <c r="I122" s="433"/>
    </row>
    <row r="123" spans="1:9">
      <c r="A123" s="581"/>
      <c r="B123" s="433" t="s">
        <v>1266</v>
      </c>
      <c r="C123" s="433" t="s">
        <v>863</v>
      </c>
      <c r="D123" s="433" t="s">
        <v>1472</v>
      </c>
      <c r="E123" s="433" t="s">
        <v>1473</v>
      </c>
      <c r="F123" s="433" t="s">
        <v>266</v>
      </c>
      <c r="H123" s="433" t="s">
        <v>747</v>
      </c>
      <c r="I123" s="433"/>
    </row>
    <row r="124" spans="1:9">
      <c r="A124" s="581"/>
      <c r="B124" s="433" t="s">
        <v>1210</v>
      </c>
      <c r="C124" s="433" t="s">
        <v>1211</v>
      </c>
      <c r="D124" s="433" t="s">
        <v>1474</v>
      </c>
      <c r="E124" s="433" t="s">
        <v>1475</v>
      </c>
      <c r="F124" s="433" t="s">
        <v>863</v>
      </c>
      <c r="H124" s="433" t="s">
        <v>747</v>
      </c>
      <c r="I124" s="433"/>
    </row>
    <row r="125" spans="1:9">
      <c r="A125" s="581"/>
      <c r="B125" s="433" t="s">
        <v>1210</v>
      </c>
      <c r="C125" s="433" t="s">
        <v>1452</v>
      </c>
      <c r="D125" s="433" t="s">
        <v>1476</v>
      </c>
      <c r="E125" s="433" t="s">
        <v>1477</v>
      </c>
      <c r="F125" s="433" t="s">
        <v>230</v>
      </c>
      <c r="H125" s="433" t="s">
        <v>1478</v>
      </c>
      <c r="I125" s="433"/>
    </row>
    <row r="126" spans="1:9">
      <c r="A126" s="581"/>
      <c r="B126" s="433" t="s">
        <v>1266</v>
      </c>
      <c r="C126" s="433" t="s">
        <v>1452</v>
      </c>
      <c r="D126" s="433" t="s">
        <v>1479</v>
      </c>
      <c r="E126" s="433" t="s">
        <v>1480</v>
      </c>
      <c r="F126" s="433" t="s">
        <v>264</v>
      </c>
      <c r="H126" s="433" t="s">
        <v>1478</v>
      </c>
      <c r="I126" s="433"/>
    </row>
    <row r="127" spans="1:9">
      <c r="A127" s="581"/>
      <c r="B127" s="433" t="s">
        <v>1217</v>
      </c>
      <c r="C127" s="433" t="s">
        <v>1211</v>
      </c>
      <c r="D127" s="433" t="s">
        <v>1481</v>
      </c>
      <c r="E127" s="433" t="s">
        <v>1482</v>
      </c>
      <c r="F127" s="433" t="s">
        <v>252</v>
      </c>
      <c r="H127" s="433" t="s">
        <v>1478</v>
      </c>
      <c r="I127" s="433"/>
    </row>
    <row r="128" spans="1:9">
      <c r="A128" s="581"/>
      <c r="B128" s="433" t="s">
        <v>1266</v>
      </c>
      <c r="C128" s="433" t="s">
        <v>671</v>
      </c>
      <c r="D128" s="433" t="s">
        <v>1483</v>
      </c>
      <c r="E128" s="433" t="s">
        <v>1484</v>
      </c>
      <c r="F128" s="433" t="s">
        <v>266</v>
      </c>
      <c r="H128" s="433" t="s">
        <v>1478</v>
      </c>
      <c r="I128" s="433"/>
    </row>
    <row r="129" spans="1:9">
      <c r="A129" s="581"/>
      <c r="B129" s="433" t="s">
        <v>1236</v>
      </c>
      <c r="C129" s="433" t="s">
        <v>663</v>
      </c>
      <c r="D129" s="433" t="s">
        <v>1039</v>
      </c>
      <c r="E129" s="433" t="s">
        <v>1485</v>
      </c>
      <c r="F129" s="433" t="s">
        <v>243</v>
      </c>
      <c r="H129" s="433" t="s">
        <v>1486</v>
      </c>
      <c r="I129" s="433"/>
    </row>
    <row r="130" spans="1:9">
      <c r="A130" s="581"/>
      <c r="B130" s="433" t="s">
        <v>1217</v>
      </c>
      <c r="C130" s="433" t="s">
        <v>1211</v>
      </c>
      <c r="D130" s="433" t="s">
        <v>1487</v>
      </c>
      <c r="E130" s="433" t="s">
        <v>1488</v>
      </c>
      <c r="F130" s="433" t="s">
        <v>251</v>
      </c>
      <c r="H130" s="433" t="s">
        <v>1486</v>
      </c>
      <c r="I130" s="433"/>
    </row>
    <row r="131" spans="1:9">
      <c r="A131" s="581"/>
      <c r="B131" s="433" t="s">
        <v>1236</v>
      </c>
      <c r="C131" s="433" t="s">
        <v>1211</v>
      </c>
      <c r="D131" s="433" t="s">
        <v>1489</v>
      </c>
      <c r="E131" s="433" t="s">
        <v>1490</v>
      </c>
      <c r="F131" s="433" t="s">
        <v>241</v>
      </c>
      <c r="H131" s="433" t="s">
        <v>1486</v>
      </c>
      <c r="I131" s="433"/>
    </row>
    <row r="132" spans="1:9">
      <c r="A132" s="581"/>
      <c r="B132" s="433" t="s">
        <v>1210</v>
      </c>
      <c r="C132" s="433" t="s">
        <v>1347</v>
      </c>
      <c r="D132" s="433" t="s">
        <v>1491</v>
      </c>
      <c r="E132" s="433" t="s">
        <v>1492</v>
      </c>
      <c r="F132" s="433" t="s">
        <v>233</v>
      </c>
      <c r="H132" s="433" t="s">
        <v>1486</v>
      </c>
      <c r="I132" s="433"/>
    </row>
    <row r="133" spans="1:9">
      <c r="A133" s="581"/>
      <c r="B133" s="433" t="s">
        <v>1210</v>
      </c>
      <c r="C133" s="433" t="s">
        <v>1211</v>
      </c>
      <c r="D133" s="433" t="s">
        <v>1493</v>
      </c>
      <c r="E133" s="433" t="s">
        <v>1494</v>
      </c>
      <c r="F133" s="433" t="s">
        <v>233</v>
      </c>
      <c r="H133" s="433" t="s">
        <v>1495</v>
      </c>
      <c r="I133" s="433"/>
    </row>
    <row r="134" spans="1:9">
      <c r="A134" s="581"/>
      <c r="B134" s="433" t="s">
        <v>1210</v>
      </c>
      <c r="C134" s="433" t="s">
        <v>946</v>
      </c>
      <c r="D134" s="433" t="s">
        <v>1496</v>
      </c>
      <c r="E134" s="433" t="s">
        <v>1497</v>
      </c>
      <c r="F134" s="433" t="s">
        <v>231</v>
      </c>
      <c r="H134" s="433" t="s">
        <v>1495</v>
      </c>
      <c r="I134" s="433"/>
    </row>
    <row r="135" spans="1:9">
      <c r="A135" s="581"/>
      <c r="B135" s="433" t="s">
        <v>1210</v>
      </c>
      <c r="C135" s="433" t="s">
        <v>946</v>
      </c>
      <c r="D135" s="433" t="s">
        <v>1498</v>
      </c>
      <c r="E135" s="433" t="s">
        <v>1499</v>
      </c>
      <c r="F135" s="433" t="s">
        <v>230</v>
      </c>
      <c r="H135" s="433" t="s">
        <v>1495</v>
      </c>
      <c r="I135" s="433"/>
    </row>
    <row r="136" spans="1:9">
      <c r="A136" s="581"/>
      <c r="B136" s="433" t="s">
        <v>1266</v>
      </c>
      <c r="C136" s="433" t="s">
        <v>663</v>
      </c>
      <c r="D136" s="433" t="s">
        <v>689</v>
      </c>
      <c r="E136" s="433" t="s">
        <v>1500</v>
      </c>
      <c r="F136" s="433" t="s">
        <v>265</v>
      </c>
      <c r="H136" s="433" t="s">
        <v>1495</v>
      </c>
      <c r="I136" s="433"/>
    </row>
    <row r="137" spans="1:9">
      <c r="A137" s="581"/>
      <c r="B137" s="433" t="s">
        <v>1207</v>
      </c>
      <c r="C137" s="433" t="s">
        <v>686</v>
      </c>
      <c r="D137" s="433" t="s">
        <v>691</v>
      </c>
      <c r="E137" s="433" t="s">
        <v>690</v>
      </c>
      <c r="F137" s="433" t="s">
        <v>258</v>
      </c>
      <c r="H137" s="433" t="s">
        <v>1495</v>
      </c>
      <c r="I137" s="433"/>
    </row>
    <row r="138" spans="1:9">
      <c r="A138" s="581"/>
      <c r="B138" s="433" t="s">
        <v>1501</v>
      </c>
      <c r="C138" s="433" t="s">
        <v>1502</v>
      </c>
      <c r="D138" s="433" t="s">
        <v>1503</v>
      </c>
      <c r="E138" s="433" t="s">
        <v>1504</v>
      </c>
      <c r="F138" s="433" t="s">
        <v>271</v>
      </c>
      <c r="H138" s="433" t="s">
        <v>1505</v>
      </c>
      <c r="I138" s="433"/>
    </row>
    <row r="139" spans="1:9">
      <c r="A139" s="581"/>
      <c r="B139" s="433" t="s">
        <v>1266</v>
      </c>
      <c r="C139" s="433" t="s">
        <v>946</v>
      </c>
      <c r="D139" s="433" t="s">
        <v>710</v>
      </c>
      <c r="E139" s="433" t="s">
        <v>709</v>
      </c>
      <c r="F139" s="433" t="s">
        <v>266</v>
      </c>
      <c r="H139" s="433" t="s">
        <v>1505</v>
      </c>
      <c r="I139" s="433"/>
    </row>
    <row r="140" spans="1:9">
      <c r="A140" s="581"/>
      <c r="B140" s="433" t="s">
        <v>1210</v>
      </c>
      <c r="C140" s="433" t="s">
        <v>1211</v>
      </c>
      <c r="D140" s="433" t="s">
        <v>1506</v>
      </c>
      <c r="E140" s="433" t="s">
        <v>1507</v>
      </c>
      <c r="F140" s="433" t="s">
        <v>232</v>
      </c>
      <c r="H140" s="433" t="s">
        <v>1508</v>
      </c>
      <c r="I140" s="433"/>
    </row>
    <row r="141" spans="1:9">
      <c r="A141" s="581"/>
      <c r="B141" s="433" t="s">
        <v>1210</v>
      </c>
      <c r="C141" s="433" t="s">
        <v>1211</v>
      </c>
      <c r="D141" s="433" t="s">
        <v>1509</v>
      </c>
      <c r="E141" s="433" t="s">
        <v>1510</v>
      </c>
      <c r="F141" s="433" t="s">
        <v>232</v>
      </c>
      <c r="H141" s="433" t="s">
        <v>1508</v>
      </c>
      <c r="I141" s="433"/>
    </row>
    <row r="142" spans="1:9">
      <c r="A142" s="581"/>
      <c r="B142" s="433" t="s">
        <v>1210</v>
      </c>
      <c r="C142" s="433" t="s">
        <v>1341</v>
      </c>
      <c r="D142" s="433" t="s">
        <v>1511</v>
      </c>
      <c r="E142" s="433" t="s">
        <v>1512</v>
      </c>
      <c r="F142" s="433" t="s">
        <v>232</v>
      </c>
      <c r="H142" s="433" t="s">
        <v>1513</v>
      </c>
      <c r="I142" s="433"/>
    </row>
    <row r="143" spans="1:9">
      <c r="A143" s="581"/>
      <c r="B143" s="433" t="s">
        <v>1217</v>
      </c>
      <c r="C143" s="433" t="s">
        <v>1211</v>
      </c>
      <c r="D143" s="433" t="s">
        <v>1514</v>
      </c>
      <c r="E143" s="433" t="s">
        <v>1515</v>
      </c>
      <c r="F143" s="433" t="s">
        <v>251</v>
      </c>
      <c r="H143" s="433" t="s">
        <v>1513</v>
      </c>
      <c r="I143" s="433"/>
    </row>
    <row r="144" spans="1:9">
      <c r="A144" s="581"/>
      <c r="B144" s="433" t="s">
        <v>1217</v>
      </c>
      <c r="C144" s="433" t="s">
        <v>1211</v>
      </c>
      <c r="D144" s="433" t="s">
        <v>1516</v>
      </c>
      <c r="E144" s="433" t="s">
        <v>1517</v>
      </c>
      <c r="F144" s="433" t="s">
        <v>250</v>
      </c>
      <c r="H144" s="433" t="s">
        <v>1513</v>
      </c>
      <c r="I144" s="433"/>
    </row>
    <row r="145" spans="1:9">
      <c r="A145" s="581"/>
      <c r="B145" s="433" t="s">
        <v>1236</v>
      </c>
      <c r="C145" s="433" t="s">
        <v>1211</v>
      </c>
      <c r="D145" s="433" t="s">
        <v>1518</v>
      </c>
      <c r="E145" s="433" t="s">
        <v>1519</v>
      </c>
      <c r="F145" s="433" t="s">
        <v>243</v>
      </c>
      <c r="H145" s="433" t="s">
        <v>1513</v>
      </c>
      <c r="I145" s="433"/>
    </row>
    <row r="146" spans="1:9">
      <c r="A146" s="581"/>
      <c r="B146" s="433" t="s">
        <v>1236</v>
      </c>
      <c r="C146" s="433" t="s">
        <v>1211</v>
      </c>
      <c r="D146" s="433" t="s">
        <v>1520</v>
      </c>
      <c r="E146" s="433" t="s">
        <v>1521</v>
      </c>
      <c r="F146" s="433" t="s">
        <v>242</v>
      </c>
      <c r="H146" s="433" t="s">
        <v>1513</v>
      </c>
      <c r="I146" s="433"/>
    </row>
    <row r="147" spans="1:9">
      <c r="A147" s="581"/>
      <c r="B147" s="433" t="s">
        <v>1321</v>
      </c>
      <c r="C147" s="433" t="s">
        <v>1211</v>
      </c>
      <c r="D147" s="433" t="s">
        <v>1522</v>
      </c>
      <c r="E147" s="433" t="s">
        <v>1523</v>
      </c>
      <c r="F147" s="433" t="s">
        <v>262</v>
      </c>
      <c r="H147" s="433" t="s">
        <v>1513</v>
      </c>
      <c r="I147" s="433"/>
    </row>
    <row r="148" spans="1:9">
      <c r="A148" s="581"/>
      <c r="B148" s="433" t="s">
        <v>1210</v>
      </c>
      <c r="C148" s="433" t="s">
        <v>1211</v>
      </c>
      <c r="D148" s="433" t="s">
        <v>1524</v>
      </c>
      <c r="E148" s="433" t="s">
        <v>1525</v>
      </c>
      <c r="F148" s="433" t="s">
        <v>230</v>
      </c>
      <c r="H148" s="433" t="s">
        <v>1513</v>
      </c>
      <c r="I148" s="433"/>
    </row>
    <row r="149" spans="1:9">
      <c r="A149" s="581"/>
      <c r="B149" s="433" t="s">
        <v>1210</v>
      </c>
      <c r="C149" s="433" t="s">
        <v>1211</v>
      </c>
      <c r="D149" s="433" t="s">
        <v>1526</v>
      </c>
      <c r="E149" s="433" t="s">
        <v>1527</v>
      </c>
      <c r="F149" s="433" t="s">
        <v>231</v>
      </c>
      <c r="H149" s="433" t="s">
        <v>1513</v>
      </c>
      <c r="I149" s="433"/>
    </row>
    <row r="150" spans="1:9">
      <c r="A150" s="581"/>
      <c r="B150" s="433" t="s">
        <v>1266</v>
      </c>
      <c r="C150" s="433" t="s">
        <v>663</v>
      </c>
      <c r="D150" s="433" t="s">
        <v>1528</v>
      </c>
      <c r="E150" s="433" t="s">
        <v>1529</v>
      </c>
      <c r="F150" s="433" t="s">
        <v>269</v>
      </c>
      <c r="H150" s="433" t="s">
        <v>1513</v>
      </c>
      <c r="I150" s="433"/>
    </row>
    <row r="151" spans="1:9">
      <c r="A151" s="581"/>
      <c r="B151" s="433" t="s">
        <v>1207</v>
      </c>
      <c r="C151" s="433" t="s">
        <v>671</v>
      </c>
      <c r="D151" s="433" t="s">
        <v>1530</v>
      </c>
      <c r="E151" s="433" t="s">
        <v>1531</v>
      </c>
      <c r="F151" s="433" t="s">
        <v>256</v>
      </c>
      <c r="H151" s="433" t="s">
        <v>1513</v>
      </c>
      <c r="I151" s="433"/>
    </row>
    <row r="152" spans="1:9">
      <c r="A152" s="581"/>
      <c r="B152" s="433" t="s">
        <v>1210</v>
      </c>
      <c r="C152" s="433" t="s">
        <v>663</v>
      </c>
      <c r="D152" s="433" t="s">
        <v>1532</v>
      </c>
      <c r="E152" s="433" t="s">
        <v>1533</v>
      </c>
      <c r="F152" s="433" t="s">
        <v>233</v>
      </c>
      <c r="H152" s="433" t="s">
        <v>1513</v>
      </c>
      <c r="I152" s="433"/>
    </row>
    <row r="153" spans="1:9">
      <c r="A153" s="581"/>
      <c r="B153" s="433" t="s">
        <v>1210</v>
      </c>
      <c r="C153" s="433" t="s">
        <v>663</v>
      </c>
      <c r="D153" s="433" t="s">
        <v>1534</v>
      </c>
      <c r="E153" s="433" t="s">
        <v>1535</v>
      </c>
      <c r="F153" s="433" t="s">
        <v>233</v>
      </c>
      <c r="H153" s="433" t="s">
        <v>1513</v>
      </c>
      <c r="I153" s="433"/>
    </row>
    <row r="154" spans="1:9">
      <c r="A154" s="581"/>
      <c r="B154" s="433" t="s">
        <v>1207</v>
      </c>
      <c r="C154" s="433" t="s">
        <v>946</v>
      </c>
      <c r="D154" s="433" t="s">
        <v>1536</v>
      </c>
      <c r="E154" s="433" t="s">
        <v>1537</v>
      </c>
      <c r="F154" s="433" t="s">
        <v>259</v>
      </c>
      <c r="H154" s="433" t="s">
        <v>1513</v>
      </c>
      <c r="I154" s="433"/>
    </row>
    <row r="155" spans="1:9">
      <c r="A155" s="581"/>
      <c r="B155" s="433" t="s">
        <v>1217</v>
      </c>
      <c r="C155" s="433" t="s">
        <v>979</v>
      </c>
      <c r="D155" s="433" t="s">
        <v>1538</v>
      </c>
      <c r="E155" s="433" t="s">
        <v>1539</v>
      </c>
      <c r="F155" s="433" t="s">
        <v>252</v>
      </c>
      <c r="H155" s="433" t="s">
        <v>1513</v>
      </c>
      <c r="I155" s="433"/>
    </row>
    <row r="156" spans="1:9">
      <c r="A156" s="581"/>
      <c r="B156" s="433" t="s">
        <v>1425</v>
      </c>
      <c r="C156" s="433" t="s">
        <v>663</v>
      </c>
      <c r="D156" s="433" t="s">
        <v>1540</v>
      </c>
      <c r="E156" s="433" t="s">
        <v>1541</v>
      </c>
      <c r="F156" s="433" t="s">
        <v>247</v>
      </c>
      <c r="H156" s="433" t="s">
        <v>1513</v>
      </c>
      <c r="I156" s="433"/>
    </row>
    <row r="157" spans="1:9">
      <c r="A157" s="581"/>
      <c r="B157" s="433" t="s">
        <v>1236</v>
      </c>
      <c r="C157" s="433" t="s">
        <v>946</v>
      </c>
      <c r="D157" s="433" t="s">
        <v>1542</v>
      </c>
      <c r="E157" s="433" t="s">
        <v>1543</v>
      </c>
      <c r="F157" s="433" t="s">
        <v>243</v>
      </c>
      <c r="H157" s="433" t="s">
        <v>1513</v>
      </c>
      <c r="I157" s="433"/>
    </row>
    <row r="158" spans="1:9">
      <c r="A158" s="581"/>
      <c r="B158" s="433" t="s">
        <v>1217</v>
      </c>
      <c r="C158" s="433" t="s">
        <v>663</v>
      </c>
      <c r="D158" s="433" t="s">
        <v>1544</v>
      </c>
      <c r="E158" s="433" t="s">
        <v>1545</v>
      </c>
      <c r="F158" s="433" t="s">
        <v>251</v>
      </c>
      <c r="H158" s="433" t="s">
        <v>1513</v>
      </c>
      <c r="I158" s="433"/>
    </row>
    <row r="159" spans="1:9">
      <c r="A159" s="581"/>
      <c r="B159" s="433" t="s">
        <v>1217</v>
      </c>
      <c r="C159" s="433" t="s">
        <v>1291</v>
      </c>
      <c r="D159" s="433" t="s">
        <v>1546</v>
      </c>
      <c r="E159" s="433" t="s">
        <v>1547</v>
      </c>
      <c r="F159" s="433" t="s">
        <v>252</v>
      </c>
      <c r="H159" s="433" t="s">
        <v>1513</v>
      </c>
      <c r="I159" s="433"/>
    </row>
    <row r="160" spans="1:9">
      <c r="A160" s="581"/>
      <c r="B160" s="433" t="s">
        <v>1236</v>
      </c>
      <c r="C160" s="433" t="s">
        <v>671</v>
      </c>
      <c r="D160" s="433" t="s">
        <v>1548</v>
      </c>
      <c r="E160" s="433" t="s">
        <v>1549</v>
      </c>
      <c r="F160" s="433" t="s">
        <v>243</v>
      </c>
      <c r="H160" s="433" t="s">
        <v>1513</v>
      </c>
      <c r="I160" s="433"/>
    </row>
    <row r="161" spans="1:10">
      <c r="A161" s="581"/>
      <c r="B161" s="433" t="s">
        <v>1266</v>
      </c>
      <c r="C161" s="433" t="s">
        <v>863</v>
      </c>
      <c r="D161" s="433" t="s">
        <v>1025</v>
      </c>
      <c r="E161" s="433" t="s">
        <v>1550</v>
      </c>
      <c r="F161" s="433" t="s">
        <v>264</v>
      </c>
      <c r="H161" s="433" t="s">
        <v>1513</v>
      </c>
      <c r="I161" s="433"/>
    </row>
    <row r="162" spans="1:10">
      <c r="A162" s="581"/>
      <c r="B162" s="433" t="s">
        <v>1236</v>
      </c>
      <c r="C162" s="433" t="s">
        <v>663</v>
      </c>
      <c r="D162" s="433" t="s">
        <v>1551</v>
      </c>
      <c r="E162" s="433" t="s">
        <v>1552</v>
      </c>
      <c r="F162" s="433" t="s">
        <v>243</v>
      </c>
      <c r="H162" s="433" t="s">
        <v>1553</v>
      </c>
      <c r="I162" s="433"/>
    </row>
    <row r="163" spans="1:10">
      <c r="A163" s="581"/>
      <c r="B163" s="433" t="s">
        <v>1266</v>
      </c>
      <c r="C163" s="433" t="s">
        <v>663</v>
      </c>
      <c r="D163" s="433" t="s">
        <v>1554</v>
      </c>
      <c r="E163" s="433" t="s">
        <v>1555</v>
      </c>
      <c r="F163" s="433" t="s">
        <v>264</v>
      </c>
      <c r="H163" s="433" t="s">
        <v>1553</v>
      </c>
      <c r="I163" s="433"/>
    </row>
    <row r="164" spans="1:10">
      <c r="A164" s="581"/>
      <c r="B164" s="433" t="s">
        <v>1217</v>
      </c>
      <c r="C164" s="433" t="s">
        <v>663</v>
      </c>
      <c r="D164" s="433" t="s">
        <v>1556</v>
      </c>
      <c r="E164" s="433" t="s">
        <v>1557</v>
      </c>
      <c r="F164" s="433" t="s">
        <v>250</v>
      </c>
      <c r="H164" s="433" t="s">
        <v>1553</v>
      </c>
      <c r="I164" s="433"/>
    </row>
    <row r="165" spans="1:10">
      <c r="A165" s="581"/>
      <c r="B165" s="433" t="s">
        <v>1217</v>
      </c>
      <c r="C165" s="433" t="s">
        <v>1211</v>
      </c>
      <c r="D165" s="433" t="s">
        <v>1558</v>
      </c>
      <c r="E165" s="433" t="s">
        <v>1559</v>
      </c>
      <c r="F165" s="433" t="s">
        <v>252</v>
      </c>
      <c r="H165" s="433" t="s">
        <v>1553</v>
      </c>
      <c r="I165" s="433"/>
    </row>
    <row r="166" spans="1:10">
      <c r="A166" s="581"/>
      <c r="B166" s="433" t="s">
        <v>1210</v>
      </c>
      <c r="C166" s="433" t="s">
        <v>1211</v>
      </c>
      <c r="D166" s="433" t="s">
        <v>1560</v>
      </c>
      <c r="E166" s="433" t="s">
        <v>1561</v>
      </c>
      <c r="F166" s="433" t="s">
        <v>230</v>
      </c>
      <c r="H166" s="433" t="s">
        <v>1553</v>
      </c>
      <c r="I166" s="433"/>
    </row>
    <row r="167" spans="1:10">
      <c r="A167" s="581"/>
      <c r="B167" s="433" t="s">
        <v>1210</v>
      </c>
      <c r="C167" s="433" t="s">
        <v>1211</v>
      </c>
      <c r="D167" s="433" t="s">
        <v>1562</v>
      </c>
      <c r="E167" s="433" t="s">
        <v>1563</v>
      </c>
      <c r="F167" s="433" t="s">
        <v>230</v>
      </c>
      <c r="H167" s="433" t="s">
        <v>1553</v>
      </c>
      <c r="I167" s="433"/>
    </row>
    <row r="168" spans="1:10">
      <c r="A168" s="581"/>
      <c r="B168" s="433" t="s">
        <v>1266</v>
      </c>
      <c r="C168" s="433" t="s">
        <v>1347</v>
      </c>
      <c r="D168" s="578" t="s">
        <v>1564</v>
      </c>
      <c r="E168" s="433" t="s">
        <v>1565</v>
      </c>
      <c r="F168" s="433" t="s">
        <v>265</v>
      </c>
      <c r="H168" s="433" t="s">
        <v>1566</v>
      </c>
      <c r="I168" s="433"/>
    </row>
    <row r="169" spans="1:10">
      <c r="A169" s="581"/>
      <c r="B169" s="433" t="s">
        <v>1210</v>
      </c>
      <c r="C169" s="433" t="s">
        <v>1211</v>
      </c>
      <c r="D169" s="579" t="s">
        <v>1567</v>
      </c>
      <c r="E169" s="433" t="s">
        <v>1568</v>
      </c>
      <c r="F169" s="433" t="s">
        <v>233</v>
      </c>
      <c r="H169" s="433" t="s">
        <v>1566</v>
      </c>
      <c r="I169" s="433"/>
      <c r="J169" s="433" t="s">
        <v>1569</v>
      </c>
    </row>
    <row r="170" spans="1:10">
      <c r="A170" s="581"/>
      <c r="B170" s="433" t="s">
        <v>1207</v>
      </c>
      <c r="C170" s="433" t="s">
        <v>1237</v>
      </c>
      <c r="D170" s="578" t="s">
        <v>1570</v>
      </c>
      <c r="E170" s="433" t="s">
        <v>1571</v>
      </c>
      <c r="F170" s="433" t="s">
        <v>260</v>
      </c>
      <c r="H170" s="433" t="s">
        <v>1566</v>
      </c>
      <c r="I170" s="433"/>
    </row>
    <row r="171" spans="1:10">
      <c r="A171" s="581"/>
      <c r="B171" s="433" t="s">
        <v>1425</v>
      </c>
      <c r="C171" s="433" t="s">
        <v>946</v>
      </c>
      <c r="D171" s="578" t="s">
        <v>1572</v>
      </c>
      <c r="E171" s="433" t="s">
        <v>1573</v>
      </c>
      <c r="F171" s="433" t="s">
        <v>247</v>
      </c>
      <c r="H171" s="433" t="s">
        <v>1566</v>
      </c>
      <c r="I171" s="433"/>
    </row>
    <row r="172" spans="1:10">
      <c r="A172" s="581"/>
      <c r="B172" s="433" t="s">
        <v>1266</v>
      </c>
      <c r="C172" s="433" t="s">
        <v>663</v>
      </c>
      <c r="D172" s="578" t="s">
        <v>1574</v>
      </c>
      <c r="E172" s="433" t="s">
        <v>1575</v>
      </c>
      <c r="F172" s="433" t="s">
        <v>266</v>
      </c>
      <c r="H172" s="433" t="s">
        <v>1566</v>
      </c>
      <c r="I172" s="433"/>
    </row>
    <row r="173" spans="1:10">
      <c r="A173" s="581"/>
      <c r="B173" s="433" t="s">
        <v>1207</v>
      </c>
      <c r="C173" s="433" t="s">
        <v>863</v>
      </c>
      <c r="D173" s="578" t="s">
        <v>1576</v>
      </c>
      <c r="E173" s="433" t="s">
        <v>1577</v>
      </c>
      <c r="F173" s="433" t="s">
        <v>258</v>
      </c>
      <c r="H173" s="433" t="s">
        <v>1566</v>
      </c>
      <c r="I173" s="433"/>
    </row>
    <row r="174" spans="1:10">
      <c r="A174" s="581"/>
      <c r="B174" s="433" t="s">
        <v>1266</v>
      </c>
      <c r="C174" s="433" t="s">
        <v>663</v>
      </c>
      <c r="D174" s="578" t="s">
        <v>1578</v>
      </c>
      <c r="E174" s="433" t="s">
        <v>1579</v>
      </c>
      <c r="F174" s="433" t="s">
        <v>264</v>
      </c>
      <c r="H174" s="433" t="s">
        <v>1566</v>
      </c>
      <c r="I174" s="433"/>
    </row>
    <row r="175" spans="1:10">
      <c r="A175" s="581"/>
      <c r="B175" s="433" t="s">
        <v>1217</v>
      </c>
      <c r="C175" s="433" t="s">
        <v>863</v>
      </c>
      <c r="D175" s="578" t="s">
        <v>1580</v>
      </c>
      <c r="E175" s="433" t="s">
        <v>1581</v>
      </c>
      <c r="F175" s="433" t="s">
        <v>251</v>
      </c>
      <c r="H175" s="433" t="s">
        <v>1566</v>
      </c>
      <c r="I175" s="433"/>
    </row>
    <row r="176" spans="1:10">
      <c r="A176" s="581"/>
      <c r="B176" s="433" t="s">
        <v>1217</v>
      </c>
      <c r="C176" s="433" t="s">
        <v>686</v>
      </c>
      <c r="D176" s="578" t="s">
        <v>1582</v>
      </c>
      <c r="E176" s="433" t="s">
        <v>1583</v>
      </c>
      <c r="F176" s="433" t="s">
        <v>252</v>
      </c>
      <c r="H176" s="433" t="s">
        <v>1566</v>
      </c>
      <c r="I176" s="433"/>
    </row>
    <row r="177" spans="1:10">
      <c r="A177" s="581"/>
      <c r="B177" s="433" t="s">
        <v>1210</v>
      </c>
      <c r="C177" s="433" t="s">
        <v>946</v>
      </c>
      <c r="D177" s="578" t="s">
        <v>1584</v>
      </c>
      <c r="E177" s="433" t="s">
        <v>1585</v>
      </c>
      <c r="F177" s="433" t="s">
        <v>231</v>
      </c>
      <c r="H177" s="433" t="s">
        <v>1586</v>
      </c>
      <c r="I177" s="433"/>
    </row>
    <row r="178" spans="1:10">
      <c r="A178" s="581"/>
      <c r="B178" s="433" t="s">
        <v>1587</v>
      </c>
      <c r="C178" s="433" t="s">
        <v>946</v>
      </c>
      <c r="D178" s="580" t="s">
        <v>1588</v>
      </c>
      <c r="E178" s="433" t="s">
        <v>1589</v>
      </c>
      <c r="F178" s="433" t="s">
        <v>1590</v>
      </c>
      <c r="H178" s="433" t="s">
        <v>1591</v>
      </c>
      <c r="I178" s="433"/>
    </row>
    <row r="179" spans="1:10">
      <c r="A179" s="581"/>
      <c r="B179" s="433" t="s">
        <v>1210</v>
      </c>
      <c r="C179" s="433" t="s">
        <v>863</v>
      </c>
      <c r="D179" s="433" t="s">
        <v>1592</v>
      </c>
      <c r="E179" s="433" t="s">
        <v>1593</v>
      </c>
      <c r="F179" s="433" t="s">
        <v>232</v>
      </c>
      <c r="H179" s="433" t="s">
        <v>1594</v>
      </c>
      <c r="I179" s="433"/>
    </row>
    <row r="180" spans="1:10">
      <c r="A180" s="581"/>
      <c r="B180" s="433" t="s">
        <v>1207</v>
      </c>
      <c r="C180" s="433" t="s">
        <v>1595</v>
      </c>
      <c r="D180" s="433" t="s">
        <v>1596</v>
      </c>
      <c r="E180" s="433" t="s">
        <v>1597</v>
      </c>
      <c r="F180" s="433" t="s">
        <v>260</v>
      </c>
      <c r="H180" s="433" t="s">
        <v>1594</v>
      </c>
      <c r="I180" s="433"/>
    </row>
    <row r="181" spans="1:10">
      <c r="A181" s="581"/>
      <c r="B181" s="433" t="s">
        <v>1236</v>
      </c>
      <c r="C181" s="433" t="s">
        <v>663</v>
      </c>
      <c r="D181" s="433" t="s">
        <v>1598</v>
      </c>
      <c r="E181" s="433" t="s">
        <v>1599</v>
      </c>
      <c r="F181" s="433" t="s">
        <v>243</v>
      </c>
      <c r="H181" s="433" t="s">
        <v>1600</v>
      </c>
      <c r="I181" s="433"/>
    </row>
    <row r="182" spans="1:10">
      <c r="A182" s="433"/>
      <c r="B182" s="433" t="s">
        <v>1236</v>
      </c>
      <c r="C182" s="433" t="s">
        <v>1347</v>
      </c>
      <c r="D182" s="579" t="s">
        <v>1601</v>
      </c>
      <c r="E182" s="433" t="s">
        <v>1602</v>
      </c>
      <c r="F182" s="433" t="s">
        <v>243</v>
      </c>
      <c r="H182" s="433" t="s">
        <v>1600</v>
      </c>
      <c r="I182" s="433"/>
      <c r="J182" s="433" t="s">
        <v>1569</v>
      </c>
    </row>
    <row r="183" spans="1:10">
      <c r="A183" s="433"/>
      <c r="B183" s="433" t="s">
        <v>1207</v>
      </c>
      <c r="C183" s="433" t="s">
        <v>946</v>
      </c>
      <c r="D183" s="580" t="s">
        <v>1603</v>
      </c>
      <c r="E183" s="433" t="s">
        <v>1604</v>
      </c>
      <c r="F183" s="433" t="s">
        <v>257</v>
      </c>
      <c r="H183" s="433" t="s">
        <v>1600</v>
      </c>
      <c r="I183" s="433"/>
    </row>
    <row r="184" spans="1:10">
      <c r="A184" s="433"/>
      <c r="B184" s="433" t="s">
        <v>1207</v>
      </c>
      <c r="C184" s="433" t="s">
        <v>663</v>
      </c>
      <c r="D184" s="580" t="s">
        <v>1605</v>
      </c>
      <c r="E184" s="433" t="s">
        <v>1606</v>
      </c>
      <c r="F184" s="433" t="s">
        <v>259</v>
      </c>
      <c r="H184" s="433" t="s">
        <v>1600</v>
      </c>
      <c r="I184" s="433"/>
    </row>
    <row r="185" spans="1:10">
      <c r="A185" s="433"/>
      <c r="B185" s="433" t="s">
        <v>1207</v>
      </c>
      <c r="C185" s="433" t="s">
        <v>946</v>
      </c>
      <c r="D185" s="580" t="s">
        <v>1607</v>
      </c>
      <c r="E185" s="433" t="s">
        <v>1608</v>
      </c>
      <c r="F185" s="433" t="s">
        <v>257</v>
      </c>
      <c r="H185" s="433" t="s">
        <v>1600</v>
      </c>
      <c r="I185" s="433"/>
    </row>
    <row r="186" spans="1:10">
      <c r="A186" s="433"/>
      <c r="B186" s="433" t="s">
        <v>1266</v>
      </c>
      <c r="C186" s="433" t="s">
        <v>671</v>
      </c>
      <c r="D186" s="580" t="s">
        <v>1609</v>
      </c>
      <c r="E186" s="433" t="s">
        <v>1610</v>
      </c>
      <c r="F186" s="433" t="s">
        <v>264</v>
      </c>
      <c r="H186" s="433" t="s">
        <v>1600</v>
      </c>
      <c r="I186" s="433"/>
    </row>
    <row r="187" spans="1:10">
      <c r="A187" s="433"/>
      <c r="B187" s="433" t="s">
        <v>1210</v>
      </c>
      <c r="C187" s="433" t="s">
        <v>1611</v>
      </c>
      <c r="D187" s="577" t="s">
        <v>1612</v>
      </c>
      <c r="E187" s="433" t="s">
        <v>1613</v>
      </c>
      <c r="F187" s="433" t="s">
        <v>232</v>
      </c>
      <c r="H187" s="433" t="s">
        <v>1600</v>
      </c>
      <c r="I187" s="433"/>
    </row>
    <row r="188" spans="1:10">
      <c r="A188" s="433"/>
      <c r="B188" s="433" t="s">
        <v>1207</v>
      </c>
      <c r="C188" s="433" t="s">
        <v>863</v>
      </c>
      <c r="D188" s="580" t="s">
        <v>1614</v>
      </c>
      <c r="E188" s="433" t="s">
        <v>1615</v>
      </c>
      <c r="F188" s="433" t="s">
        <v>256</v>
      </c>
      <c r="H188" s="433" t="s">
        <v>1600</v>
      </c>
      <c r="I188" s="433"/>
    </row>
    <row r="189" spans="1:10">
      <c r="A189" s="433"/>
      <c r="B189" s="433" t="s">
        <v>1207</v>
      </c>
      <c r="C189" s="433" t="s">
        <v>663</v>
      </c>
      <c r="D189" s="433" t="s">
        <v>1616</v>
      </c>
      <c r="E189" s="433" t="s">
        <v>1617</v>
      </c>
      <c r="F189" s="433" t="s">
        <v>257</v>
      </c>
      <c r="H189" s="433" t="s">
        <v>1600</v>
      </c>
      <c r="I189" s="433"/>
    </row>
    <row r="190" spans="1:10">
      <c r="A190" s="433"/>
      <c r="B190" s="433" t="s">
        <v>1210</v>
      </c>
      <c r="C190" s="433" t="s">
        <v>1211</v>
      </c>
      <c r="D190" s="577" t="s">
        <v>1618</v>
      </c>
      <c r="E190" s="433" t="s">
        <v>1619</v>
      </c>
      <c r="F190" s="433" t="s">
        <v>231</v>
      </c>
      <c r="H190" s="433" t="s">
        <v>1600</v>
      </c>
      <c r="I190" s="433"/>
    </row>
    <row r="191" spans="1:10">
      <c r="A191" s="433"/>
    </row>
    <row r="192" spans="1:10">
      <c r="A192" s="433"/>
    </row>
    <row r="193" spans="1:1">
      <c r="A193" s="433"/>
    </row>
    <row r="194" spans="1:1">
      <c r="A194" s="433"/>
    </row>
    <row r="195" spans="1:1">
      <c r="A195" s="433"/>
    </row>
    <row r="196" spans="1:1">
      <c r="A196" s="433"/>
    </row>
    <row r="197" spans="1:1">
      <c r="A197" s="433"/>
    </row>
    <row r="198" spans="1:1">
      <c r="A198" s="433"/>
    </row>
    <row r="199" spans="1:1">
      <c r="A199" s="433"/>
    </row>
    <row r="200" spans="1:1">
      <c r="A200" s="433"/>
    </row>
    <row r="201" spans="1:1">
      <c r="A201" s="433"/>
    </row>
    <row r="202" spans="1:1">
      <c r="A202" s="433"/>
    </row>
    <row r="203" spans="1:1">
      <c r="A203" s="433"/>
    </row>
    <row r="204" spans="1:1">
      <c r="A204" s="433"/>
    </row>
    <row r="205" spans="1:1">
      <c r="A205" s="433"/>
    </row>
    <row r="206" spans="1:1">
      <c r="A206" s="433"/>
    </row>
    <row r="207" spans="1:1">
      <c r="A207" s="433"/>
    </row>
    <row r="208" spans="1:1">
      <c r="A208" s="433"/>
    </row>
    <row r="209" spans="1:1">
      <c r="A209" s="433"/>
    </row>
    <row r="210" spans="1:1">
      <c r="A210" s="433"/>
    </row>
    <row r="211" spans="1:1">
      <c r="A211" s="433"/>
    </row>
    <row r="212" spans="1:1">
      <c r="A212" s="433"/>
    </row>
    <row r="213" spans="1:1">
      <c r="A213" s="433"/>
    </row>
    <row r="214" spans="1:1">
      <c r="A214" s="433"/>
    </row>
    <row r="215" spans="1:1">
      <c r="A215" s="433"/>
    </row>
    <row r="216" spans="1:1">
      <c r="A216" s="433"/>
    </row>
    <row r="217" spans="1:1">
      <c r="A217" s="433"/>
    </row>
    <row r="218" spans="1:1">
      <c r="A218" s="433"/>
    </row>
    <row r="219" spans="1:1">
      <c r="A219" s="433"/>
    </row>
    <row r="220" spans="1:1">
      <c r="A220" s="433"/>
    </row>
    <row r="221" spans="1:1">
      <c r="A221" s="433"/>
    </row>
    <row r="222" spans="1:1">
      <c r="A222" s="433"/>
    </row>
    <row r="223" spans="1:1">
      <c r="A223" s="433"/>
    </row>
    <row r="224" spans="1:1">
      <c r="A224" s="433"/>
    </row>
    <row r="225" spans="1:1">
      <c r="A225" s="433"/>
    </row>
    <row r="226" spans="1:1">
      <c r="A226" s="433"/>
    </row>
    <row r="227" spans="1:1">
      <c r="A227" s="433"/>
    </row>
    <row r="228" spans="1:1">
      <c r="A228" s="433"/>
    </row>
    <row r="229" spans="1:1">
      <c r="A229" s="433"/>
    </row>
    <row r="230" spans="1:1">
      <c r="A230" s="433"/>
    </row>
    <row r="231" spans="1:1">
      <c r="A231" s="433"/>
    </row>
    <row r="232" spans="1:1">
      <c r="A232" s="433"/>
    </row>
    <row r="233" spans="1:1">
      <c r="A233" s="433"/>
    </row>
    <row r="234" spans="1:1">
      <c r="A234" s="433"/>
    </row>
    <row r="235" spans="1:1">
      <c r="A235" s="433"/>
    </row>
    <row r="236" spans="1:1">
      <c r="A236" s="433"/>
    </row>
    <row r="237" spans="1:1">
      <c r="A237" s="433"/>
    </row>
    <row r="238" spans="1:1">
      <c r="A238" s="433"/>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5"/>
  <sheetViews>
    <sheetView workbookViewId="0">
      <selection activeCell="A1" sqref="A1:AD1"/>
    </sheetView>
  </sheetViews>
  <sheetFormatPr defaultColWidth="9" defaultRowHeight="16.8"/>
  <cols>
    <col min="1" max="1" width="14.1153846153846" customWidth="1"/>
    <col min="2" max="2" width="10.8846153846154" customWidth="1"/>
    <col min="3" max="3" width="9.11538461538461" customWidth="1"/>
    <col min="4" max="4" width="16.8846153846154" customWidth="1"/>
    <col min="5" max="5" width="21.4423076923077" customWidth="1"/>
    <col min="6" max="6" width="18.4423076923077" customWidth="1"/>
    <col min="7" max="7" width="12.6634615384615" customWidth="1"/>
    <col min="8" max="8" width="14.8846153846154" customWidth="1"/>
    <col min="9" max="9" width="15.3365384615385" customWidth="1"/>
    <col min="10" max="10" width="11.8846153846154" customWidth="1"/>
    <col min="11" max="11" width="14.4423076923077" customWidth="1"/>
    <col min="12" max="12" width="15.1153846153846" customWidth="1"/>
    <col min="13" max="13" width="15.6634615384615" customWidth="1"/>
    <col min="14" max="14" width="9.11538461538461" customWidth="1"/>
    <col min="15" max="15" width="13.4423076923077" customWidth="1"/>
    <col min="16" max="16" width="9.11538461538461" customWidth="1"/>
    <col min="17" max="17" width="12.6634615384615" customWidth="1"/>
    <col min="18" max="18" width="9.11538461538461" customWidth="1"/>
    <col min="19" max="19" width="9.88461538461538" customWidth="1"/>
    <col min="20" max="20" width="12.1153846153846" customWidth="1"/>
    <col min="21" max="21" width="12.6634615384615" customWidth="1"/>
    <col min="22" max="22" width="9.11538461538461" customWidth="1"/>
    <col min="23" max="23" width="13.8846153846154" customWidth="1"/>
    <col min="24" max="24" width="9.11538461538461" customWidth="1"/>
    <col min="25" max="25" width="12.6634615384615" customWidth="1"/>
    <col min="26" max="26" width="9.11538461538461" customWidth="1"/>
    <col min="27" max="27" width="9.88461538461538" customWidth="1"/>
    <col min="28" max="28" width="9.66346153846154" customWidth="1"/>
    <col min="29" max="29" width="12.6634615384615" customWidth="1"/>
    <col min="30" max="30" width="9.11538461538461" customWidth="1"/>
  </cols>
  <sheetData>
    <row r="1" ht="32.1" customHeight="1" spans="1:29">
      <c r="A1" s="537" t="s">
        <v>1620</v>
      </c>
    </row>
    <row r="2" ht="15" customHeight="1" spans="1:29">
      <c r="A2" s="538"/>
      <c r="B2" s="192"/>
      <c r="C2" s="193"/>
      <c r="D2" s="539" t="s">
        <v>1621</v>
      </c>
      <c r="E2" s="192"/>
      <c r="F2" s="192"/>
      <c r="G2" s="193"/>
      <c r="H2" s="539" t="s">
        <v>1622</v>
      </c>
      <c r="I2" s="192"/>
      <c r="J2" s="192"/>
      <c r="K2" s="193"/>
      <c r="L2" s="539" t="s">
        <v>1623</v>
      </c>
      <c r="M2" s="192"/>
      <c r="N2" s="192"/>
      <c r="O2" s="193"/>
      <c r="P2" s="539" t="s">
        <v>1624</v>
      </c>
      <c r="Q2" s="192"/>
      <c r="R2" s="192"/>
      <c r="S2" s="193"/>
      <c r="T2" s="539" t="s">
        <v>1625</v>
      </c>
      <c r="U2" s="192"/>
      <c r="V2" s="192"/>
      <c r="W2" s="193"/>
      <c r="X2" s="539" t="s">
        <v>1626</v>
      </c>
      <c r="Y2" s="192"/>
      <c r="Z2" s="192"/>
      <c r="AA2" s="193"/>
      <c r="AB2" s="540" t="s">
        <v>1627</v>
      </c>
      <c r="AC2" s="540" t="s">
        <v>383</v>
      </c>
    </row>
    <row r="3" spans="1:29">
      <c r="A3" s="541" t="s">
        <v>141</v>
      </c>
      <c r="B3" s="541" t="s">
        <v>221</v>
      </c>
      <c r="C3" s="542" t="s">
        <v>143</v>
      </c>
      <c r="D3" s="540" t="s">
        <v>802</v>
      </c>
      <c r="E3" s="543" t="s">
        <v>1628</v>
      </c>
      <c r="F3" s="540" t="s">
        <v>465</v>
      </c>
      <c r="G3" s="540" t="s">
        <v>158</v>
      </c>
      <c r="H3" s="540" t="s">
        <v>802</v>
      </c>
      <c r="I3" s="543" t="s">
        <v>1628</v>
      </c>
      <c r="J3" s="540" t="s">
        <v>465</v>
      </c>
      <c r="K3" s="540" t="s">
        <v>158</v>
      </c>
      <c r="L3" s="540" t="s">
        <v>802</v>
      </c>
      <c r="M3" s="543" t="s">
        <v>1628</v>
      </c>
      <c r="N3" s="540" t="s">
        <v>465</v>
      </c>
      <c r="O3" s="540" t="s">
        <v>158</v>
      </c>
      <c r="P3" s="540" t="s">
        <v>802</v>
      </c>
      <c r="Q3" s="543" t="s">
        <v>1628</v>
      </c>
      <c r="R3" s="540" t="s">
        <v>465</v>
      </c>
      <c r="S3" s="540" t="s">
        <v>158</v>
      </c>
      <c r="T3" s="540" t="s">
        <v>802</v>
      </c>
      <c r="U3" s="543" t="s">
        <v>1628</v>
      </c>
      <c r="V3" s="540" t="s">
        <v>465</v>
      </c>
      <c r="W3" s="540" t="s">
        <v>158</v>
      </c>
      <c r="X3" s="540" t="s">
        <v>802</v>
      </c>
      <c r="Y3" s="543" t="s">
        <v>1628</v>
      </c>
      <c r="Z3" s="540" t="s">
        <v>465</v>
      </c>
      <c r="AA3" s="540" t="s">
        <v>158</v>
      </c>
      <c r="AB3" s="317"/>
      <c r="AC3" s="317"/>
    </row>
    <row r="4" spans="1:29">
      <c r="A4" s="544" t="s">
        <v>827</v>
      </c>
      <c r="B4" s="544"/>
      <c r="C4" s="545"/>
      <c r="D4" s="226"/>
      <c r="E4" s="543"/>
      <c r="F4" s="226"/>
      <c r="G4" s="226"/>
      <c r="H4" s="226"/>
      <c r="I4" s="543"/>
      <c r="J4" s="226"/>
      <c r="K4" s="226"/>
      <c r="L4" s="226"/>
      <c r="M4" s="543"/>
      <c r="N4" s="226"/>
      <c r="O4" s="226"/>
      <c r="P4" s="226"/>
      <c r="Q4" s="543"/>
      <c r="R4" s="226"/>
      <c r="S4" s="226"/>
      <c r="T4" s="226"/>
      <c r="U4" s="543"/>
      <c r="V4" s="226"/>
      <c r="W4" s="226"/>
      <c r="X4" s="226"/>
      <c r="Y4" s="543"/>
      <c r="Z4" s="226"/>
      <c r="AA4" s="226"/>
      <c r="AB4" s="195"/>
      <c r="AC4" s="195"/>
    </row>
    <row r="5" spans="1:29">
      <c r="A5" s="546" t="s">
        <v>1629</v>
      </c>
      <c r="B5" s="547" t="s">
        <v>276</v>
      </c>
      <c r="C5" s="548" t="s">
        <v>277</v>
      </c>
      <c r="D5" s="549" t="s">
        <v>879</v>
      </c>
      <c r="E5" s="550" t="s">
        <v>879</v>
      </c>
      <c r="F5" s="551" t="s">
        <v>879</v>
      </c>
      <c r="G5" s="552" t="s">
        <v>879</v>
      </c>
      <c r="H5" s="549" t="s">
        <v>879</v>
      </c>
      <c r="I5" s="550" t="s">
        <v>879</v>
      </c>
      <c r="J5" s="551" t="s">
        <v>879</v>
      </c>
      <c r="K5" s="552" t="s">
        <v>879</v>
      </c>
      <c r="L5" s="549" t="s">
        <v>879</v>
      </c>
      <c r="M5" s="550" t="s">
        <v>879</v>
      </c>
      <c r="N5" s="551" t="s">
        <v>879</v>
      </c>
      <c r="O5" s="552" t="s">
        <v>879</v>
      </c>
      <c r="P5" s="549" t="s">
        <v>879</v>
      </c>
      <c r="Q5" s="550" t="s">
        <v>879</v>
      </c>
      <c r="R5" s="551" t="s">
        <v>879</v>
      </c>
      <c r="S5" s="552" t="s">
        <v>879</v>
      </c>
      <c r="T5" s="549" t="s">
        <v>879</v>
      </c>
      <c r="U5" s="550" t="s">
        <v>879</v>
      </c>
      <c r="V5" s="551" t="s">
        <v>879</v>
      </c>
      <c r="W5" s="552" t="s">
        <v>879</v>
      </c>
      <c r="X5" s="549" t="s">
        <v>879</v>
      </c>
      <c r="Y5" s="550" t="s">
        <v>879</v>
      </c>
      <c r="Z5" s="551" t="s">
        <v>879</v>
      </c>
      <c r="AA5" s="552" t="s">
        <v>879</v>
      </c>
      <c r="AB5" s="553">
        <f>SUM(G5,K5,O5,S5,W5,AA5)</f>
        <v>0</v>
      </c>
      <c r="AC5" s="553"/>
    </row>
    <row r="6" spans="1:29">
      <c r="A6" s="317"/>
      <c r="B6" s="547" t="s">
        <v>11</v>
      </c>
      <c r="C6" s="548" t="s">
        <v>279</v>
      </c>
      <c r="D6" s="549"/>
      <c r="E6" s="550"/>
      <c r="F6" s="551" t="e">
        <f>E6/D6</f>
        <v>#DIV/0!</v>
      </c>
      <c r="G6" s="552" t="e">
        <f>IF(F6&gt;=1,$G$4,IF(F6&lt;1,F6*$G$4))</f>
        <v>#DIV/0!</v>
      </c>
      <c r="H6" s="549"/>
      <c r="I6" s="550"/>
      <c r="J6" s="551" t="e">
        <f>I6/H6</f>
        <v>#DIV/0!</v>
      </c>
      <c r="K6" s="552" t="e">
        <f>IF(J6&gt;=1,$K$4,IF(J6&lt;1,J6*$K$4))</f>
        <v>#DIV/0!</v>
      </c>
      <c r="L6" s="549"/>
      <c r="M6" s="550"/>
      <c r="N6" s="551" t="e">
        <f>M6/L6</f>
        <v>#DIV/0!</v>
      </c>
      <c r="O6" s="552" t="e">
        <f>IF(N6&gt;=1,$O$4,IF(N6&lt;1,N6*$O$4))</f>
        <v>#DIV/0!</v>
      </c>
      <c r="P6" s="549" t="s">
        <v>879</v>
      </c>
      <c r="Q6" s="550"/>
      <c r="R6" s="551" t="s">
        <v>879</v>
      </c>
      <c r="S6" s="552"/>
      <c r="T6" s="549"/>
      <c r="U6" s="550"/>
      <c r="V6" s="551" t="e">
        <f>U6/T6</f>
        <v>#DIV/0!</v>
      </c>
      <c r="W6" s="552" t="e">
        <f>IF(V6&gt;=1,$W$4,IF(V6&lt;1,V6*$W$4))</f>
        <v>#DIV/0!</v>
      </c>
      <c r="X6" s="549"/>
      <c r="Y6" s="550"/>
      <c r="Z6" s="551" t="e">
        <f>Y6/X6</f>
        <v>#DIV/0!</v>
      </c>
      <c r="AA6" s="552" t="e">
        <f>IF(Z6&gt;=1,$AA$4,IF(Z6&lt;1,Z6*$W$4))</f>
        <v>#DIV/0!</v>
      </c>
      <c r="AB6" s="553" t="e">
        <f>SUM(G6,K6,O6,S6,W6,AA6)</f>
        <v>#DIV/0!</v>
      </c>
      <c r="AC6" s="553" t="e">
        <f>AB6</f>
        <v>#DIV/0!</v>
      </c>
    </row>
    <row r="7" ht="15" customHeight="1" spans="1:29">
      <c r="A7" s="317"/>
      <c r="B7" s="547" t="s">
        <v>11</v>
      </c>
      <c r="C7" s="554" t="s">
        <v>280</v>
      </c>
      <c r="D7" s="549"/>
      <c r="E7" s="550"/>
      <c r="F7" s="551" t="e">
        <f>E7/D7</f>
        <v>#DIV/0!</v>
      </c>
      <c r="G7" s="552" t="e">
        <f>IF(F7&gt;=1,$G$4,IF(F7&lt;1,F7*$G$4))</f>
        <v>#DIV/0!</v>
      </c>
      <c r="H7" s="549"/>
      <c r="I7" s="550"/>
      <c r="J7" s="551" t="e">
        <f>I7/H7</f>
        <v>#DIV/0!</v>
      </c>
      <c r="K7" s="552" t="e">
        <f>IF(J7&gt;=1,$K$4,IF(J7&lt;1,J7*$K$4))</f>
        <v>#DIV/0!</v>
      </c>
      <c r="L7" s="549"/>
      <c r="M7" s="550"/>
      <c r="N7" s="551" t="e">
        <f>M7/L7</f>
        <v>#DIV/0!</v>
      </c>
      <c r="O7" s="552" t="e">
        <f>IF(N7&gt;=1,$O$4,IF(N7&lt;1,N7*$O$4))</f>
        <v>#DIV/0!</v>
      </c>
      <c r="P7" s="549" t="s">
        <v>879</v>
      </c>
      <c r="Q7" s="550"/>
      <c r="R7" s="551" t="s">
        <v>879</v>
      </c>
      <c r="S7" s="552"/>
      <c r="T7" s="549"/>
      <c r="U7" s="550"/>
      <c r="V7" s="551" t="e">
        <f>U7/T7</f>
        <v>#DIV/0!</v>
      </c>
      <c r="W7" s="552" t="e">
        <f>IF(V7&gt;=1,$W$4,IF(V7&lt;1,V7*$W$4))</f>
        <v>#DIV/0!</v>
      </c>
      <c r="X7" s="549"/>
      <c r="Y7" s="550"/>
      <c r="Z7" s="551" t="e">
        <f>Y7/X7</f>
        <v>#DIV/0!</v>
      </c>
      <c r="AA7" s="552" t="e">
        <f>IF(Z7&gt;=1,$AA$4,IF(Z7&lt;1,Z7*$W$4))</f>
        <v>#DIV/0!</v>
      </c>
      <c r="AB7" s="553" t="e">
        <f>SUM(G7,K7,O7,S7,W7,AA7)</f>
        <v>#DIV/0!</v>
      </c>
      <c r="AC7" s="553" t="e">
        <f>AB7</f>
        <v>#DIV/0!</v>
      </c>
    </row>
    <row r="8" spans="1:29">
      <c r="A8" s="317"/>
      <c r="B8" s="547" t="s">
        <v>1630</v>
      </c>
      <c r="C8" s="548" t="s">
        <v>278</v>
      </c>
      <c r="D8" s="555"/>
      <c r="E8" s="550"/>
      <c r="F8" s="551" t="e">
        <f>E8/D8</f>
        <v>#DIV/0!</v>
      </c>
      <c r="G8" s="552" t="e">
        <f>IF(F8&gt;=1,$G$4,IF(F8&lt;1,F8*$G$4))</f>
        <v>#DIV/0!</v>
      </c>
      <c r="H8" s="555"/>
      <c r="I8" s="550"/>
      <c r="J8" s="551" t="e">
        <f>I8/H8</f>
        <v>#DIV/0!</v>
      </c>
      <c r="K8" s="552" t="e">
        <f>IF(J8&gt;=1,$K$4,IF(J8&lt;1,J8*$K$4))</f>
        <v>#DIV/0!</v>
      </c>
      <c r="L8" s="555"/>
      <c r="M8" s="550"/>
      <c r="N8" s="551" t="e">
        <f>M8/L8</f>
        <v>#DIV/0!</v>
      </c>
      <c r="O8" s="552" t="e">
        <f>IF(N8&gt;=1,$O$4,IF(N8&lt;1,N8*$O$4))</f>
        <v>#DIV/0!</v>
      </c>
      <c r="P8" s="555" t="s">
        <v>879</v>
      </c>
      <c r="Q8" s="550"/>
      <c r="R8" s="555" t="s">
        <v>879</v>
      </c>
      <c r="S8" s="552"/>
      <c r="T8" s="555"/>
      <c r="U8" s="550"/>
      <c r="V8" s="551" t="e">
        <f>U8/T8</f>
        <v>#DIV/0!</v>
      </c>
      <c r="W8" s="552" t="e">
        <f>IF(V8&gt;=1,$W$4,IF(V8&lt;1,V8*$W$4))</f>
        <v>#DIV/0!</v>
      </c>
      <c r="X8" s="555"/>
      <c r="Y8" s="550"/>
      <c r="Z8" s="551" t="e">
        <f>Y8/X8</f>
        <v>#DIV/0!</v>
      </c>
      <c r="AA8" s="552" t="e">
        <f>IF(Z8&gt;=1,$AA$4,IF(Z8&lt;1,Z8*$W$4))</f>
        <v>#DIV/0!</v>
      </c>
      <c r="AB8" s="553" t="e">
        <f>SUM(G8,K8,O8,S8,W8,AA8)</f>
        <v>#DIV/0!</v>
      </c>
      <c r="AC8" s="553" t="e">
        <f>AB8</f>
        <v>#DIV/0!</v>
      </c>
    </row>
    <row r="9" spans="1:29">
      <c r="A9" s="195"/>
      <c r="B9" s="556" t="s">
        <v>193</v>
      </c>
      <c r="C9" s="557"/>
      <c r="D9" s="556"/>
      <c r="E9" s="556"/>
      <c r="F9" s="556"/>
      <c r="G9" s="558"/>
      <c r="H9" s="556"/>
      <c r="I9" s="556"/>
      <c r="J9" s="556"/>
      <c r="K9" s="558"/>
      <c r="L9" s="556"/>
      <c r="M9" s="556"/>
      <c r="N9" s="556"/>
      <c r="O9" s="558"/>
      <c r="P9" s="556"/>
      <c r="Q9" s="556"/>
      <c r="R9" s="556"/>
      <c r="S9" s="558"/>
      <c r="T9" s="556"/>
      <c r="U9" s="556"/>
      <c r="V9" s="556"/>
      <c r="W9" s="558"/>
      <c r="X9" s="556"/>
      <c r="Y9" s="556"/>
      <c r="Z9" s="556"/>
      <c r="AA9" s="558"/>
      <c r="AB9" s="559">
        <f>SUM(G9,K9,O9,S9,W9,AA9)</f>
        <v>0</v>
      </c>
      <c r="AC9" s="553" t="e">
        <f>SUM(AC3:AC8)</f>
        <v>#DIV/0!</v>
      </c>
    </row>
    <row r="10" spans="1:29">
      <c r="A10" s="560"/>
      <c r="B10" s="561"/>
      <c r="L10" s="562"/>
      <c r="M10" s="562"/>
      <c r="N10" s="562"/>
      <c r="O10" s="562"/>
      <c r="P10" s="562"/>
      <c r="Q10" s="562"/>
      <c r="R10" s="562"/>
      <c r="S10" s="562"/>
      <c r="T10" s="562"/>
      <c r="U10" s="562"/>
      <c r="V10" s="562"/>
      <c r="W10" s="562"/>
      <c r="X10" s="562"/>
      <c r="Y10" s="562"/>
      <c r="Z10" s="562"/>
      <c r="AA10" s="562"/>
      <c r="AB10" s="562"/>
      <c r="AC10" s="562"/>
    </row>
    <row r="11" spans="1:29">
      <c r="D11" s="537"/>
    </row>
    <row r="12" spans="1:29">
      <c r="E12" s="537"/>
      <c r="N12" s="563"/>
    </row>
    <row r="13" spans="1:29">
      <c r="A13" s="563"/>
      <c r="B13" s="563"/>
      <c r="C13" s="563"/>
      <c r="D13" s="563"/>
      <c r="E13" s="563"/>
      <c r="F13" s="563"/>
      <c r="G13" s="563"/>
      <c r="H13" s="563"/>
      <c r="I13" s="563"/>
      <c r="J13" s="563"/>
      <c r="K13" s="563"/>
    </row>
    <row r="14" spans="1:29">
      <c r="A14" s="564" t="s">
        <v>1631</v>
      </c>
      <c r="B14" s="564" t="s">
        <v>221</v>
      </c>
      <c r="C14" s="565"/>
      <c r="D14" s="564" t="s">
        <v>1632</v>
      </c>
      <c r="E14" s="564" t="s">
        <v>1633</v>
      </c>
      <c r="F14" s="566" t="s">
        <v>1634</v>
      </c>
      <c r="G14" s="564" t="s">
        <v>1635</v>
      </c>
      <c r="H14" s="564" t="s">
        <v>1636</v>
      </c>
      <c r="I14" s="564" t="s">
        <v>1637</v>
      </c>
      <c r="J14" s="566" t="s">
        <v>1638</v>
      </c>
      <c r="K14" s="564" t="s">
        <v>1635</v>
      </c>
      <c r="L14" s="564" t="s">
        <v>1639</v>
      </c>
      <c r="M14" s="564" t="s">
        <v>1640</v>
      </c>
      <c r="N14" s="566" t="s">
        <v>1641</v>
      </c>
      <c r="O14" s="564" t="s">
        <v>158</v>
      </c>
      <c r="P14" s="566" t="s">
        <v>1642</v>
      </c>
      <c r="Q14" s="564" t="s">
        <v>1643</v>
      </c>
      <c r="R14" s="564" t="s">
        <v>158</v>
      </c>
      <c r="S14" s="566" t="s">
        <v>1644</v>
      </c>
      <c r="T14" s="564" t="s">
        <v>1643</v>
      </c>
      <c r="U14" s="564" t="s">
        <v>158</v>
      </c>
      <c r="V14" s="566" t="s">
        <v>1645</v>
      </c>
      <c r="W14" s="564" t="s">
        <v>1643</v>
      </c>
      <c r="X14" s="564" t="s">
        <v>158</v>
      </c>
      <c r="Y14" s="566" t="s">
        <v>1646</v>
      </c>
      <c r="Z14" s="564" t="s">
        <v>1643</v>
      </c>
      <c r="AA14" s="564" t="s">
        <v>158</v>
      </c>
      <c r="AB14" s="565"/>
      <c r="AC14" s="567" t="s">
        <v>1647</v>
      </c>
    </row>
    <row r="15" spans="1:29">
      <c r="A15" s="564" t="s">
        <v>1648</v>
      </c>
      <c r="B15" s="564" t="s">
        <v>1649</v>
      </c>
      <c r="C15" s="564" t="s">
        <v>281</v>
      </c>
      <c r="D15" s="568"/>
      <c r="E15" s="565"/>
      <c r="F15" s="569"/>
      <c r="G15" s="570">
        <f>IF(F15&gt;=D15,E15,IF(F15&lt;D15,E15/D15*F15))</f>
        <v>0</v>
      </c>
      <c r="H15" s="568"/>
      <c r="I15" s="565"/>
      <c r="J15" s="569"/>
      <c r="K15" s="565">
        <f>IF(J15&gt;=H15,I15,IF(J15&lt;H15,I15/H15*J15))</f>
        <v>0</v>
      </c>
      <c r="L15" s="565"/>
      <c r="M15" s="565"/>
      <c r="N15" s="571"/>
      <c r="O15" s="565">
        <f>IF(N15&lt;=L15,N15*M15,IF(N15&gt;L15,1500))</f>
        <v>0</v>
      </c>
      <c r="P15" s="571"/>
      <c r="Q15" s="565"/>
      <c r="R15" s="565">
        <f>P15*Q15</f>
        <v>0</v>
      </c>
      <c r="S15" s="571"/>
      <c r="T15" s="565"/>
      <c r="U15" s="565">
        <f>S15*T15</f>
        <v>0</v>
      </c>
      <c r="V15" s="571"/>
      <c r="W15" s="565"/>
      <c r="X15" s="565">
        <f>V15*W15</f>
        <v>0</v>
      </c>
      <c r="Y15" s="571"/>
      <c r="Z15" s="565"/>
      <c r="AA15" s="565">
        <f>Y15*Z15</f>
        <v>0</v>
      </c>
      <c r="AB15" s="565"/>
      <c r="AC15" s="572">
        <f>SUM(G15,K15,O15,R15,U15,X15,AA15)</f>
        <v>0</v>
      </c>
    </row>
  </sheetData>
  <mergeCells count="14">
    <mergeCell ref="A1:AD1"/>
    <mergeCell ref="A2:C2"/>
    <mergeCell ref="D2:G2"/>
    <mergeCell ref="H2:K2"/>
    <mergeCell ref="L2:O2"/>
    <mergeCell ref="P2:S2"/>
    <mergeCell ref="T2:W2"/>
    <mergeCell ref="X2:AA2"/>
    <mergeCell ref="B10:K10"/>
    <mergeCell ref="D11:I11"/>
    <mergeCell ref="E12:H12"/>
    <mergeCell ref="A5:A9"/>
    <mergeCell ref="AB2:AB4"/>
    <mergeCell ref="AC2:AC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3097"/>
  <sheetViews>
    <sheetView workbookViewId="0">
      <selection activeCell="A1" sqref="A1"/>
    </sheetView>
  </sheetViews>
  <sheetFormatPr defaultColWidth="9" defaultRowHeight="16.8"/>
  <cols>
    <col min="1" max="1" width="4.44230769230769" customWidth="1"/>
    <col min="2" max="2" width="8.44230769230769" customWidth="1"/>
    <col min="3" max="3" width="11.8846153846154" customWidth="1"/>
    <col min="4" max="4" width="28.4423076923077" customWidth="1"/>
    <col min="5" max="5" width="14.4423076923077" customWidth="1"/>
    <col min="6" max="6" width="12" customWidth="1"/>
    <col min="7" max="7" width="15.4423076923077" customWidth="1"/>
    <col min="8" max="8" width="17.4423076923077" customWidth="1"/>
    <col min="9" max="9" width="9.44230769230769" customWidth="1"/>
    <col min="10" max="10" width="10.4423076923077" customWidth="1"/>
    <col min="11" max="11" width="11.4423076923077" customWidth="1"/>
    <col min="12" max="12" width="12.4423076923077" customWidth="1"/>
    <col min="13" max="14" width="11.8846153846154" customWidth="1"/>
    <col min="15" max="15" width="10.4423076923077" customWidth="1"/>
    <col min="16" max="16" width="26.4423076923077" customWidth="1"/>
    <col min="17" max="17" width="13.1153846153846" customWidth="1"/>
    <col min="18" max="18" width="10.4423076923077" customWidth="1"/>
    <col min="19" max="19" width="19.4423076923077" customWidth="1"/>
    <col min="20" max="20" width="16.8846153846154" customWidth="1"/>
    <col min="21" max="21" width="15" customWidth="1"/>
    <col min="22" max="22" width="12.1153846153846" customWidth="1"/>
    <col min="25" max="25" width="13.4423076923077" customWidth="1"/>
    <col min="26" max="26" width="11.1153846153846" customWidth="1"/>
    <col min="27" max="27" width="11.4423076923077" customWidth="1"/>
    <col min="28" max="28" width="14.4423076923077" customWidth="1"/>
    <col min="29" max="29" width="13.1153846153846" customWidth="1"/>
    <col min="30" max="30" width="15.4423076923077" customWidth="1"/>
    <col min="31" max="31" width="10.8846153846154" customWidth="1"/>
    <col min="32" max="32" width="46.4423076923077" customWidth="1"/>
    <col min="33" max="33" width="17.8846153846154" customWidth="1"/>
    <col min="34" max="34" width="14.4423076923077" customWidth="1"/>
    <col min="35" max="35" width="20.4423076923077" customWidth="1"/>
    <col min="43" max="43" width="10.4423076923077" customWidth="1"/>
    <col min="65" max="65" width="10.4423076923077" customWidth="1"/>
  </cols>
  <sheetData>
    <row r="1" ht="11.25" customHeight="1" spans="1:42">
      <c r="A1" s="383" t="s">
        <v>303</v>
      </c>
      <c r="B1" s="384" t="s">
        <v>1650</v>
      </c>
      <c r="C1" s="385" t="s">
        <v>1651</v>
      </c>
      <c r="D1" s="384" t="s">
        <v>1652</v>
      </c>
      <c r="E1" s="386" t="s">
        <v>1653</v>
      </c>
      <c r="F1" s="384" t="s">
        <v>1654</v>
      </c>
      <c r="G1" s="384" t="s">
        <v>1655</v>
      </c>
      <c r="H1" s="387" t="s">
        <v>643</v>
      </c>
      <c r="I1" s="388" t="s">
        <v>1656</v>
      </c>
      <c r="J1" s="389" t="s">
        <v>1657</v>
      </c>
      <c r="K1" s="390" t="s">
        <v>1658</v>
      </c>
      <c r="L1" s="384" t="s">
        <v>1659</v>
      </c>
      <c r="M1" s="385" t="s">
        <v>1660</v>
      </c>
      <c r="N1" s="390" t="s">
        <v>1661</v>
      </c>
      <c r="O1" s="391" t="s">
        <v>1662</v>
      </c>
      <c r="P1" s="392" t="s">
        <v>1663</v>
      </c>
      <c r="Q1" s="393" t="s">
        <v>1664</v>
      </c>
      <c r="R1" s="394" t="s">
        <v>1665</v>
      </c>
      <c r="S1" s="395" t="s">
        <v>653</v>
      </c>
      <c r="T1" s="395" t="s">
        <v>643</v>
      </c>
      <c r="U1" s="396" t="s">
        <v>1666</v>
      </c>
      <c r="V1" s="397" t="s">
        <v>1667</v>
      </c>
      <c r="W1" s="398" t="s">
        <v>1668</v>
      </c>
      <c r="X1" s="399" t="s">
        <v>1669</v>
      </c>
      <c r="Y1" s="396" t="s">
        <v>1670</v>
      </c>
      <c r="Z1" s="400" t="s">
        <v>12</v>
      </c>
      <c r="AA1" s="384" t="s">
        <v>1671</v>
      </c>
      <c r="AB1" s="401" t="s">
        <v>1672</v>
      </c>
      <c r="AC1" s="402" t="s">
        <v>1673</v>
      </c>
      <c r="AD1" s="403" t="s">
        <v>1674</v>
      </c>
      <c r="AE1" s="404" t="s">
        <v>162</v>
      </c>
      <c r="AF1" s="405" t="s">
        <v>310</v>
      </c>
      <c r="AG1" s="405" t="s">
        <v>1675</v>
      </c>
      <c r="AH1" s="405" t="s">
        <v>1676</v>
      </c>
    </row>
    <row r="2" ht="15" customHeight="1" spans="1:42">
      <c r="A2" s="406">
        <f t="shared" ref="A2:A65" si="0">ROW()-1</f>
        <v>1</v>
      </c>
      <c r="B2" s="407" t="s">
        <v>1677</v>
      </c>
      <c r="C2" s="408"/>
      <c r="D2" s="409" t="s">
        <v>1209</v>
      </c>
      <c r="E2" s="410"/>
      <c r="F2" s="411"/>
      <c r="G2" s="409" t="s">
        <v>1678</v>
      </c>
      <c r="H2" s="409" t="s">
        <v>1679</v>
      </c>
      <c r="I2" s="412" t="s">
        <v>1680</v>
      </c>
      <c r="J2" s="408"/>
      <c r="K2" s="413"/>
      <c r="L2" s="408"/>
      <c r="M2" s="414"/>
      <c r="N2" s="413"/>
      <c r="O2" s="415"/>
      <c r="P2" s="416" t="s">
        <v>1209</v>
      </c>
      <c r="Q2" s="417"/>
      <c r="R2" s="418" t="s">
        <v>327</v>
      </c>
      <c r="S2" s="419" t="s">
        <v>712</v>
      </c>
      <c r="T2" s="420" t="s">
        <v>1208</v>
      </c>
      <c r="U2" s="421"/>
      <c r="V2" s="422"/>
      <c r="W2" s="410"/>
      <c r="X2" s="410"/>
      <c r="Y2" s="423"/>
      <c r="Z2" s="424" t="s">
        <v>667</v>
      </c>
      <c r="AA2" s="407" t="s">
        <v>257</v>
      </c>
      <c r="AB2" s="425"/>
      <c r="AC2" s="426">
        <f t="shared" ref="AC2:AC65" si="1">Y2*0.14</f>
        <v>0</v>
      </c>
      <c r="AD2" s="426">
        <f t="shared" ref="AD2:AD65" si="2">IF(O2&gt;=1000,O2*0.14,IF(O2&gt;=500,100,0))</f>
        <v>0</v>
      </c>
      <c r="AE2" s="426">
        <f t="shared" ref="AE2:AE65" si="3">SUM(AC2:AD2)</f>
        <v>0</v>
      </c>
      <c r="AF2" s="427"/>
      <c r="AG2" s="428"/>
      <c r="AH2" s="427"/>
      <c r="AI2" s="429" t="s">
        <v>1681</v>
      </c>
      <c r="AJ2" s="430" t="s">
        <v>1682</v>
      </c>
      <c r="AK2" s="431"/>
      <c r="AL2" s="431"/>
      <c r="AM2" s="431"/>
      <c r="AN2" s="432"/>
      <c r="AO2" s="433"/>
      <c r="AP2" s="433"/>
    </row>
    <row r="3" ht="15" customHeight="1" spans="1:42">
      <c r="A3" s="406">
        <f t="shared" si="0"/>
        <v>2</v>
      </c>
      <c r="B3" s="434" t="s">
        <v>1677</v>
      </c>
      <c r="C3" s="435"/>
      <c r="D3" s="436" t="s">
        <v>1683</v>
      </c>
      <c r="E3" s="406"/>
      <c r="F3" s="437" t="s">
        <v>1684</v>
      </c>
      <c r="G3" s="436" t="s">
        <v>1685</v>
      </c>
      <c r="H3" s="436" t="s">
        <v>1686</v>
      </c>
      <c r="I3" s="427" t="s">
        <v>1687</v>
      </c>
      <c r="J3" s="435"/>
      <c r="K3" s="438"/>
      <c r="L3" s="435"/>
      <c r="M3" s="414" t="s">
        <v>1688</v>
      </c>
      <c r="N3" s="438"/>
      <c r="O3" s="439"/>
      <c r="P3" s="440" t="s">
        <v>1683</v>
      </c>
      <c r="Q3" s="441"/>
      <c r="R3" s="383" t="s">
        <v>332</v>
      </c>
      <c r="S3" s="442" t="s">
        <v>1689</v>
      </c>
      <c r="T3" s="443" t="s">
        <v>1690</v>
      </c>
      <c r="U3" s="444"/>
      <c r="V3" s="445"/>
      <c r="W3" s="406"/>
      <c r="X3" s="406"/>
      <c r="Y3" s="423"/>
      <c r="Z3" s="446" t="s">
        <v>1017</v>
      </c>
      <c r="AA3" s="434" t="s">
        <v>166</v>
      </c>
      <c r="AB3" s="447" t="s">
        <v>1112</v>
      </c>
      <c r="AC3" s="426">
        <f t="shared" si="1"/>
        <v>0</v>
      </c>
      <c r="AD3" s="426">
        <f t="shared" si="2"/>
        <v>0</v>
      </c>
      <c r="AE3" s="426">
        <f t="shared" si="3"/>
        <v>0</v>
      </c>
      <c r="AF3" s="427"/>
      <c r="AG3" s="428"/>
      <c r="AH3" s="427"/>
      <c r="AI3" s="448"/>
      <c r="AJ3" s="449" t="s">
        <v>803</v>
      </c>
      <c r="AK3" s="450" t="s">
        <v>1691</v>
      </c>
      <c r="AL3" s="451"/>
      <c r="AM3" s="451"/>
      <c r="AN3" s="449" t="s">
        <v>1692</v>
      </c>
      <c r="AO3" s="452"/>
      <c r="AP3" s="452"/>
    </row>
    <row r="4" ht="15" customHeight="1" spans="1:42">
      <c r="A4" s="406">
        <f t="shared" si="0"/>
        <v>3</v>
      </c>
      <c r="B4" s="434" t="s">
        <v>1677</v>
      </c>
      <c r="C4" s="435"/>
      <c r="D4" s="436" t="s">
        <v>1693</v>
      </c>
      <c r="E4" s="406"/>
      <c r="F4" s="437"/>
      <c r="G4" s="436" t="s">
        <v>1694</v>
      </c>
      <c r="H4" s="436" t="s">
        <v>1695</v>
      </c>
      <c r="I4" s="427" t="s">
        <v>1696</v>
      </c>
      <c r="J4" s="435"/>
      <c r="K4" s="438"/>
      <c r="L4" s="435"/>
      <c r="M4" s="414"/>
      <c r="N4" s="438"/>
      <c r="O4" s="439"/>
      <c r="P4" s="440" t="s">
        <v>1693</v>
      </c>
      <c r="Q4" s="441"/>
      <c r="R4" s="383" t="s">
        <v>332</v>
      </c>
      <c r="S4" s="442" t="s">
        <v>663</v>
      </c>
      <c r="T4" s="443" t="s">
        <v>1697</v>
      </c>
      <c r="U4" s="444"/>
      <c r="V4" s="445"/>
      <c r="W4" s="406"/>
      <c r="X4" s="406"/>
      <c r="Y4" s="423"/>
      <c r="Z4" s="446" t="s">
        <v>455</v>
      </c>
      <c r="AA4" s="434" t="s">
        <v>200</v>
      </c>
      <c r="AB4" s="447"/>
      <c r="AC4" s="426">
        <f t="shared" si="1"/>
        <v>0</v>
      </c>
      <c r="AD4" s="426">
        <f t="shared" si="2"/>
        <v>0</v>
      </c>
      <c r="AE4" s="426">
        <f t="shared" si="3"/>
        <v>0</v>
      </c>
      <c r="AF4" s="427"/>
      <c r="AG4" s="428"/>
      <c r="AH4" s="427"/>
      <c r="AI4" s="453" t="s">
        <v>1698</v>
      </c>
      <c r="AJ4" s="454">
        <f>AJ11</f>
        <v>0</v>
      </c>
      <c r="AK4" s="455" t="s">
        <v>1699</v>
      </c>
      <c r="AL4" s="456"/>
      <c r="AM4" s="457"/>
      <c r="AN4" s="458">
        <f>AJ13</f>
        <v>0</v>
      </c>
      <c r="AO4" s="452"/>
      <c r="AP4" s="452"/>
    </row>
    <row r="5" ht="15" customHeight="1" spans="1:42">
      <c r="A5" s="406">
        <f t="shared" si="0"/>
        <v>4</v>
      </c>
      <c r="B5" s="434" t="s">
        <v>1677</v>
      </c>
      <c r="C5" s="435"/>
      <c r="D5" s="436" t="s">
        <v>1700</v>
      </c>
      <c r="E5" s="406"/>
      <c r="F5" s="437"/>
      <c r="G5" s="436" t="s">
        <v>1694</v>
      </c>
      <c r="H5" s="436" t="s">
        <v>1701</v>
      </c>
      <c r="I5" s="427" t="s">
        <v>1702</v>
      </c>
      <c r="J5" s="435"/>
      <c r="K5" s="438"/>
      <c r="L5" s="435"/>
      <c r="M5" s="414" t="s">
        <v>1688</v>
      </c>
      <c r="N5" s="438"/>
      <c r="O5" s="439"/>
      <c r="P5" s="440" t="s">
        <v>1700</v>
      </c>
      <c r="Q5" s="441"/>
      <c r="R5" s="383" t="s">
        <v>332</v>
      </c>
      <c r="S5" s="442" t="s">
        <v>663</v>
      </c>
      <c r="T5" s="443" t="s">
        <v>1703</v>
      </c>
      <c r="U5" s="444"/>
      <c r="V5" s="445"/>
      <c r="W5" s="406"/>
      <c r="X5" s="406"/>
      <c r="Y5" s="423"/>
      <c r="Z5" s="446" t="s">
        <v>985</v>
      </c>
      <c r="AA5" s="434" t="s">
        <v>190</v>
      </c>
      <c r="AB5" s="447"/>
      <c r="AC5" s="426">
        <f t="shared" si="1"/>
        <v>0</v>
      </c>
      <c r="AD5" s="426">
        <f t="shared" si="2"/>
        <v>0</v>
      </c>
      <c r="AE5" s="426">
        <f t="shared" si="3"/>
        <v>0</v>
      </c>
      <c r="AF5" s="412"/>
      <c r="AG5" s="459"/>
      <c r="AH5" s="412"/>
      <c r="AI5" s="460" t="s">
        <v>1704</v>
      </c>
      <c r="AJ5" s="454">
        <f>AL12</f>
        <v>0</v>
      </c>
      <c r="AK5" s="455" t="s">
        <v>1705</v>
      </c>
      <c r="AL5" s="456"/>
      <c r="AM5" s="457"/>
      <c r="AN5" s="461"/>
      <c r="AO5" s="452"/>
      <c r="AP5" s="452"/>
    </row>
    <row r="6" ht="15" customHeight="1" spans="1:42">
      <c r="A6" s="406">
        <f t="shared" si="0"/>
        <v>5</v>
      </c>
      <c r="B6" s="434" t="s">
        <v>1677</v>
      </c>
      <c r="C6" s="435"/>
      <c r="D6" s="436" t="s">
        <v>1706</v>
      </c>
      <c r="E6" s="406"/>
      <c r="F6" s="437"/>
      <c r="G6" s="436" t="s">
        <v>1707</v>
      </c>
      <c r="H6" s="436" t="s">
        <v>1708</v>
      </c>
      <c r="I6" s="427" t="s">
        <v>1709</v>
      </c>
      <c r="J6" s="435"/>
      <c r="K6" s="438"/>
      <c r="L6" s="435"/>
      <c r="M6" s="414" t="s">
        <v>1710</v>
      </c>
      <c r="N6" s="438"/>
      <c r="O6" s="439"/>
      <c r="P6" s="440" t="s">
        <v>1706</v>
      </c>
      <c r="Q6" s="441"/>
      <c r="R6" s="383" t="s">
        <v>332</v>
      </c>
      <c r="S6" s="442" t="s">
        <v>663</v>
      </c>
      <c r="T6" s="443" t="s">
        <v>1711</v>
      </c>
      <c r="U6" s="444"/>
      <c r="V6" s="445"/>
      <c r="W6" s="406"/>
      <c r="X6" s="406"/>
      <c r="Y6" s="423"/>
      <c r="Z6" s="446" t="s">
        <v>455</v>
      </c>
      <c r="AA6" s="434" t="s">
        <v>204</v>
      </c>
      <c r="AB6" s="447"/>
      <c r="AC6" s="426">
        <f t="shared" si="1"/>
        <v>0</v>
      </c>
      <c r="AD6" s="426">
        <f t="shared" si="2"/>
        <v>0</v>
      </c>
      <c r="AE6" s="426">
        <f t="shared" si="3"/>
        <v>0</v>
      </c>
      <c r="AF6" s="427"/>
      <c r="AG6" s="459"/>
      <c r="AH6" s="412"/>
      <c r="AI6" s="453" t="s">
        <v>1712</v>
      </c>
      <c r="AJ6" s="462" t="e">
        <f>AJ5/AJ4</f>
        <v>#DIV/0!</v>
      </c>
      <c r="AK6" s="463" t="s">
        <v>1713</v>
      </c>
      <c r="AL6" s="464"/>
      <c r="AM6" s="465"/>
      <c r="AN6" s="461"/>
      <c r="AO6" s="452"/>
      <c r="AP6" s="452"/>
    </row>
    <row r="7" ht="15" customHeight="1" spans="1:42">
      <c r="A7" s="406">
        <f t="shared" si="0"/>
        <v>6</v>
      </c>
      <c r="B7" s="407" t="s">
        <v>1677</v>
      </c>
      <c r="C7" s="408"/>
      <c r="D7" s="409" t="s">
        <v>1714</v>
      </c>
      <c r="E7" s="410"/>
      <c r="F7" s="411"/>
      <c r="G7" s="409" t="s">
        <v>1715</v>
      </c>
      <c r="H7" s="409" t="s">
        <v>1716</v>
      </c>
      <c r="I7" s="412" t="s">
        <v>1717</v>
      </c>
      <c r="J7" s="408"/>
      <c r="K7" s="413"/>
      <c r="L7" s="408"/>
      <c r="M7" s="414"/>
      <c r="N7" s="413"/>
      <c r="O7" s="415"/>
      <c r="P7" s="416" t="s">
        <v>1714</v>
      </c>
      <c r="Q7" s="417"/>
      <c r="R7" s="418" t="s">
        <v>327</v>
      </c>
      <c r="S7" s="419" t="s">
        <v>712</v>
      </c>
      <c r="T7" s="420" t="s">
        <v>1718</v>
      </c>
      <c r="U7" s="421"/>
      <c r="V7" s="422"/>
      <c r="W7" s="410"/>
      <c r="X7" s="410"/>
      <c r="Y7" s="423"/>
      <c r="Z7" s="424" t="s">
        <v>455</v>
      </c>
      <c r="AA7" s="407" t="s">
        <v>201</v>
      </c>
      <c r="AB7" s="425"/>
      <c r="AC7" s="426">
        <f t="shared" si="1"/>
        <v>0</v>
      </c>
      <c r="AD7" s="426">
        <f t="shared" si="2"/>
        <v>0</v>
      </c>
      <c r="AE7" s="426">
        <f t="shared" si="3"/>
        <v>0</v>
      </c>
      <c r="AF7" s="427"/>
      <c r="AG7" s="428"/>
      <c r="AH7" s="427"/>
      <c r="AI7" s="460" t="s">
        <v>1719</v>
      </c>
      <c r="AJ7" s="454">
        <f>AJ16+AN16+AJ26</f>
        <v>0</v>
      </c>
      <c r="AK7" s="455" t="s">
        <v>1720</v>
      </c>
      <c r="AL7" s="466"/>
      <c r="AM7" s="467"/>
      <c r="AN7" s="468" t="s">
        <v>618</v>
      </c>
      <c r="AO7" s="452"/>
      <c r="AP7" s="452"/>
    </row>
    <row r="8" ht="15" customHeight="1" spans="1:42">
      <c r="A8" s="406">
        <f t="shared" si="0"/>
        <v>7</v>
      </c>
      <c r="B8" s="434" t="s">
        <v>1721</v>
      </c>
      <c r="C8" s="435"/>
      <c r="D8" s="436" t="s">
        <v>1722</v>
      </c>
      <c r="E8" s="406"/>
      <c r="F8" s="437"/>
      <c r="G8" s="436" t="s">
        <v>1723</v>
      </c>
      <c r="H8" s="436" t="s">
        <v>1724</v>
      </c>
      <c r="I8" s="427" t="s">
        <v>1725</v>
      </c>
      <c r="J8" s="435"/>
      <c r="K8" s="438"/>
      <c r="L8" s="435"/>
      <c r="M8" s="414"/>
      <c r="N8" s="438"/>
      <c r="O8" s="439"/>
      <c r="P8" s="440" t="s">
        <v>1722</v>
      </c>
      <c r="Q8" s="441"/>
      <c r="R8" s="383" t="s">
        <v>327</v>
      </c>
      <c r="S8" s="442" t="s">
        <v>681</v>
      </c>
      <c r="T8" s="443" t="s">
        <v>1726</v>
      </c>
      <c r="U8" s="444"/>
      <c r="V8" s="445"/>
      <c r="W8" s="406"/>
      <c r="X8" s="406"/>
      <c r="Y8" s="423"/>
      <c r="Z8" s="446" t="s">
        <v>207</v>
      </c>
      <c r="AA8" s="434" t="s">
        <v>208</v>
      </c>
      <c r="AB8" s="447"/>
      <c r="AC8" s="426">
        <f t="shared" si="1"/>
        <v>0</v>
      </c>
      <c r="AD8" s="426">
        <f t="shared" si="2"/>
        <v>0</v>
      </c>
      <c r="AE8" s="426">
        <f t="shared" si="3"/>
        <v>0</v>
      </c>
      <c r="AF8" s="427"/>
      <c r="AG8" s="428"/>
      <c r="AH8" s="427"/>
      <c r="AI8" s="469" t="s">
        <v>1727</v>
      </c>
      <c r="AJ8" s="470"/>
      <c r="AK8" s="471" t="s">
        <v>398</v>
      </c>
      <c r="AL8" s="472" t="s">
        <v>1728</v>
      </c>
      <c r="AM8" s="473"/>
      <c r="AN8" s="474">
        <f>AJ17+AN17+AJ27</f>
        <v>0</v>
      </c>
      <c r="AO8" s="452"/>
      <c r="AP8" s="452"/>
    </row>
    <row r="9" ht="15" customHeight="1" spans="1:42">
      <c r="A9" s="406">
        <f t="shared" si="0"/>
        <v>8</v>
      </c>
      <c r="B9" s="434" t="s">
        <v>1721</v>
      </c>
      <c r="C9" s="435"/>
      <c r="D9" s="436" t="s">
        <v>1729</v>
      </c>
      <c r="E9" s="406"/>
      <c r="F9" s="437"/>
      <c r="G9" s="436" t="s">
        <v>1730</v>
      </c>
      <c r="H9" s="436" t="s">
        <v>1731</v>
      </c>
      <c r="I9" s="427" t="s">
        <v>1732</v>
      </c>
      <c r="J9" s="435"/>
      <c r="K9" s="438"/>
      <c r="L9" s="435"/>
      <c r="M9" s="414" t="s">
        <v>1710</v>
      </c>
      <c r="N9" s="438"/>
      <c r="O9" s="439"/>
      <c r="P9" s="440" t="s">
        <v>1729</v>
      </c>
      <c r="Q9" s="441"/>
      <c r="R9" s="383" t="s">
        <v>327</v>
      </c>
      <c r="S9" s="442" t="s">
        <v>712</v>
      </c>
      <c r="T9" s="443" t="s">
        <v>1733</v>
      </c>
      <c r="U9" s="444"/>
      <c r="V9" s="445"/>
      <c r="W9" s="406"/>
      <c r="X9" s="406"/>
      <c r="Y9" s="423"/>
      <c r="Z9" s="446" t="s">
        <v>1017</v>
      </c>
      <c r="AA9" s="434" t="s">
        <v>169</v>
      </c>
      <c r="AB9" s="447" t="s">
        <v>1112</v>
      </c>
      <c r="AC9" s="426">
        <f t="shared" si="1"/>
        <v>0</v>
      </c>
      <c r="AD9" s="426">
        <f t="shared" si="2"/>
        <v>0</v>
      </c>
      <c r="AE9" s="426">
        <f t="shared" si="3"/>
        <v>0</v>
      </c>
      <c r="AF9" s="427"/>
      <c r="AG9" s="428"/>
      <c r="AH9" s="427"/>
      <c r="AI9" s="475"/>
      <c r="AJ9" s="433"/>
      <c r="AK9" s="433"/>
      <c r="AL9" s="433"/>
      <c r="AM9" s="433"/>
      <c r="AN9" s="433"/>
      <c r="AO9" s="433"/>
      <c r="AP9" s="433"/>
    </row>
    <row r="10" ht="15" customHeight="1" spans="1:42">
      <c r="A10" s="406">
        <f t="shared" si="0"/>
        <v>9</v>
      </c>
      <c r="B10" s="434" t="s">
        <v>1677</v>
      </c>
      <c r="C10" s="435"/>
      <c r="D10" s="436" t="s">
        <v>1734</v>
      </c>
      <c r="E10" s="406"/>
      <c r="F10" s="437" t="s">
        <v>1735</v>
      </c>
      <c r="G10" s="436" t="s">
        <v>1736</v>
      </c>
      <c r="H10" s="436" t="s">
        <v>1737</v>
      </c>
      <c r="I10" s="427" t="s">
        <v>1738</v>
      </c>
      <c r="J10" s="435"/>
      <c r="K10" s="438"/>
      <c r="L10" s="435"/>
      <c r="M10" s="414" t="s">
        <v>1739</v>
      </c>
      <c r="N10" s="438"/>
      <c r="O10" s="439"/>
      <c r="P10" s="440" t="s">
        <v>1734</v>
      </c>
      <c r="Q10" s="441"/>
      <c r="R10" s="383" t="s">
        <v>327</v>
      </c>
      <c r="S10" s="442" t="s">
        <v>681</v>
      </c>
      <c r="T10" s="443" t="s">
        <v>1740</v>
      </c>
      <c r="U10" s="444"/>
      <c r="V10" s="445"/>
      <c r="W10" s="406"/>
      <c r="X10" s="406"/>
      <c r="Y10" s="423"/>
      <c r="Z10" s="446" t="s">
        <v>1741</v>
      </c>
      <c r="AA10" s="434" t="s">
        <v>178</v>
      </c>
      <c r="AB10" s="447" t="s">
        <v>1112</v>
      </c>
      <c r="AC10" s="426">
        <f t="shared" si="1"/>
        <v>0</v>
      </c>
      <c r="AD10" s="426">
        <f t="shared" si="2"/>
        <v>0</v>
      </c>
      <c r="AE10" s="426">
        <f t="shared" si="3"/>
        <v>0</v>
      </c>
      <c r="AF10" s="427"/>
      <c r="AG10" s="428"/>
      <c r="AH10" s="427"/>
      <c r="AI10" s="476" t="s">
        <v>1742</v>
      </c>
      <c r="AJ10" s="451"/>
      <c r="AK10" s="451"/>
      <c r="AL10" s="477"/>
      <c r="AM10" s="478" t="s">
        <v>1743</v>
      </c>
      <c r="AN10" s="451"/>
      <c r="AO10" s="451"/>
      <c r="AP10" s="477"/>
    </row>
    <row r="11" ht="15" customHeight="1" spans="1:42">
      <c r="A11" s="406">
        <f t="shared" si="0"/>
        <v>10</v>
      </c>
      <c r="B11" s="434" t="s">
        <v>1677</v>
      </c>
      <c r="C11" s="435"/>
      <c r="D11" s="436" t="s">
        <v>1744</v>
      </c>
      <c r="E11" s="406"/>
      <c r="F11" s="437"/>
      <c r="G11" s="436" t="s">
        <v>1678</v>
      </c>
      <c r="H11" s="436" t="s">
        <v>1745</v>
      </c>
      <c r="I11" s="427" t="s">
        <v>1746</v>
      </c>
      <c r="J11" s="435"/>
      <c r="K11" s="438"/>
      <c r="L11" s="435"/>
      <c r="M11" s="414" t="s">
        <v>1710</v>
      </c>
      <c r="N11" s="438"/>
      <c r="O11" s="439"/>
      <c r="P11" s="440" t="s">
        <v>1744</v>
      </c>
      <c r="Q11" s="441"/>
      <c r="R11" s="383" t="s">
        <v>327</v>
      </c>
      <c r="S11" s="442" t="s">
        <v>712</v>
      </c>
      <c r="T11" s="443" t="s">
        <v>1224</v>
      </c>
      <c r="U11" s="444"/>
      <c r="V11" s="445"/>
      <c r="W11" s="406"/>
      <c r="X11" s="406"/>
      <c r="Y11" s="423"/>
      <c r="Z11" s="446" t="s">
        <v>667</v>
      </c>
      <c r="AA11" s="434" t="s">
        <v>260</v>
      </c>
      <c r="AB11" s="447"/>
      <c r="AC11" s="426">
        <f t="shared" si="1"/>
        <v>0</v>
      </c>
      <c r="AD11" s="426">
        <f t="shared" si="2"/>
        <v>0</v>
      </c>
      <c r="AE11" s="426">
        <f t="shared" si="3"/>
        <v>0</v>
      </c>
      <c r="AF11" s="427"/>
      <c r="AG11" s="428"/>
      <c r="AH11" s="427"/>
      <c r="AI11" s="453" t="s">
        <v>1698</v>
      </c>
      <c r="AJ11" s="479"/>
      <c r="AK11" s="480" t="s">
        <v>1747</v>
      </c>
      <c r="AL11" s="481"/>
      <c r="AM11" s="453" t="s">
        <v>1748</v>
      </c>
      <c r="AN11" s="479"/>
      <c r="AO11" s="480" t="s">
        <v>1747</v>
      </c>
      <c r="AP11" s="481"/>
    </row>
    <row r="12" ht="15" customHeight="1" spans="1:42">
      <c r="A12" s="406">
        <f t="shared" si="0"/>
        <v>11</v>
      </c>
      <c r="B12" s="434" t="s">
        <v>1677</v>
      </c>
      <c r="C12" s="435"/>
      <c r="D12" s="436" t="s">
        <v>1749</v>
      </c>
      <c r="E12" s="406"/>
      <c r="F12" s="437"/>
      <c r="G12" s="436" t="s">
        <v>1750</v>
      </c>
      <c r="H12" s="436" t="s">
        <v>1751</v>
      </c>
      <c r="I12" s="427" t="s">
        <v>1752</v>
      </c>
      <c r="J12" s="435"/>
      <c r="K12" s="438"/>
      <c r="L12" s="435"/>
      <c r="M12" s="414" t="s">
        <v>1710</v>
      </c>
      <c r="N12" s="438"/>
      <c r="O12" s="439"/>
      <c r="P12" s="440" t="s">
        <v>1749</v>
      </c>
      <c r="Q12" s="441"/>
      <c r="R12" s="383" t="s">
        <v>327</v>
      </c>
      <c r="S12" s="442" t="s">
        <v>1753</v>
      </c>
      <c r="T12" s="443" t="s">
        <v>1754</v>
      </c>
      <c r="U12" s="444"/>
      <c r="V12" s="445"/>
      <c r="W12" s="406"/>
      <c r="X12" s="406"/>
      <c r="Y12" s="423"/>
      <c r="Z12" s="446" t="s">
        <v>985</v>
      </c>
      <c r="AA12" s="434" t="s">
        <v>192</v>
      </c>
      <c r="AB12" s="447"/>
      <c r="AC12" s="426">
        <f t="shared" si="1"/>
        <v>0</v>
      </c>
      <c r="AD12" s="426">
        <f t="shared" si="2"/>
        <v>0</v>
      </c>
      <c r="AE12" s="426">
        <f t="shared" si="3"/>
        <v>0</v>
      </c>
      <c r="AF12" s="427"/>
      <c r="AG12" s="428"/>
      <c r="AH12" s="427"/>
      <c r="AI12" s="453" t="s">
        <v>1712</v>
      </c>
      <c r="AJ12" s="482" t="e">
        <f>AL11/AJ11</f>
        <v>#DIV/0!</v>
      </c>
      <c r="AK12" s="480" t="s">
        <v>1704</v>
      </c>
      <c r="AL12" s="481"/>
      <c r="AM12" s="453" t="s">
        <v>395</v>
      </c>
      <c r="AN12" s="482" t="e">
        <f>AP11/AN11</f>
        <v>#DIV/0!</v>
      </c>
      <c r="AO12" s="480" t="s">
        <v>1704</v>
      </c>
      <c r="AP12" s="481"/>
    </row>
    <row r="13" ht="15" customHeight="1" spans="1:42">
      <c r="A13" s="406">
        <f t="shared" si="0"/>
        <v>12</v>
      </c>
      <c r="B13" s="434" t="s">
        <v>1677</v>
      </c>
      <c r="C13" s="435"/>
      <c r="D13" s="436" t="s">
        <v>1755</v>
      </c>
      <c r="E13" s="406"/>
      <c r="F13" s="437"/>
      <c r="G13" s="436" t="s">
        <v>1715</v>
      </c>
      <c r="H13" s="436" t="s">
        <v>1756</v>
      </c>
      <c r="I13" s="427" t="s">
        <v>1757</v>
      </c>
      <c r="J13" s="435"/>
      <c r="K13" s="438"/>
      <c r="L13" s="435"/>
      <c r="M13" s="414"/>
      <c r="N13" s="438"/>
      <c r="O13" s="439"/>
      <c r="P13" s="440" t="s">
        <v>1755</v>
      </c>
      <c r="Q13" s="441"/>
      <c r="R13" s="383" t="s">
        <v>332</v>
      </c>
      <c r="S13" s="442" t="s">
        <v>663</v>
      </c>
      <c r="T13" s="443" t="s">
        <v>1227</v>
      </c>
      <c r="U13" s="444"/>
      <c r="V13" s="445"/>
      <c r="W13" s="406"/>
      <c r="X13" s="406"/>
      <c r="Y13" s="423"/>
      <c r="Z13" s="446" t="s">
        <v>667</v>
      </c>
      <c r="AA13" s="434" t="s">
        <v>257</v>
      </c>
      <c r="AB13" s="447"/>
      <c r="AC13" s="426">
        <f t="shared" si="1"/>
        <v>0</v>
      </c>
      <c r="AD13" s="426">
        <f t="shared" si="2"/>
        <v>0</v>
      </c>
      <c r="AE13" s="426">
        <f t="shared" si="3"/>
        <v>0</v>
      </c>
      <c r="AF13" s="427"/>
      <c r="AG13" s="428"/>
      <c r="AH13" s="427"/>
      <c r="AI13" s="453" t="s">
        <v>1758</v>
      </c>
      <c r="AJ13" s="483"/>
      <c r="AK13" s="480" t="s">
        <v>1759</v>
      </c>
      <c r="AL13" s="484">
        <f>IF((AJ13-(2000*AL12))&lt;0,(AJ13-(2000*AL12)),AJ13-(2000*AL12))</f>
        <v>0</v>
      </c>
      <c r="AM13" s="453" t="s">
        <v>1758</v>
      </c>
      <c r="AN13" s="483"/>
      <c r="AO13" s="480" t="s">
        <v>1759</v>
      </c>
      <c r="AP13" s="484">
        <f>IF((AN13-(2000*AP12))&lt;0,(AN13-(2000*AP12)),AN13-(2000*AP12))</f>
        <v>0</v>
      </c>
    </row>
    <row r="14" ht="15" customHeight="1" spans="1:42">
      <c r="A14" s="406">
        <f t="shared" si="0"/>
        <v>13</v>
      </c>
      <c r="B14" s="434" t="s">
        <v>1677</v>
      </c>
      <c r="C14" s="435"/>
      <c r="D14" s="436" t="s">
        <v>1760</v>
      </c>
      <c r="E14" s="406"/>
      <c r="F14" s="437" t="s">
        <v>1761</v>
      </c>
      <c r="G14" s="436" t="s">
        <v>1685</v>
      </c>
      <c r="H14" s="436" t="s">
        <v>1762</v>
      </c>
      <c r="I14" s="427" t="s">
        <v>1763</v>
      </c>
      <c r="J14" s="435"/>
      <c r="K14" s="438"/>
      <c r="L14" s="435"/>
      <c r="M14" s="414" t="s">
        <v>1739</v>
      </c>
      <c r="N14" s="438"/>
      <c r="O14" s="439"/>
      <c r="P14" s="440" t="s">
        <v>1760</v>
      </c>
      <c r="Q14" s="441"/>
      <c r="R14" s="383" t="s">
        <v>332</v>
      </c>
      <c r="S14" s="442" t="s">
        <v>663</v>
      </c>
      <c r="T14" s="443" t="s">
        <v>1764</v>
      </c>
      <c r="U14" s="444"/>
      <c r="V14" s="445"/>
      <c r="W14" s="406"/>
      <c r="X14" s="406"/>
      <c r="Y14" s="423"/>
      <c r="Z14" s="446" t="s">
        <v>1765</v>
      </c>
      <c r="AA14" s="434" t="s">
        <v>180</v>
      </c>
      <c r="AB14" s="447" t="s">
        <v>1112</v>
      </c>
      <c r="AC14" s="426">
        <f t="shared" si="1"/>
        <v>0</v>
      </c>
      <c r="AD14" s="426">
        <f t="shared" si="2"/>
        <v>0</v>
      </c>
      <c r="AE14" s="426">
        <f t="shared" si="3"/>
        <v>0</v>
      </c>
      <c r="AF14" s="427"/>
      <c r="AG14" s="428"/>
      <c r="AH14" s="427"/>
      <c r="AI14" s="453" t="s">
        <v>1766</v>
      </c>
      <c r="AJ14" s="485"/>
      <c r="AK14" s="480" t="s">
        <v>1767</v>
      </c>
      <c r="AL14" s="486"/>
      <c r="AM14" s="453" t="s">
        <v>1766</v>
      </c>
      <c r="AN14" s="485"/>
      <c r="AO14" s="480" t="s">
        <v>1767</v>
      </c>
      <c r="AP14" s="486"/>
    </row>
    <row r="15" ht="15" customHeight="1" spans="1:42">
      <c r="A15" s="406">
        <f t="shared" si="0"/>
        <v>14</v>
      </c>
      <c r="B15" s="434" t="s">
        <v>1677</v>
      </c>
      <c r="C15" s="435"/>
      <c r="D15" s="436" t="s">
        <v>1768</v>
      </c>
      <c r="E15" s="406"/>
      <c r="F15" s="437" t="s">
        <v>1769</v>
      </c>
      <c r="G15" s="436" t="s">
        <v>1770</v>
      </c>
      <c r="H15" s="436" t="s">
        <v>1771</v>
      </c>
      <c r="I15" s="427" t="s">
        <v>1772</v>
      </c>
      <c r="J15" s="435"/>
      <c r="K15" s="438"/>
      <c r="L15" s="435"/>
      <c r="M15" s="414"/>
      <c r="N15" s="438"/>
      <c r="O15" s="439"/>
      <c r="P15" s="440" t="s">
        <v>1768</v>
      </c>
      <c r="Q15" s="441"/>
      <c r="R15" s="383" t="s">
        <v>332</v>
      </c>
      <c r="S15" s="442" t="s">
        <v>663</v>
      </c>
      <c r="T15" s="443" t="s">
        <v>1773</v>
      </c>
      <c r="U15" s="444"/>
      <c r="V15" s="445"/>
      <c r="W15" s="406"/>
      <c r="X15" s="406"/>
      <c r="Y15" s="423"/>
      <c r="Z15" s="446" t="s">
        <v>1017</v>
      </c>
      <c r="AA15" s="434" t="s">
        <v>166</v>
      </c>
      <c r="AB15" s="447"/>
      <c r="AC15" s="426">
        <f t="shared" si="1"/>
        <v>0</v>
      </c>
      <c r="AD15" s="426">
        <f t="shared" si="2"/>
        <v>0</v>
      </c>
      <c r="AE15" s="426">
        <f t="shared" si="3"/>
        <v>0</v>
      </c>
      <c r="AF15" s="427"/>
      <c r="AG15" s="428"/>
      <c r="AH15" s="427"/>
      <c r="AI15" s="453" t="s">
        <v>1774</v>
      </c>
      <c r="AJ15" s="480">
        <f>AL12*120</f>
        <v>0</v>
      </c>
      <c r="AK15" s="480" t="s">
        <v>1775</v>
      </c>
      <c r="AL15" s="484">
        <f>IF(AL13&gt;0,AL13*AJ14*AL14,AL13*0.1)</f>
        <v>0</v>
      </c>
      <c r="AM15" s="453" t="s">
        <v>1774</v>
      </c>
      <c r="AN15" s="480">
        <f>AP12*120</f>
        <v>0</v>
      </c>
      <c r="AO15" s="480" t="s">
        <v>1775</v>
      </c>
      <c r="AP15" s="484">
        <f>IF(AP13&gt;0,AP13*AN14*AP14,AP13*0.1)</f>
        <v>0</v>
      </c>
    </row>
    <row r="16" ht="15" customHeight="1" spans="1:42">
      <c r="A16" s="406">
        <f t="shared" si="0"/>
        <v>15</v>
      </c>
      <c r="B16" s="434" t="s">
        <v>1677</v>
      </c>
      <c r="C16" s="435"/>
      <c r="D16" s="436" t="s">
        <v>1776</v>
      </c>
      <c r="E16" s="406"/>
      <c r="F16" s="437"/>
      <c r="G16" s="436" t="s">
        <v>1777</v>
      </c>
      <c r="H16" s="436" t="s">
        <v>1778</v>
      </c>
      <c r="I16" s="427" t="s">
        <v>1779</v>
      </c>
      <c r="J16" s="435"/>
      <c r="K16" s="438"/>
      <c r="L16" s="435"/>
      <c r="M16" s="414" t="s">
        <v>1780</v>
      </c>
      <c r="N16" s="438"/>
      <c r="O16" s="439"/>
      <c r="P16" s="440" t="s">
        <v>1776</v>
      </c>
      <c r="Q16" s="441"/>
      <c r="R16" s="383" t="s">
        <v>332</v>
      </c>
      <c r="S16" s="442" t="s">
        <v>663</v>
      </c>
      <c r="T16" s="443" t="s">
        <v>1229</v>
      </c>
      <c r="U16" s="444"/>
      <c r="V16" s="445"/>
      <c r="W16" s="406"/>
      <c r="X16" s="406"/>
      <c r="Y16" s="423"/>
      <c r="Z16" s="446" t="s">
        <v>667</v>
      </c>
      <c r="AA16" s="434" t="s">
        <v>260</v>
      </c>
      <c r="AB16" s="447"/>
      <c r="AC16" s="426">
        <f t="shared" si="1"/>
        <v>0</v>
      </c>
      <c r="AD16" s="426">
        <f t="shared" si="2"/>
        <v>0</v>
      </c>
      <c r="AE16" s="426">
        <f t="shared" si="3"/>
        <v>0</v>
      </c>
      <c r="AF16" s="427"/>
      <c r="AG16" s="428"/>
      <c r="AH16" s="427"/>
      <c r="AI16" s="487" t="s">
        <v>1719</v>
      </c>
      <c r="AJ16" s="488"/>
      <c r="AK16" s="489" t="s">
        <v>1781</v>
      </c>
      <c r="AL16" s="490">
        <f>AJ16*AL7</f>
        <v>0</v>
      </c>
      <c r="AM16" s="487" t="s">
        <v>1719</v>
      </c>
      <c r="AN16" s="488"/>
      <c r="AO16" s="489" t="s">
        <v>1781</v>
      </c>
      <c r="AP16" s="490">
        <f>AN16*AL7</f>
        <v>0</v>
      </c>
    </row>
    <row r="17" ht="15" customHeight="1" spans="1:42">
      <c r="A17" s="406">
        <f t="shared" si="0"/>
        <v>16</v>
      </c>
      <c r="B17" s="434" t="s">
        <v>1677</v>
      </c>
      <c r="C17" s="435"/>
      <c r="D17" s="436" t="s">
        <v>1782</v>
      </c>
      <c r="E17" s="406"/>
      <c r="F17" s="437"/>
      <c r="G17" s="436" t="s">
        <v>1783</v>
      </c>
      <c r="H17" s="436" t="s">
        <v>1784</v>
      </c>
      <c r="I17" s="427" t="s">
        <v>1785</v>
      </c>
      <c r="J17" s="435"/>
      <c r="K17" s="438"/>
      <c r="L17" s="435"/>
      <c r="M17" s="414" t="s">
        <v>1710</v>
      </c>
      <c r="N17" s="438"/>
      <c r="O17" s="439"/>
      <c r="P17" s="440" t="s">
        <v>1782</v>
      </c>
      <c r="Q17" s="441"/>
      <c r="R17" s="383" t="s">
        <v>332</v>
      </c>
      <c r="S17" s="442" t="s">
        <v>663</v>
      </c>
      <c r="T17" s="443" t="s">
        <v>1786</v>
      </c>
      <c r="U17" s="444"/>
      <c r="V17" s="445"/>
      <c r="W17" s="406"/>
      <c r="X17" s="406"/>
      <c r="Y17" s="423"/>
      <c r="Z17" s="446" t="s">
        <v>1787</v>
      </c>
      <c r="AA17" s="434" t="s">
        <v>202</v>
      </c>
      <c r="AB17" s="447"/>
      <c r="AC17" s="426">
        <f t="shared" si="1"/>
        <v>0</v>
      </c>
      <c r="AD17" s="426">
        <f t="shared" si="2"/>
        <v>0</v>
      </c>
      <c r="AE17" s="426">
        <f t="shared" si="3"/>
        <v>0</v>
      </c>
      <c r="AF17" s="427"/>
      <c r="AG17" s="428"/>
      <c r="AH17" s="427"/>
      <c r="AI17" s="487" t="s">
        <v>1788</v>
      </c>
      <c r="AJ17" s="491"/>
      <c r="AK17" s="489" t="s">
        <v>1789</v>
      </c>
      <c r="AL17" s="490">
        <f>AJ17*0.12</f>
        <v>0</v>
      </c>
      <c r="AM17" s="487" t="s">
        <v>1788</v>
      </c>
      <c r="AN17" s="491"/>
      <c r="AO17" s="489" t="s">
        <v>1789</v>
      </c>
      <c r="AP17" s="490">
        <f>AN17*0.12</f>
        <v>0</v>
      </c>
    </row>
    <row r="18" ht="15" customHeight="1" spans="1:42">
      <c r="A18" s="406">
        <f t="shared" si="0"/>
        <v>17</v>
      </c>
      <c r="B18" s="434" t="s">
        <v>1721</v>
      </c>
      <c r="C18" s="435"/>
      <c r="D18" s="436" t="s">
        <v>1790</v>
      </c>
      <c r="E18" s="406"/>
      <c r="F18" s="437"/>
      <c r="G18" s="436" t="s">
        <v>1791</v>
      </c>
      <c r="H18" s="436" t="s">
        <v>1792</v>
      </c>
      <c r="I18" s="427" t="s">
        <v>1793</v>
      </c>
      <c r="J18" s="435"/>
      <c r="K18" s="438"/>
      <c r="L18" s="435"/>
      <c r="M18" s="414"/>
      <c r="N18" s="438"/>
      <c r="O18" s="439"/>
      <c r="P18" s="440" t="s">
        <v>1790</v>
      </c>
      <c r="Q18" s="441"/>
      <c r="R18" s="383" t="s">
        <v>332</v>
      </c>
      <c r="S18" s="442" t="s">
        <v>1794</v>
      </c>
      <c r="T18" s="443" t="s">
        <v>1795</v>
      </c>
      <c r="U18" s="444"/>
      <c r="V18" s="445"/>
      <c r="W18" s="406"/>
      <c r="X18" s="406"/>
      <c r="Y18" s="423"/>
      <c r="Z18" s="446" t="s">
        <v>207</v>
      </c>
      <c r="AA18" s="434" t="s">
        <v>208</v>
      </c>
      <c r="AB18" s="447"/>
      <c r="AC18" s="426">
        <f t="shared" si="1"/>
        <v>0</v>
      </c>
      <c r="AD18" s="426">
        <f t="shared" si="2"/>
        <v>0</v>
      </c>
      <c r="AE18" s="426">
        <f t="shared" si="3"/>
        <v>0</v>
      </c>
      <c r="AF18" s="427"/>
      <c r="AG18" s="428"/>
      <c r="AH18" s="427"/>
      <c r="AI18" s="492" t="s">
        <v>162</v>
      </c>
      <c r="AJ18" s="493">
        <f>AJ15+AL15+AL16+AL17</f>
        <v>0</v>
      </c>
      <c r="AK18" s="494"/>
      <c r="AL18" s="473"/>
      <c r="AM18" s="492" t="s">
        <v>162</v>
      </c>
      <c r="AN18" s="493">
        <f>AN15+AP15+AP16+AP17</f>
        <v>0</v>
      </c>
      <c r="AO18" s="494"/>
      <c r="AP18" s="473"/>
    </row>
    <row r="19" ht="15" customHeight="1" spans="1:42">
      <c r="A19" s="406">
        <f t="shared" si="0"/>
        <v>18</v>
      </c>
      <c r="B19" s="434" t="s">
        <v>1721</v>
      </c>
      <c r="C19" s="435"/>
      <c r="D19" s="436" t="s">
        <v>1796</v>
      </c>
      <c r="E19" s="406"/>
      <c r="F19" s="437"/>
      <c r="G19" s="436" t="s">
        <v>1797</v>
      </c>
      <c r="H19" s="436" t="s">
        <v>1798</v>
      </c>
      <c r="I19" s="427" t="s">
        <v>1799</v>
      </c>
      <c r="J19" s="435"/>
      <c r="K19" s="438"/>
      <c r="L19" s="435"/>
      <c r="M19" s="414"/>
      <c r="N19" s="438"/>
      <c r="O19" s="439"/>
      <c r="P19" s="440" t="s">
        <v>1796</v>
      </c>
      <c r="Q19" s="441"/>
      <c r="R19" s="383" t="s">
        <v>332</v>
      </c>
      <c r="S19" s="442" t="s">
        <v>663</v>
      </c>
      <c r="T19" s="443" t="s">
        <v>1800</v>
      </c>
      <c r="U19" s="444"/>
      <c r="V19" s="445"/>
      <c r="W19" s="406"/>
      <c r="X19" s="406"/>
      <c r="Y19" s="423"/>
      <c r="Z19" s="446" t="s">
        <v>207</v>
      </c>
      <c r="AA19" s="434" t="s">
        <v>208</v>
      </c>
      <c r="AB19" s="447"/>
      <c r="AC19" s="426">
        <f t="shared" si="1"/>
        <v>0</v>
      </c>
      <c r="AD19" s="426">
        <f t="shared" si="2"/>
        <v>0</v>
      </c>
      <c r="AE19" s="426">
        <f t="shared" si="3"/>
        <v>0</v>
      </c>
      <c r="AF19" s="427"/>
      <c r="AG19" s="428"/>
      <c r="AH19" s="427"/>
      <c r="AI19" s="433"/>
      <c r="AJ19" s="433"/>
      <c r="AK19" s="433"/>
      <c r="AL19" s="433"/>
      <c r="AM19" s="433"/>
      <c r="AN19" s="433"/>
      <c r="AO19" s="433"/>
      <c r="AP19" s="433"/>
    </row>
    <row r="20" ht="15" customHeight="1" spans="1:42">
      <c r="A20" s="406">
        <f t="shared" si="0"/>
        <v>19</v>
      </c>
      <c r="B20" s="407" t="s">
        <v>1721</v>
      </c>
      <c r="C20" s="408"/>
      <c r="D20" s="409" t="s">
        <v>1243</v>
      </c>
      <c r="E20" s="410"/>
      <c r="F20" s="411"/>
      <c r="G20" s="409" t="s">
        <v>1801</v>
      </c>
      <c r="H20" s="409" t="s">
        <v>1802</v>
      </c>
      <c r="I20" s="412" t="s">
        <v>1803</v>
      </c>
      <c r="J20" s="408"/>
      <c r="K20" s="413"/>
      <c r="L20" s="408"/>
      <c r="M20" s="495"/>
      <c r="N20" s="413"/>
      <c r="O20" s="415"/>
      <c r="P20" s="416" t="s">
        <v>1243</v>
      </c>
      <c r="Q20" s="417"/>
      <c r="R20" s="418" t="s">
        <v>327</v>
      </c>
      <c r="S20" s="419" t="s">
        <v>681</v>
      </c>
      <c r="T20" s="420" t="s">
        <v>1242</v>
      </c>
      <c r="U20" s="421"/>
      <c r="V20" s="422"/>
      <c r="W20" s="410"/>
      <c r="X20" s="410"/>
      <c r="Y20" s="423"/>
      <c r="Z20" s="424" t="s">
        <v>667</v>
      </c>
      <c r="AA20" s="407" t="s">
        <v>257</v>
      </c>
      <c r="AB20" s="425"/>
      <c r="AC20" s="426">
        <f t="shared" si="1"/>
        <v>0</v>
      </c>
      <c r="AD20" s="426">
        <f t="shared" si="2"/>
        <v>0</v>
      </c>
      <c r="AE20" s="426">
        <f t="shared" si="3"/>
        <v>0</v>
      </c>
      <c r="AF20" s="427"/>
      <c r="AG20" s="428"/>
      <c r="AH20" s="427"/>
      <c r="AI20" s="476" t="s">
        <v>1804</v>
      </c>
      <c r="AJ20" s="451"/>
      <c r="AK20" s="451"/>
      <c r="AL20" s="477"/>
      <c r="AM20" s="478" t="s">
        <v>1805</v>
      </c>
      <c r="AN20" s="451"/>
      <c r="AO20" s="451"/>
      <c r="AP20" s="477"/>
    </row>
    <row r="21" ht="15" customHeight="1" spans="1:42">
      <c r="A21" s="406">
        <f t="shared" si="0"/>
        <v>20</v>
      </c>
      <c r="B21" s="434" t="s">
        <v>1677</v>
      </c>
      <c r="C21" s="435"/>
      <c r="D21" s="436" t="s">
        <v>1245</v>
      </c>
      <c r="E21" s="406"/>
      <c r="F21" s="437"/>
      <c r="G21" s="436" t="s">
        <v>1806</v>
      </c>
      <c r="H21" s="436" t="s">
        <v>1807</v>
      </c>
      <c r="I21" s="427" t="s">
        <v>1808</v>
      </c>
      <c r="J21" s="435"/>
      <c r="K21" s="438"/>
      <c r="L21" s="435"/>
      <c r="M21" s="414"/>
      <c r="N21" s="438"/>
      <c r="O21" s="439"/>
      <c r="P21" s="440" t="s">
        <v>1245</v>
      </c>
      <c r="Q21" s="441"/>
      <c r="R21" s="383" t="s">
        <v>327</v>
      </c>
      <c r="S21" s="442" t="s">
        <v>712</v>
      </c>
      <c r="T21" s="443" t="s">
        <v>1244</v>
      </c>
      <c r="U21" s="444"/>
      <c r="V21" s="445"/>
      <c r="W21" s="406"/>
      <c r="X21" s="406"/>
      <c r="Y21" s="423"/>
      <c r="Z21" s="446" t="s">
        <v>645</v>
      </c>
      <c r="AA21" s="434" t="s">
        <v>231</v>
      </c>
      <c r="AB21" s="447"/>
      <c r="AC21" s="426">
        <f t="shared" si="1"/>
        <v>0</v>
      </c>
      <c r="AD21" s="426">
        <f t="shared" si="2"/>
        <v>0</v>
      </c>
      <c r="AE21" s="426">
        <f t="shared" si="3"/>
        <v>0</v>
      </c>
      <c r="AF21" s="427"/>
      <c r="AG21" s="428"/>
      <c r="AH21" s="427"/>
      <c r="AI21" s="453" t="s">
        <v>1698</v>
      </c>
      <c r="AJ21" s="479"/>
      <c r="AK21" s="480" t="s">
        <v>1747</v>
      </c>
      <c r="AL21" s="481"/>
      <c r="AM21" s="453" t="s">
        <v>1698</v>
      </c>
      <c r="AN21" s="479"/>
      <c r="AO21" s="480" t="s">
        <v>1747</v>
      </c>
      <c r="AP21" s="481"/>
    </row>
    <row r="22" ht="15" customHeight="1" spans="1:42">
      <c r="A22" s="406">
        <f t="shared" si="0"/>
        <v>21</v>
      </c>
      <c r="B22" s="434" t="s">
        <v>1721</v>
      </c>
      <c r="C22" s="435"/>
      <c r="D22" s="436" t="s">
        <v>1249</v>
      </c>
      <c r="E22" s="406"/>
      <c r="F22" s="437"/>
      <c r="G22" s="436" t="s">
        <v>1809</v>
      </c>
      <c r="H22" s="436" t="s">
        <v>1810</v>
      </c>
      <c r="I22" s="427" t="s">
        <v>1811</v>
      </c>
      <c r="J22" s="435"/>
      <c r="K22" s="438"/>
      <c r="L22" s="435"/>
      <c r="M22" s="414"/>
      <c r="N22" s="438"/>
      <c r="O22" s="439"/>
      <c r="P22" s="440" t="s">
        <v>1249</v>
      </c>
      <c r="Q22" s="441"/>
      <c r="R22" s="383" t="s">
        <v>332</v>
      </c>
      <c r="S22" s="442" t="s">
        <v>663</v>
      </c>
      <c r="T22" s="443" t="s">
        <v>1248</v>
      </c>
      <c r="U22" s="444"/>
      <c r="V22" s="445"/>
      <c r="W22" s="406"/>
      <c r="X22" s="406"/>
      <c r="Y22" s="423"/>
      <c r="Z22" s="446" t="s">
        <v>667</v>
      </c>
      <c r="AA22" s="434" t="s">
        <v>260</v>
      </c>
      <c r="AB22" s="447"/>
      <c r="AC22" s="426">
        <f t="shared" si="1"/>
        <v>0</v>
      </c>
      <c r="AD22" s="426">
        <f t="shared" si="2"/>
        <v>0</v>
      </c>
      <c r="AE22" s="426">
        <f t="shared" si="3"/>
        <v>0</v>
      </c>
      <c r="AF22" s="427"/>
      <c r="AG22" s="428"/>
      <c r="AH22" s="427"/>
      <c r="AI22" s="453" t="s">
        <v>1712</v>
      </c>
      <c r="AJ22" s="482" t="e">
        <f>AL21/AJ21</f>
        <v>#DIV/0!</v>
      </c>
      <c r="AK22" s="480" t="s">
        <v>1704</v>
      </c>
      <c r="AL22" s="481"/>
      <c r="AM22" s="453" t="s">
        <v>1712</v>
      </c>
      <c r="AN22" s="482" t="e">
        <f>AP21/AN21</f>
        <v>#DIV/0!</v>
      </c>
      <c r="AO22" s="480" t="s">
        <v>1704</v>
      </c>
      <c r="AP22" s="481"/>
    </row>
    <row r="23" ht="15" customHeight="1" spans="1:42">
      <c r="A23" s="406">
        <f t="shared" si="0"/>
        <v>22</v>
      </c>
      <c r="B23" s="434" t="s">
        <v>1677</v>
      </c>
      <c r="C23" s="435"/>
      <c r="D23" s="436" t="s">
        <v>1251</v>
      </c>
      <c r="E23" s="406"/>
      <c r="F23" s="437"/>
      <c r="G23" s="436" t="s">
        <v>1694</v>
      </c>
      <c r="H23" s="436" t="s">
        <v>1812</v>
      </c>
      <c r="I23" s="427" t="s">
        <v>1813</v>
      </c>
      <c r="J23" s="435"/>
      <c r="K23" s="438"/>
      <c r="L23" s="435"/>
      <c r="M23" s="414"/>
      <c r="N23" s="438"/>
      <c r="O23" s="439"/>
      <c r="P23" s="440" t="s">
        <v>1251</v>
      </c>
      <c r="Q23" s="441"/>
      <c r="R23" s="383" t="s">
        <v>332</v>
      </c>
      <c r="S23" s="442" t="s">
        <v>663</v>
      </c>
      <c r="T23" s="443" t="s">
        <v>1250</v>
      </c>
      <c r="U23" s="444"/>
      <c r="V23" s="445"/>
      <c r="W23" s="406"/>
      <c r="X23" s="406"/>
      <c r="Y23" s="423"/>
      <c r="Z23" s="446" t="s">
        <v>667</v>
      </c>
      <c r="AA23" s="434" t="s">
        <v>259</v>
      </c>
      <c r="AB23" s="447"/>
      <c r="AC23" s="426">
        <f t="shared" si="1"/>
        <v>0</v>
      </c>
      <c r="AD23" s="426">
        <f t="shared" si="2"/>
        <v>0</v>
      </c>
      <c r="AE23" s="426">
        <f t="shared" si="3"/>
        <v>0</v>
      </c>
      <c r="AF23" s="427"/>
      <c r="AG23" s="428"/>
      <c r="AH23" s="427"/>
      <c r="AI23" s="453" t="s">
        <v>1758</v>
      </c>
      <c r="AJ23" s="483"/>
      <c r="AK23" s="480" t="s">
        <v>1759</v>
      </c>
      <c r="AL23" s="484">
        <f>IF((AJ23-(2000*AL22))&lt;0,(AJ23-(2000*AL22)),AJ23-(2000*AL22))</f>
        <v>0</v>
      </c>
      <c r="AM23" s="453" t="s">
        <v>1758</v>
      </c>
      <c r="AN23" s="483"/>
      <c r="AO23" s="480" t="s">
        <v>1759</v>
      </c>
      <c r="AP23" s="484">
        <f>IF((AN23-(2000*AP22))&lt;0,0,(AN23-(2000*AP22)))</f>
        <v>0</v>
      </c>
    </row>
    <row r="24" ht="15" customHeight="1" spans="1:42">
      <c r="A24" s="406">
        <f t="shared" si="0"/>
        <v>23</v>
      </c>
      <c r="B24" s="434" t="s">
        <v>1677</v>
      </c>
      <c r="C24" s="435"/>
      <c r="D24" s="436" t="s">
        <v>1814</v>
      </c>
      <c r="E24" s="406"/>
      <c r="F24" s="437"/>
      <c r="G24" s="436" t="s">
        <v>1815</v>
      </c>
      <c r="H24" s="436" t="s">
        <v>1816</v>
      </c>
      <c r="I24" s="427" t="s">
        <v>1817</v>
      </c>
      <c r="J24" s="435"/>
      <c r="K24" s="438"/>
      <c r="L24" s="435"/>
      <c r="M24" s="414" t="s">
        <v>1688</v>
      </c>
      <c r="N24" s="438"/>
      <c r="O24" s="439"/>
      <c r="P24" s="440" t="s">
        <v>1814</v>
      </c>
      <c r="Q24" s="441"/>
      <c r="R24" s="383" t="s">
        <v>332</v>
      </c>
      <c r="S24" s="442" t="s">
        <v>663</v>
      </c>
      <c r="T24" s="443" t="s">
        <v>1818</v>
      </c>
      <c r="U24" s="444"/>
      <c r="V24" s="445"/>
      <c r="W24" s="406"/>
      <c r="X24" s="406"/>
      <c r="Y24" s="423"/>
      <c r="Z24" s="446" t="s">
        <v>1787</v>
      </c>
      <c r="AA24" s="434" t="s">
        <v>200</v>
      </c>
      <c r="AB24" s="447"/>
      <c r="AC24" s="426">
        <f t="shared" si="1"/>
        <v>0</v>
      </c>
      <c r="AD24" s="426">
        <f t="shared" si="2"/>
        <v>0</v>
      </c>
      <c r="AE24" s="426">
        <f t="shared" si="3"/>
        <v>0</v>
      </c>
      <c r="AF24" s="427"/>
      <c r="AG24" s="428"/>
      <c r="AH24" s="427"/>
      <c r="AI24" s="453" t="s">
        <v>1766</v>
      </c>
      <c r="AJ24" s="485"/>
      <c r="AK24" s="480" t="s">
        <v>1767</v>
      </c>
      <c r="AL24" s="486">
        <f>AL14</f>
        <v>0</v>
      </c>
      <c r="AM24" s="453" t="s">
        <v>1766</v>
      </c>
      <c r="AN24" s="485"/>
      <c r="AO24" s="480" t="s">
        <v>1767</v>
      </c>
      <c r="AP24" s="486">
        <f>AL14</f>
        <v>0</v>
      </c>
    </row>
    <row r="25" ht="15" customHeight="1" spans="1:42">
      <c r="A25" s="406">
        <f t="shared" si="0"/>
        <v>24</v>
      </c>
      <c r="B25" s="434" t="s">
        <v>1677</v>
      </c>
      <c r="C25" s="435"/>
      <c r="D25" s="436" t="s">
        <v>1819</v>
      </c>
      <c r="E25" s="406"/>
      <c r="F25" s="437"/>
      <c r="G25" s="436" t="s">
        <v>1770</v>
      </c>
      <c r="H25" s="436" t="s">
        <v>1820</v>
      </c>
      <c r="I25" s="427" t="s">
        <v>1821</v>
      </c>
      <c r="J25" s="435"/>
      <c r="K25" s="438"/>
      <c r="L25" s="435"/>
      <c r="M25" s="414" t="s">
        <v>1710</v>
      </c>
      <c r="N25" s="438"/>
      <c r="O25" s="439"/>
      <c r="P25" s="440" t="s">
        <v>1819</v>
      </c>
      <c r="Q25" s="441"/>
      <c r="R25" s="383" t="s">
        <v>332</v>
      </c>
      <c r="S25" s="442" t="s">
        <v>663</v>
      </c>
      <c r="T25" s="443" t="s">
        <v>1822</v>
      </c>
      <c r="U25" s="444"/>
      <c r="V25" s="445"/>
      <c r="W25" s="406"/>
      <c r="X25" s="406"/>
      <c r="Y25" s="423"/>
      <c r="Z25" s="446" t="s">
        <v>1787</v>
      </c>
      <c r="AA25" s="434" t="s">
        <v>196</v>
      </c>
      <c r="AB25" s="447"/>
      <c r="AC25" s="426">
        <f t="shared" si="1"/>
        <v>0</v>
      </c>
      <c r="AD25" s="426">
        <f t="shared" si="2"/>
        <v>0</v>
      </c>
      <c r="AE25" s="426">
        <f t="shared" si="3"/>
        <v>0</v>
      </c>
      <c r="AF25" s="427"/>
      <c r="AG25" s="428"/>
      <c r="AH25" s="427"/>
      <c r="AI25" s="453" t="s">
        <v>1774</v>
      </c>
      <c r="AJ25" s="480">
        <f>AL22*120</f>
        <v>0</v>
      </c>
      <c r="AK25" s="480" t="s">
        <v>1775</v>
      </c>
      <c r="AL25" s="484">
        <f>IF(AL23&gt;0,AL23*AJ24*AL24,AL23*0.1)</f>
        <v>0</v>
      </c>
      <c r="AM25" s="453" t="s">
        <v>1774</v>
      </c>
      <c r="AN25" s="480">
        <f>AP22*120</f>
        <v>0</v>
      </c>
      <c r="AO25" s="480" t="s">
        <v>1775</v>
      </c>
      <c r="AP25" s="484">
        <f>AP23*AN24*AP24</f>
        <v>0</v>
      </c>
    </row>
    <row r="26" ht="15" customHeight="1" spans="1:42">
      <c r="A26" s="406">
        <f t="shared" si="0"/>
        <v>25</v>
      </c>
      <c r="B26" s="434" t="s">
        <v>1677</v>
      </c>
      <c r="C26" s="435"/>
      <c r="D26" s="436" t="s">
        <v>1823</v>
      </c>
      <c r="E26" s="406"/>
      <c r="F26" s="437"/>
      <c r="G26" s="436" t="s">
        <v>1791</v>
      </c>
      <c r="H26" s="436" t="s">
        <v>1824</v>
      </c>
      <c r="I26" s="427" t="s">
        <v>1825</v>
      </c>
      <c r="J26" s="435"/>
      <c r="K26" s="438"/>
      <c r="L26" s="435"/>
      <c r="M26" s="414" t="s">
        <v>1688</v>
      </c>
      <c r="N26" s="438"/>
      <c r="O26" s="439"/>
      <c r="P26" s="440" t="s">
        <v>1823</v>
      </c>
      <c r="Q26" s="441"/>
      <c r="R26" s="383" t="s">
        <v>332</v>
      </c>
      <c r="S26" s="442" t="s">
        <v>663</v>
      </c>
      <c r="T26" s="443" t="s">
        <v>1826</v>
      </c>
      <c r="U26" s="444"/>
      <c r="V26" s="445"/>
      <c r="W26" s="406"/>
      <c r="X26" s="406"/>
      <c r="Y26" s="423"/>
      <c r="Z26" s="446" t="s">
        <v>455</v>
      </c>
      <c r="AA26" s="434" t="s">
        <v>202</v>
      </c>
      <c r="AB26" s="447"/>
      <c r="AC26" s="426">
        <f t="shared" si="1"/>
        <v>0</v>
      </c>
      <c r="AD26" s="426">
        <f t="shared" si="2"/>
        <v>0</v>
      </c>
      <c r="AE26" s="426">
        <f t="shared" si="3"/>
        <v>0</v>
      </c>
      <c r="AF26" s="427"/>
      <c r="AG26" s="428"/>
      <c r="AH26" s="427"/>
      <c r="AI26" s="487" t="s">
        <v>1719</v>
      </c>
      <c r="AJ26" s="488"/>
      <c r="AK26" s="489" t="s">
        <v>1781</v>
      </c>
      <c r="AL26" s="490"/>
      <c r="AM26" s="487" t="s">
        <v>1719</v>
      </c>
      <c r="AN26" s="488"/>
      <c r="AO26" s="489" t="s">
        <v>1781</v>
      </c>
      <c r="AP26" s="490"/>
    </row>
    <row r="27" ht="15" customHeight="1" spans="1:42">
      <c r="A27" s="406">
        <f t="shared" si="0"/>
        <v>26</v>
      </c>
      <c r="B27" s="434" t="s">
        <v>1677</v>
      </c>
      <c r="C27" s="435"/>
      <c r="D27" s="436" t="s">
        <v>661</v>
      </c>
      <c r="E27" s="406"/>
      <c r="F27" s="437"/>
      <c r="G27" s="436" t="s">
        <v>1827</v>
      </c>
      <c r="H27" s="436" t="s">
        <v>1828</v>
      </c>
      <c r="I27" s="427" t="s">
        <v>1829</v>
      </c>
      <c r="J27" s="435"/>
      <c r="K27" s="438"/>
      <c r="L27" s="435"/>
      <c r="M27" s="414" t="s">
        <v>1710</v>
      </c>
      <c r="N27" s="438"/>
      <c r="O27" s="439"/>
      <c r="P27" s="440" t="s">
        <v>661</v>
      </c>
      <c r="Q27" s="441"/>
      <c r="R27" s="383" t="s">
        <v>332</v>
      </c>
      <c r="S27" s="442" t="s">
        <v>663</v>
      </c>
      <c r="T27" s="443" t="s">
        <v>668</v>
      </c>
      <c r="U27" s="444"/>
      <c r="V27" s="445"/>
      <c r="W27" s="406"/>
      <c r="X27" s="406"/>
      <c r="Y27" s="423"/>
      <c r="Z27" s="446" t="s">
        <v>667</v>
      </c>
      <c r="AA27" s="434" t="s">
        <v>259</v>
      </c>
      <c r="AB27" s="447"/>
      <c r="AC27" s="426">
        <f t="shared" si="1"/>
        <v>0</v>
      </c>
      <c r="AD27" s="426">
        <f t="shared" si="2"/>
        <v>0</v>
      </c>
      <c r="AE27" s="426">
        <f t="shared" si="3"/>
        <v>0</v>
      </c>
      <c r="AF27" s="427"/>
      <c r="AG27" s="428"/>
      <c r="AH27" s="427"/>
      <c r="AI27" s="487" t="s">
        <v>1788</v>
      </c>
      <c r="AJ27" s="491"/>
      <c r="AK27" s="489" t="s">
        <v>1789</v>
      </c>
      <c r="AL27" s="490">
        <f>AJ27*0.12</f>
        <v>0</v>
      </c>
      <c r="AM27" s="487" t="s">
        <v>1788</v>
      </c>
      <c r="AN27" s="491"/>
      <c r="AO27" s="489" t="s">
        <v>1789</v>
      </c>
      <c r="AP27" s="490">
        <f>AN27*0.12</f>
        <v>0</v>
      </c>
    </row>
    <row r="28" ht="15" customHeight="1" spans="1:42">
      <c r="A28" s="406">
        <f t="shared" si="0"/>
        <v>27</v>
      </c>
      <c r="B28" s="434" t="s">
        <v>1677</v>
      </c>
      <c r="C28" s="435"/>
      <c r="D28" s="436" t="s">
        <v>1830</v>
      </c>
      <c r="E28" s="406"/>
      <c r="F28" s="437"/>
      <c r="G28" s="436" t="s">
        <v>1831</v>
      </c>
      <c r="H28" s="436" t="s">
        <v>1832</v>
      </c>
      <c r="I28" s="427" t="s">
        <v>1833</v>
      </c>
      <c r="J28" s="435"/>
      <c r="K28" s="438"/>
      <c r="L28" s="435"/>
      <c r="M28" s="414" t="s">
        <v>1739</v>
      </c>
      <c r="N28" s="438"/>
      <c r="O28" s="439"/>
      <c r="P28" s="440" t="s">
        <v>1830</v>
      </c>
      <c r="Q28" s="441"/>
      <c r="R28" s="383" t="s">
        <v>327</v>
      </c>
      <c r="S28" s="442" t="s">
        <v>681</v>
      </c>
      <c r="T28" s="443" t="s">
        <v>1834</v>
      </c>
      <c r="U28" s="444"/>
      <c r="V28" s="445"/>
      <c r="W28" s="406"/>
      <c r="X28" s="406"/>
      <c r="Y28" s="423"/>
      <c r="Z28" s="446" t="s">
        <v>1741</v>
      </c>
      <c r="AA28" s="434" t="s">
        <v>183</v>
      </c>
      <c r="AB28" s="447" t="s">
        <v>1112</v>
      </c>
      <c r="AC28" s="426">
        <f t="shared" si="1"/>
        <v>0</v>
      </c>
      <c r="AD28" s="426">
        <f t="shared" si="2"/>
        <v>0</v>
      </c>
      <c r="AE28" s="426">
        <f t="shared" si="3"/>
        <v>0</v>
      </c>
      <c r="AF28" s="427"/>
      <c r="AG28" s="428"/>
      <c r="AH28" s="427"/>
      <c r="AI28" s="492" t="s">
        <v>162</v>
      </c>
      <c r="AJ28" s="493">
        <f>AJ25+AL25+AL26+AL27</f>
        <v>0</v>
      </c>
      <c r="AK28" s="494"/>
      <c r="AL28" s="473"/>
      <c r="AM28" s="492" t="s">
        <v>162</v>
      </c>
      <c r="AN28" s="493">
        <f>AN25+AP25+AP26+AP27</f>
        <v>0</v>
      </c>
      <c r="AO28" s="494"/>
      <c r="AP28" s="473"/>
    </row>
    <row r="29" ht="15" customHeight="1" spans="1:42">
      <c r="A29" s="406">
        <f t="shared" si="0"/>
        <v>28</v>
      </c>
      <c r="B29" s="434" t="s">
        <v>1677</v>
      </c>
      <c r="C29" s="435"/>
      <c r="D29" s="436" t="s">
        <v>191</v>
      </c>
      <c r="E29" s="406"/>
      <c r="F29" s="437"/>
      <c r="G29" s="436" t="s">
        <v>1791</v>
      </c>
      <c r="H29" s="436" t="s">
        <v>1835</v>
      </c>
      <c r="I29" s="427" t="s">
        <v>1836</v>
      </c>
      <c r="J29" s="435"/>
      <c r="K29" s="438"/>
      <c r="L29" s="435"/>
      <c r="M29" s="414"/>
      <c r="N29" s="438"/>
      <c r="O29" s="439"/>
      <c r="P29" s="440" t="s">
        <v>191</v>
      </c>
      <c r="Q29" s="441"/>
      <c r="R29" s="383" t="s">
        <v>332</v>
      </c>
      <c r="S29" s="442" t="s">
        <v>1689</v>
      </c>
      <c r="T29" s="443" t="s">
        <v>1837</v>
      </c>
      <c r="U29" s="444"/>
      <c r="V29" s="445"/>
      <c r="W29" s="406"/>
      <c r="X29" s="406"/>
      <c r="Y29" s="423"/>
      <c r="Z29" s="446" t="s">
        <v>1741</v>
      </c>
      <c r="AA29" s="434" t="s">
        <v>181</v>
      </c>
      <c r="AB29" s="447"/>
      <c r="AC29" s="426">
        <f t="shared" si="1"/>
        <v>0</v>
      </c>
      <c r="AD29" s="426">
        <f t="shared" si="2"/>
        <v>0</v>
      </c>
      <c r="AE29" s="426">
        <f t="shared" si="3"/>
        <v>0</v>
      </c>
      <c r="AF29" s="427"/>
      <c r="AG29" s="428"/>
      <c r="AH29" s="427"/>
      <c r="AI29" s="433"/>
      <c r="AJ29" s="433"/>
      <c r="AK29" s="433"/>
      <c r="AL29" s="433"/>
      <c r="AM29" s="433"/>
      <c r="AN29" s="433"/>
      <c r="AO29" s="433"/>
      <c r="AP29" s="433"/>
    </row>
    <row r="30" ht="15" customHeight="1" spans="1:42">
      <c r="A30" s="406">
        <f t="shared" si="0"/>
        <v>29</v>
      </c>
      <c r="B30" s="434" t="s">
        <v>1677</v>
      </c>
      <c r="C30" s="435"/>
      <c r="D30" s="436" t="s">
        <v>1255</v>
      </c>
      <c r="E30" s="406"/>
      <c r="F30" s="437"/>
      <c r="G30" s="436" t="s">
        <v>1838</v>
      </c>
      <c r="H30" s="436" t="s">
        <v>1839</v>
      </c>
      <c r="I30" s="427" t="s">
        <v>1840</v>
      </c>
      <c r="J30" s="435"/>
      <c r="K30" s="438"/>
      <c r="L30" s="435"/>
      <c r="M30" s="414"/>
      <c r="N30" s="438"/>
      <c r="O30" s="439"/>
      <c r="P30" s="440" t="s">
        <v>1255</v>
      </c>
      <c r="Q30" s="441"/>
      <c r="R30" s="383" t="s">
        <v>332</v>
      </c>
      <c r="S30" s="442" t="s">
        <v>979</v>
      </c>
      <c r="T30" s="443" t="s">
        <v>1254</v>
      </c>
      <c r="U30" s="444"/>
      <c r="V30" s="445"/>
      <c r="W30" s="406"/>
      <c r="X30" s="406"/>
      <c r="Y30" s="423"/>
      <c r="Z30" s="446" t="s">
        <v>207</v>
      </c>
      <c r="AA30" s="434" t="s">
        <v>208</v>
      </c>
      <c r="AB30" s="447"/>
      <c r="AC30" s="426">
        <f t="shared" si="1"/>
        <v>0</v>
      </c>
      <c r="AD30" s="426">
        <f t="shared" si="2"/>
        <v>0</v>
      </c>
      <c r="AE30" s="426">
        <f t="shared" si="3"/>
        <v>0</v>
      </c>
      <c r="AF30" s="427"/>
      <c r="AG30" s="428"/>
      <c r="AH30" s="427"/>
      <c r="AI30" s="476" t="s">
        <v>1841</v>
      </c>
      <c r="AJ30" s="451"/>
      <c r="AK30" s="451"/>
      <c r="AL30" s="477"/>
      <c r="AM30" s="478" t="s">
        <v>1842</v>
      </c>
      <c r="AN30" s="451"/>
      <c r="AO30" s="451"/>
      <c r="AP30" s="477"/>
    </row>
    <row r="31" ht="15" customHeight="1" spans="1:42">
      <c r="A31" s="406">
        <f t="shared" si="0"/>
        <v>30</v>
      </c>
      <c r="B31" s="434" t="s">
        <v>1721</v>
      </c>
      <c r="C31" s="435"/>
      <c r="D31" s="436" t="s">
        <v>1843</v>
      </c>
      <c r="E31" s="406"/>
      <c r="F31" s="437"/>
      <c r="G31" s="436" t="s">
        <v>1844</v>
      </c>
      <c r="H31" s="436" t="s">
        <v>1845</v>
      </c>
      <c r="I31" s="427" t="s">
        <v>1846</v>
      </c>
      <c r="J31" s="435"/>
      <c r="K31" s="438"/>
      <c r="L31" s="435"/>
      <c r="M31" s="414" t="s">
        <v>1710</v>
      </c>
      <c r="N31" s="438"/>
      <c r="O31" s="439"/>
      <c r="P31" s="440" t="s">
        <v>1843</v>
      </c>
      <c r="Q31" s="441"/>
      <c r="R31" s="383" t="s">
        <v>332</v>
      </c>
      <c r="S31" s="442" t="s">
        <v>681</v>
      </c>
      <c r="T31" s="443" t="s">
        <v>1847</v>
      </c>
      <c r="U31" s="444"/>
      <c r="V31" s="445"/>
      <c r="W31" s="406"/>
      <c r="X31" s="406"/>
      <c r="Y31" s="423"/>
      <c r="Z31" s="446" t="s">
        <v>1765</v>
      </c>
      <c r="AA31" s="434" t="s">
        <v>184</v>
      </c>
      <c r="AB31" s="447" t="s">
        <v>1112</v>
      </c>
      <c r="AC31" s="426">
        <f t="shared" si="1"/>
        <v>0</v>
      </c>
      <c r="AD31" s="426">
        <f t="shared" si="2"/>
        <v>0</v>
      </c>
      <c r="AE31" s="426">
        <f t="shared" si="3"/>
        <v>0</v>
      </c>
      <c r="AF31" s="427"/>
      <c r="AG31" s="428"/>
      <c r="AH31" s="427"/>
      <c r="AI31" s="453" t="s">
        <v>1698</v>
      </c>
      <c r="AJ31" s="479"/>
      <c r="AK31" s="480" t="s">
        <v>1747</v>
      </c>
      <c r="AL31" s="481"/>
      <c r="AM31" s="453" t="s">
        <v>1698</v>
      </c>
      <c r="AN31" s="479"/>
      <c r="AO31" s="480" t="s">
        <v>1747</v>
      </c>
      <c r="AP31" s="481"/>
    </row>
    <row r="32" ht="15" customHeight="1" spans="1:42">
      <c r="A32" s="406">
        <f t="shared" si="0"/>
        <v>31</v>
      </c>
      <c r="B32" s="434" t="s">
        <v>1677</v>
      </c>
      <c r="C32" s="435"/>
      <c r="D32" s="436" t="s">
        <v>1848</v>
      </c>
      <c r="E32" s="406"/>
      <c r="F32" s="437"/>
      <c r="G32" s="436" t="s">
        <v>1849</v>
      </c>
      <c r="H32" s="436" t="s">
        <v>1850</v>
      </c>
      <c r="I32" s="427" t="s">
        <v>1851</v>
      </c>
      <c r="J32" s="435"/>
      <c r="K32" s="438"/>
      <c r="L32" s="435"/>
      <c r="M32" s="414"/>
      <c r="N32" s="438"/>
      <c r="O32" s="439"/>
      <c r="P32" s="440" t="s">
        <v>1848</v>
      </c>
      <c r="Q32" s="441"/>
      <c r="R32" s="383" t="s">
        <v>327</v>
      </c>
      <c r="S32" s="442" t="s">
        <v>681</v>
      </c>
      <c r="T32" s="443" t="s">
        <v>1269</v>
      </c>
      <c r="U32" s="444"/>
      <c r="V32" s="445"/>
      <c r="W32" s="406"/>
      <c r="X32" s="406"/>
      <c r="Y32" s="423"/>
      <c r="Z32" s="446" t="s">
        <v>645</v>
      </c>
      <c r="AA32" s="434" t="s">
        <v>231</v>
      </c>
      <c r="AB32" s="447"/>
      <c r="AC32" s="426">
        <f t="shared" si="1"/>
        <v>0</v>
      </c>
      <c r="AD32" s="426">
        <f t="shared" si="2"/>
        <v>0</v>
      </c>
      <c r="AE32" s="426">
        <f t="shared" si="3"/>
        <v>0</v>
      </c>
      <c r="AF32" s="427"/>
      <c r="AG32" s="428"/>
      <c r="AH32" s="427"/>
      <c r="AI32" s="453" t="s">
        <v>1712</v>
      </c>
      <c r="AJ32" s="482" t="e">
        <f>AL31/AJ31</f>
        <v>#DIV/0!</v>
      </c>
      <c r="AK32" s="480" t="s">
        <v>1704</v>
      </c>
      <c r="AL32" s="481"/>
      <c r="AM32" s="453" t="s">
        <v>1712</v>
      </c>
      <c r="AN32" s="482" t="e">
        <f>AP31/AN31</f>
        <v>#DIV/0!</v>
      </c>
      <c r="AO32" s="480" t="s">
        <v>1704</v>
      </c>
      <c r="AP32" s="481"/>
    </row>
    <row r="33" ht="15" customHeight="1" spans="1:42">
      <c r="A33" s="406">
        <f t="shared" si="0"/>
        <v>32</v>
      </c>
      <c r="B33" s="434" t="s">
        <v>1677</v>
      </c>
      <c r="C33" s="435"/>
      <c r="D33" s="436" t="s">
        <v>1852</v>
      </c>
      <c r="E33" s="406"/>
      <c r="F33" s="437" t="s">
        <v>1853</v>
      </c>
      <c r="G33" s="436" t="s">
        <v>1854</v>
      </c>
      <c r="H33" s="436" t="s">
        <v>1855</v>
      </c>
      <c r="I33" s="427" t="s">
        <v>1856</v>
      </c>
      <c r="J33" s="435"/>
      <c r="K33" s="438"/>
      <c r="L33" s="435"/>
      <c r="M33" s="414" t="s">
        <v>1710</v>
      </c>
      <c r="N33" s="438"/>
      <c r="O33" s="439"/>
      <c r="P33" s="440" t="s">
        <v>1852</v>
      </c>
      <c r="Q33" s="441"/>
      <c r="R33" s="383" t="s">
        <v>332</v>
      </c>
      <c r="S33" s="442" t="s">
        <v>960</v>
      </c>
      <c r="T33" s="443" t="s">
        <v>1857</v>
      </c>
      <c r="U33" s="444"/>
      <c r="V33" s="445"/>
      <c r="W33" s="406"/>
      <c r="X33" s="406"/>
      <c r="Y33" s="423"/>
      <c r="Z33" s="446" t="s">
        <v>263</v>
      </c>
      <c r="AA33" s="434" t="s">
        <v>266</v>
      </c>
      <c r="AB33" s="447"/>
      <c r="AC33" s="426">
        <f t="shared" si="1"/>
        <v>0</v>
      </c>
      <c r="AD33" s="426">
        <f t="shared" si="2"/>
        <v>0</v>
      </c>
      <c r="AE33" s="426">
        <f t="shared" si="3"/>
        <v>0</v>
      </c>
      <c r="AF33" s="427"/>
      <c r="AG33" s="428"/>
      <c r="AH33" s="427"/>
      <c r="AI33" s="453" t="s">
        <v>1758</v>
      </c>
      <c r="AJ33" s="483"/>
      <c r="AK33" s="480" t="s">
        <v>1759</v>
      </c>
      <c r="AL33" s="484">
        <f>IF((AJ33-(2000*AL32))&lt;0,(AJ33-(2000*AL32)),AJ33-(2000*AL32))</f>
        <v>0</v>
      </c>
      <c r="AM33" s="453" t="s">
        <v>1758</v>
      </c>
      <c r="AN33" s="483"/>
      <c r="AO33" s="480" t="s">
        <v>1759</v>
      </c>
      <c r="AP33" s="484">
        <f>IF((AN33-(2000*AP32))&lt;0,0,(AN33-(2000*AP32)))</f>
        <v>0</v>
      </c>
    </row>
    <row r="34" ht="15" customHeight="1" spans="1:42">
      <c r="A34" s="406">
        <f t="shared" si="0"/>
        <v>33</v>
      </c>
      <c r="B34" s="434" t="s">
        <v>1677</v>
      </c>
      <c r="C34" s="435"/>
      <c r="D34" s="436" t="s">
        <v>1278</v>
      </c>
      <c r="E34" s="406"/>
      <c r="F34" s="437" t="s">
        <v>1858</v>
      </c>
      <c r="G34" s="436" t="s">
        <v>1859</v>
      </c>
      <c r="H34" s="436" t="s">
        <v>1860</v>
      </c>
      <c r="I34" s="427" t="s">
        <v>1861</v>
      </c>
      <c r="J34" s="435"/>
      <c r="K34" s="438"/>
      <c r="L34" s="435"/>
      <c r="M34" s="414"/>
      <c r="N34" s="438"/>
      <c r="O34" s="439"/>
      <c r="P34" s="440" t="s">
        <v>1278</v>
      </c>
      <c r="Q34" s="441"/>
      <c r="R34" s="383" t="s">
        <v>332</v>
      </c>
      <c r="S34" s="442" t="s">
        <v>712</v>
      </c>
      <c r="T34" s="443" t="s">
        <v>1862</v>
      </c>
      <c r="U34" s="444"/>
      <c r="V34" s="445"/>
      <c r="W34" s="406"/>
      <c r="X34" s="406"/>
      <c r="Y34" s="423"/>
      <c r="Z34" s="446" t="s">
        <v>263</v>
      </c>
      <c r="AA34" s="434" t="s">
        <v>265</v>
      </c>
      <c r="AB34" s="447"/>
      <c r="AC34" s="426">
        <f t="shared" si="1"/>
        <v>0</v>
      </c>
      <c r="AD34" s="426">
        <f t="shared" si="2"/>
        <v>0</v>
      </c>
      <c r="AE34" s="426">
        <f t="shared" si="3"/>
        <v>0</v>
      </c>
      <c r="AF34" s="427"/>
      <c r="AG34" s="428"/>
      <c r="AH34" s="427"/>
      <c r="AI34" s="453" t="s">
        <v>1766</v>
      </c>
      <c r="AJ34" s="485"/>
      <c r="AK34" s="480" t="s">
        <v>1767</v>
      </c>
      <c r="AL34" s="486">
        <f>AL24</f>
        <v>0</v>
      </c>
      <c r="AM34" s="453" t="s">
        <v>1766</v>
      </c>
      <c r="AN34" s="485"/>
      <c r="AO34" s="480" t="s">
        <v>1767</v>
      </c>
      <c r="AP34" s="486">
        <f>AL24</f>
        <v>0</v>
      </c>
    </row>
    <row r="35" ht="15" customHeight="1" spans="1:42">
      <c r="A35" s="406">
        <f t="shared" si="0"/>
        <v>34</v>
      </c>
      <c r="B35" s="434" t="s">
        <v>1721</v>
      </c>
      <c r="C35" s="435"/>
      <c r="D35" s="436" t="s">
        <v>1863</v>
      </c>
      <c r="E35" s="406"/>
      <c r="F35" s="437" t="s">
        <v>1864</v>
      </c>
      <c r="G35" s="436" t="s">
        <v>1865</v>
      </c>
      <c r="H35" s="436" t="s">
        <v>1866</v>
      </c>
      <c r="I35" s="427" t="s">
        <v>1867</v>
      </c>
      <c r="J35" s="435"/>
      <c r="K35" s="438"/>
      <c r="L35" s="435"/>
      <c r="M35" s="414" t="s">
        <v>1710</v>
      </c>
      <c r="N35" s="438"/>
      <c r="O35" s="439"/>
      <c r="P35" s="440" t="s">
        <v>1863</v>
      </c>
      <c r="Q35" s="441"/>
      <c r="R35" s="383" t="s">
        <v>332</v>
      </c>
      <c r="S35" s="442" t="s">
        <v>1794</v>
      </c>
      <c r="T35" s="443" t="s">
        <v>1283</v>
      </c>
      <c r="U35" s="444"/>
      <c r="V35" s="445"/>
      <c r="W35" s="406"/>
      <c r="X35" s="406"/>
      <c r="Y35" s="423"/>
      <c r="Z35" s="446" t="s">
        <v>660</v>
      </c>
      <c r="AA35" s="434" t="s">
        <v>245</v>
      </c>
      <c r="AB35" s="447"/>
      <c r="AC35" s="426">
        <f t="shared" si="1"/>
        <v>0</v>
      </c>
      <c r="AD35" s="426">
        <f t="shared" si="2"/>
        <v>0</v>
      </c>
      <c r="AE35" s="426">
        <f t="shared" si="3"/>
        <v>0</v>
      </c>
      <c r="AF35" s="427"/>
      <c r="AG35" s="428"/>
      <c r="AH35" s="427"/>
      <c r="AI35" s="453" t="s">
        <v>1774</v>
      </c>
      <c r="AJ35" s="480">
        <f>AL32*120</f>
        <v>0</v>
      </c>
      <c r="AK35" s="480" t="s">
        <v>1775</v>
      </c>
      <c r="AL35" s="484">
        <f>IF(AL33&gt;0,AL33*AJ34*AL34,AL33*0.1)</f>
        <v>0</v>
      </c>
      <c r="AM35" s="453" t="s">
        <v>1774</v>
      </c>
      <c r="AN35" s="480">
        <f>AP32*120</f>
        <v>0</v>
      </c>
      <c r="AO35" s="480" t="s">
        <v>1775</v>
      </c>
      <c r="AP35" s="484">
        <f>AP33*AN34*AP34</f>
        <v>0</v>
      </c>
    </row>
    <row r="36" ht="15" customHeight="1" spans="1:42">
      <c r="A36" s="406">
        <f t="shared" si="0"/>
        <v>35</v>
      </c>
      <c r="B36" s="434" t="s">
        <v>1721</v>
      </c>
      <c r="C36" s="435"/>
      <c r="D36" s="436" t="s">
        <v>1286</v>
      </c>
      <c r="E36" s="406"/>
      <c r="F36" s="437"/>
      <c r="G36" s="436" t="s">
        <v>1868</v>
      </c>
      <c r="H36" s="436" t="s">
        <v>1869</v>
      </c>
      <c r="I36" s="427" t="s">
        <v>1870</v>
      </c>
      <c r="J36" s="435"/>
      <c r="K36" s="438"/>
      <c r="L36" s="435"/>
      <c r="M36" s="414" t="s">
        <v>1710</v>
      </c>
      <c r="N36" s="438"/>
      <c r="O36" s="439"/>
      <c r="P36" s="440" t="s">
        <v>1286</v>
      </c>
      <c r="Q36" s="441"/>
      <c r="R36" s="383" t="s">
        <v>332</v>
      </c>
      <c r="S36" s="442" t="s">
        <v>1794</v>
      </c>
      <c r="T36" s="443" t="s">
        <v>1285</v>
      </c>
      <c r="U36" s="444"/>
      <c r="V36" s="445"/>
      <c r="W36" s="406"/>
      <c r="X36" s="406"/>
      <c r="Y36" s="423"/>
      <c r="Z36" s="446" t="s">
        <v>645</v>
      </c>
      <c r="AA36" s="434" t="s">
        <v>232</v>
      </c>
      <c r="AB36" s="447"/>
      <c r="AC36" s="426">
        <f t="shared" si="1"/>
        <v>0</v>
      </c>
      <c r="AD36" s="426">
        <f t="shared" si="2"/>
        <v>0</v>
      </c>
      <c r="AE36" s="426">
        <f t="shared" si="3"/>
        <v>0</v>
      </c>
      <c r="AF36" s="427"/>
      <c r="AG36" s="428"/>
      <c r="AH36" s="427"/>
      <c r="AI36" s="487" t="s">
        <v>1719</v>
      </c>
      <c r="AJ36" s="488"/>
      <c r="AK36" s="489" t="s">
        <v>1781</v>
      </c>
      <c r="AL36" s="490"/>
      <c r="AM36" s="487" t="s">
        <v>1719</v>
      </c>
      <c r="AN36" s="488"/>
      <c r="AO36" s="489" t="s">
        <v>1781</v>
      </c>
      <c r="AP36" s="490"/>
    </row>
    <row r="37" ht="15" customHeight="1" spans="1:42">
      <c r="A37" s="406">
        <f t="shared" si="0"/>
        <v>36</v>
      </c>
      <c r="B37" s="434" t="s">
        <v>1677</v>
      </c>
      <c r="C37" s="435"/>
      <c r="D37" s="436" t="s">
        <v>1871</v>
      </c>
      <c r="E37" s="406"/>
      <c r="F37" s="437"/>
      <c r="G37" s="436" t="s">
        <v>1715</v>
      </c>
      <c r="H37" s="436" t="s">
        <v>1872</v>
      </c>
      <c r="I37" s="427" t="s">
        <v>1873</v>
      </c>
      <c r="J37" s="435"/>
      <c r="K37" s="438"/>
      <c r="L37" s="435"/>
      <c r="M37" s="414" t="s">
        <v>1739</v>
      </c>
      <c r="N37" s="438"/>
      <c r="O37" s="439"/>
      <c r="P37" s="440" t="s">
        <v>1871</v>
      </c>
      <c r="Q37" s="441"/>
      <c r="R37" s="383" t="s">
        <v>327</v>
      </c>
      <c r="S37" s="442" t="s">
        <v>712</v>
      </c>
      <c r="T37" s="443" t="s">
        <v>1874</v>
      </c>
      <c r="U37" s="444"/>
      <c r="V37" s="445"/>
      <c r="W37" s="406"/>
      <c r="X37" s="406"/>
      <c r="Y37" s="423"/>
      <c r="Z37" s="446" t="s">
        <v>1741</v>
      </c>
      <c r="AA37" s="434" t="s">
        <v>182</v>
      </c>
      <c r="AB37" s="447" t="s">
        <v>1112</v>
      </c>
      <c r="AC37" s="426">
        <f t="shared" si="1"/>
        <v>0</v>
      </c>
      <c r="AD37" s="426">
        <f t="shared" si="2"/>
        <v>0</v>
      </c>
      <c r="AE37" s="426">
        <f t="shared" si="3"/>
        <v>0</v>
      </c>
      <c r="AF37" s="427"/>
      <c r="AG37" s="428"/>
      <c r="AH37" s="427"/>
      <c r="AI37" s="487" t="s">
        <v>1788</v>
      </c>
      <c r="AJ37" s="491"/>
      <c r="AK37" s="489" t="s">
        <v>1789</v>
      </c>
      <c r="AL37" s="490">
        <f>AJ37*0.12</f>
        <v>0</v>
      </c>
      <c r="AM37" s="487" t="s">
        <v>1788</v>
      </c>
      <c r="AN37" s="491"/>
      <c r="AO37" s="489" t="s">
        <v>1789</v>
      </c>
      <c r="AP37" s="490">
        <f>AN37*0.12</f>
        <v>0</v>
      </c>
    </row>
    <row r="38" ht="15" customHeight="1" spans="1:42">
      <c r="A38" s="406">
        <f t="shared" si="0"/>
        <v>37</v>
      </c>
      <c r="B38" s="434" t="s">
        <v>1677</v>
      </c>
      <c r="C38" s="435"/>
      <c r="D38" s="436" t="s">
        <v>1875</v>
      </c>
      <c r="E38" s="406"/>
      <c r="F38" s="437" t="s">
        <v>1876</v>
      </c>
      <c r="G38" s="436" t="s">
        <v>1877</v>
      </c>
      <c r="H38" s="436" t="s">
        <v>1878</v>
      </c>
      <c r="I38" s="427" t="s">
        <v>1879</v>
      </c>
      <c r="J38" s="435"/>
      <c r="K38" s="438"/>
      <c r="L38" s="435"/>
      <c r="M38" s="414" t="s">
        <v>1739</v>
      </c>
      <c r="N38" s="438"/>
      <c r="O38" s="439"/>
      <c r="P38" s="440" t="s">
        <v>1875</v>
      </c>
      <c r="Q38" s="441"/>
      <c r="R38" s="383" t="s">
        <v>327</v>
      </c>
      <c r="S38" s="442" t="s">
        <v>1880</v>
      </c>
      <c r="T38" s="443" t="s">
        <v>1019</v>
      </c>
      <c r="U38" s="444"/>
      <c r="V38" s="445"/>
      <c r="W38" s="406"/>
      <c r="X38" s="406"/>
      <c r="Y38" s="423"/>
      <c r="Z38" s="446" t="s">
        <v>1017</v>
      </c>
      <c r="AA38" s="434" t="s">
        <v>171</v>
      </c>
      <c r="AB38" s="447" t="s">
        <v>1112</v>
      </c>
      <c r="AC38" s="426">
        <f t="shared" si="1"/>
        <v>0</v>
      </c>
      <c r="AD38" s="426">
        <f t="shared" si="2"/>
        <v>0</v>
      </c>
      <c r="AE38" s="426">
        <f t="shared" si="3"/>
        <v>0</v>
      </c>
      <c r="AF38" s="427"/>
      <c r="AG38" s="428"/>
      <c r="AH38" s="427"/>
      <c r="AI38" s="492" t="s">
        <v>162</v>
      </c>
      <c r="AJ38" s="493">
        <f>AJ35+AL35+AL36+AL37</f>
        <v>0</v>
      </c>
      <c r="AK38" s="494"/>
      <c r="AL38" s="473"/>
      <c r="AM38" s="492" t="s">
        <v>162</v>
      </c>
      <c r="AN38" s="493">
        <f>AN35+AP35+AP36+AP37</f>
        <v>0</v>
      </c>
      <c r="AO38" s="494"/>
      <c r="AP38" s="473"/>
    </row>
    <row r="39" ht="15" customHeight="1" spans="1:42">
      <c r="A39" s="406">
        <f t="shared" si="0"/>
        <v>38</v>
      </c>
      <c r="B39" s="434" t="s">
        <v>1677</v>
      </c>
      <c r="C39" s="435"/>
      <c r="D39" s="436" t="s">
        <v>1881</v>
      </c>
      <c r="E39" s="406"/>
      <c r="F39" s="437"/>
      <c r="G39" s="436" t="s">
        <v>1694</v>
      </c>
      <c r="H39" s="436" t="s">
        <v>1882</v>
      </c>
      <c r="I39" s="427" t="s">
        <v>1883</v>
      </c>
      <c r="J39" s="435"/>
      <c r="K39" s="438"/>
      <c r="L39" s="435"/>
      <c r="M39" s="414" t="s">
        <v>1688</v>
      </c>
      <c r="N39" s="438"/>
      <c r="O39" s="439"/>
      <c r="P39" s="440" t="s">
        <v>1881</v>
      </c>
      <c r="Q39" s="441"/>
      <c r="R39" s="383" t="s">
        <v>332</v>
      </c>
      <c r="S39" s="442" t="s">
        <v>663</v>
      </c>
      <c r="T39" s="443" t="s">
        <v>1884</v>
      </c>
      <c r="U39" s="444"/>
      <c r="V39" s="445"/>
      <c r="W39" s="406"/>
      <c r="X39" s="406"/>
      <c r="Y39" s="423"/>
      <c r="Z39" s="446" t="s">
        <v>1017</v>
      </c>
      <c r="AA39" s="434" t="s">
        <v>169</v>
      </c>
      <c r="AB39" s="447" t="s">
        <v>1112</v>
      </c>
      <c r="AC39" s="426">
        <f t="shared" si="1"/>
        <v>0</v>
      </c>
      <c r="AD39" s="426">
        <f t="shared" si="2"/>
        <v>0</v>
      </c>
      <c r="AE39" s="426">
        <f t="shared" si="3"/>
        <v>0</v>
      </c>
      <c r="AF39" s="427"/>
      <c r="AG39" s="428"/>
      <c r="AH39" s="427"/>
    </row>
    <row r="40" ht="15" customHeight="1" spans="1:42">
      <c r="A40" s="406">
        <f t="shared" si="0"/>
        <v>39</v>
      </c>
      <c r="B40" s="434" t="s">
        <v>1677</v>
      </c>
      <c r="C40" s="435"/>
      <c r="D40" s="436" t="s">
        <v>1885</v>
      </c>
      <c r="E40" s="406"/>
      <c r="F40" s="437"/>
      <c r="G40" s="436" t="s">
        <v>1886</v>
      </c>
      <c r="H40" s="436" t="s">
        <v>1887</v>
      </c>
      <c r="I40" s="427" t="s">
        <v>1888</v>
      </c>
      <c r="J40" s="435"/>
      <c r="K40" s="438"/>
      <c r="L40" s="435"/>
      <c r="M40" s="414" t="s">
        <v>1710</v>
      </c>
      <c r="N40" s="438"/>
      <c r="O40" s="439"/>
      <c r="P40" s="440" t="s">
        <v>1885</v>
      </c>
      <c r="Q40" s="441"/>
      <c r="R40" s="383" t="s">
        <v>327</v>
      </c>
      <c r="S40" s="442" t="s">
        <v>681</v>
      </c>
      <c r="T40" s="443" t="s">
        <v>1889</v>
      </c>
      <c r="U40" s="444"/>
      <c r="V40" s="445"/>
      <c r="W40" s="406"/>
      <c r="X40" s="406"/>
      <c r="Y40" s="423"/>
      <c r="Z40" s="446" t="s">
        <v>985</v>
      </c>
      <c r="AA40" s="434" t="s">
        <v>187</v>
      </c>
      <c r="AB40" s="447"/>
      <c r="AC40" s="426">
        <f t="shared" si="1"/>
        <v>0</v>
      </c>
      <c r="AD40" s="426">
        <f t="shared" si="2"/>
        <v>0</v>
      </c>
      <c r="AE40" s="426">
        <f t="shared" si="3"/>
        <v>0</v>
      </c>
      <c r="AF40" s="427"/>
      <c r="AG40" s="428"/>
      <c r="AH40" s="427"/>
    </row>
    <row r="41" ht="15" customHeight="1" spans="1:42">
      <c r="A41" s="406">
        <f t="shared" si="0"/>
        <v>40</v>
      </c>
      <c r="B41" s="434" t="s">
        <v>1677</v>
      </c>
      <c r="C41" s="435"/>
      <c r="D41" s="436" t="s">
        <v>1890</v>
      </c>
      <c r="E41" s="406"/>
      <c r="F41" s="437"/>
      <c r="G41" s="436" t="s">
        <v>1891</v>
      </c>
      <c r="H41" s="436" t="s">
        <v>1892</v>
      </c>
      <c r="I41" s="427" t="s">
        <v>1893</v>
      </c>
      <c r="J41" s="435"/>
      <c r="K41" s="438"/>
      <c r="L41" s="435"/>
      <c r="M41" s="414"/>
      <c r="N41" s="438"/>
      <c r="O41" s="439"/>
      <c r="P41" s="440" t="s">
        <v>1890</v>
      </c>
      <c r="Q41" s="441"/>
      <c r="R41" s="383" t="s">
        <v>332</v>
      </c>
      <c r="S41" s="442" t="s">
        <v>663</v>
      </c>
      <c r="T41" s="443" t="s">
        <v>1894</v>
      </c>
      <c r="U41" s="444"/>
      <c r="V41" s="445"/>
      <c r="W41" s="406"/>
      <c r="X41" s="406"/>
      <c r="Y41" s="423"/>
      <c r="Z41" s="446" t="s">
        <v>455</v>
      </c>
      <c r="AA41" s="434" t="s">
        <v>204</v>
      </c>
      <c r="AB41" s="447"/>
      <c r="AC41" s="426">
        <f t="shared" si="1"/>
        <v>0</v>
      </c>
      <c r="AD41" s="426">
        <f t="shared" si="2"/>
        <v>0</v>
      </c>
      <c r="AE41" s="426">
        <f t="shared" si="3"/>
        <v>0</v>
      </c>
      <c r="AF41" s="427"/>
      <c r="AG41" s="428"/>
      <c r="AH41" s="427"/>
    </row>
    <row r="42" ht="15" customHeight="1" spans="1:42">
      <c r="A42" s="406">
        <f t="shared" si="0"/>
        <v>41</v>
      </c>
      <c r="B42" s="434" t="s">
        <v>1721</v>
      </c>
      <c r="C42" s="435"/>
      <c r="D42" s="436" t="s">
        <v>1895</v>
      </c>
      <c r="E42" s="406"/>
      <c r="F42" s="437"/>
      <c r="G42" s="436" t="s">
        <v>1896</v>
      </c>
      <c r="H42" s="436" t="s">
        <v>1897</v>
      </c>
      <c r="I42" s="427" t="s">
        <v>1898</v>
      </c>
      <c r="J42" s="435"/>
      <c r="K42" s="438"/>
      <c r="L42" s="435"/>
      <c r="M42" s="414" t="s">
        <v>1710</v>
      </c>
      <c r="N42" s="438"/>
      <c r="O42" s="439"/>
      <c r="P42" s="440" t="s">
        <v>1895</v>
      </c>
      <c r="Q42" s="441"/>
      <c r="R42" s="383" t="s">
        <v>332</v>
      </c>
      <c r="S42" s="442" t="s">
        <v>663</v>
      </c>
      <c r="T42" s="443" t="s">
        <v>1899</v>
      </c>
      <c r="U42" s="444"/>
      <c r="V42" s="445"/>
      <c r="W42" s="406"/>
      <c r="X42" s="406"/>
      <c r="Y42" s="423"/>
      <c r="Z42" s="446" t="s">
        <v>985</v>
      </c>
      <c r="AA42" s="434" t="s">
        <v>189</v>
      </c>
      <c r="AB42" s="447"/>
      <c r="AC42" s="426">
        <f t="shared" si="1"/>
        <v>0</v>
      </c>
      <c r="AD42" s="426">
        <f t="shared" si="2"/>
        <v>0</v>
      </c>
      <c r="AE42" s="426">
        <f t="shared" si="3"/>
        <v>0</v>
      </c>
      <c r="AF42" s="427"/>
      <c r="AG42" s="428"/>
      <c r="AH42" s="427"/>
    </row>
    <row r="43" ht="15" customHeight="1" spans="1:42">
      <c r="A43" s="406">
        <f t="shared" si="0"/>
        <v>42</v>
      </c>
      <c r="B43" s="434" t="s">
        <v>1677</v>
      </c>
      <c r="C43" s="435"/>
      <c r="D43" s="436" t="s">
        <v>1900</v>
      </c>
      <c r="E43" s="406"/>
      <c r="F43" s="437"/>
      <c r="G43" s="436" t="s">
        <v>1901</v>
      </c>
      <c r="H43" s="436" t="s">
        <v>1902</v>
      </c>
      <c r="I43" s="427" t="s">
        <v>1903</v>
      </c>
      <c r="J43" s="435"/>
      <c r="K43" s="438"/>
      <c r="L43" s="435"/>
      <c r="M43" s="414"/>
      <c r="N43" s="438"/>
      <c r="O43" s="439"/>
      <c r="P43" s="440" t="s">
        <v>1900</v>
      </c>
      <c r="Q43" s="441"/>
      <c r="R43" s="383" t="s">
        <v>332</v>
      </c>
      <c r="S43" s="442" t="s">
        <v>663</v>
      </c>
      <c r="T43" s="443" t="s">
        <v>1904</v>
      </c>
      <c r="U43" s="444"/>
      <c r="V43" s="445"/>
      <c r="W43" s="406"/>
      <c r="X43" s="406"/>
      <c r="Y43" s="423"/>
      <c r="Z43" s="446" t="s">
        <v>1787</v>
      </c>
      <c r="AA43" s="434" t="s">
        <v>196</v>
      </c>
      <c r="AB43" s="447"/>
      <c r="AC43" s="426">
        <f t="shared" si="1"/>
        <v>0</v>
      </c>
      <c r="AD43" s="426">
        <f t="shared" si="2"/>
        <v>0</v>
      </c>
      <c r="AE43" s="426">
        <f t="shared" si="3"/>
        <v>0</v>
      </c>
      <c r="AF43" s="427"/>
      <c r="AG43" s="428"/>
      <c r="AH43" s="427"/>
    </row>
    <row r="44" ht="15" customHeight="1" spans="1:42">
      <c r="A44" s="406">
        <f t="shared" si="0"/>
        <v>43</v>
      </c>
      <c r="B44" s="434" t="s">
        <v>1677</v>
      </c>
      <c r="C44" s="435"/>
      <c r="D44" s="436" t="s">
        <v>1905</v>
      </c>
      <c r="E44" s="406"/>
      <c r="F44" s="437" t="s">
        <v>1906</v>
      </c>
      <c r="G44" s="436" t="s">
        <v>1907</v>
      </c>
      <c r="H44" s="436" t="s">
        <v>1908</v>
      </c>
      <c r="I44" s="427" t="s">
        <v>1909</v>
      </c>
      <c r="J44" s="435"/>
      <c r="K44" s="438"/>
      <c r="L44" s="435"/>
      <c r="M44" s="414" t="s">
        <v>1710</v>
      </c>
      <c r="N44" s="438"/>
      <c r="O44" s="439"/>
      <c r="P44" s="440" t="s">
        <v>1905</v>
      </c>
      <c r="Q44" s="441"/>
      <c r="R44" s="383" t="s">
        <v>332</v>
      </c>
      <c r="S44" s="442" t="s">
        <v>663</v>
      </c>
      <c r="T44" s="443" t="s">
        <v>1289</v>
      </c>
      <c r="U44" s="444"/>
      <c r="V44" s="445"/>
      <c r="W44" s="406"/>
      <c r="X44" s="406"/>
      <c r="Y44" s="423"/>
      <c r="Z44" s="446" t="s">
        <v>263</v>
      </c>
      <c r="AA44" s="434" t="s">
        <v>265</v>
      </c>
      <c r="AB44" s="447"/>
      <c r="AC44" s="426">
        <f t="shared" si="1"/>
        <v>0</v>
      </c>
      <c r="AD44" s="426">
        <f t="shared" si="2"/>
        <v>0</v>
      </c>
      <c r="AE44" s="426">
        <f t="shared" si="3"/>
        <v>0</v>
      </c>
      <c r="AF44" s="427"/>
      <c r="AG44" s="428"/>
      <c r="AH44" s="427"/>
    </row>
    <row r="45" ht="15" customHeight="1" spans="1:42">
      <c r="A45" s="406">
        <f t="shared" si="0"/>
        <v>44</v>
      </c>
      <c r="B45" s="434" t="s">
        <v>1721</v>
      </c>
      <c r="C45" s="435"/>
      <c r="D45" s="436" t="s">
        <v>1910</v>
      </c>
      <c r="E45" s="406"/>
      <c r="F45" s="437"/>
      <c r="G45" s="436" t="s">
        <v>1911</v>
      </c>
      <c r="H45" s="436" t="s">
        <v>1912</v>
      </c>
      <c r="I45" s="427" t="s">
        <v>1913</v>
      </c>
      <c r="J45" s="435"/>
      <c r="K45" s="438"/>
      <c r="L45" s="435"/>
      <c r="M45" s="414" t="s">
        <v>1710</v>
      </c>
      <c r="N45" s="438"/>
      <c r="O45" s="439"/>
      <c r="P45" s="440" t="s">
        <v>1910</v>
      </c>
      <c r="Q45" s="441"/>
      <c r="R45" s="383" t="s">
        <v>327</v>
      </c>
      <c r="S45" s="442" t="s">
        <v>712</v>
      </c>
      <c r="T45" s="443" t="s">
        <v>1914</v>
      </c>
      <c r="U45" s="444"/>
      <c r="V45" s="445"/>
      <c r="W45" s="406"/>
      <c r="X45" s="406"/>
      <c r="Y45" s="423"/>
      <c r="Z45" s="446" t="s">
        <v>1017</v>
      </c>
      <c r="AA45" s="434" t="s">
        <v>173</v>
      </c>
      <c r="AB45" s="447" t="s">
        <v>1112</v>
      </c>
      <c r="AC45" s="426">
        <f t="shared" si="1"/>
        <v>0</v>
      </c>
      <c r="AD45" s="426">
        <f t="shared" si="2"/>
        <v>0</v>
      </c>
      <c r="AE45" s="426">
        <f t="shared" si="3"/>
        <v>0</v>
      </c>
      <c r="AF45" s="427"/>
      <c r="AG45" s="428"/>
      <c r="AH45" s="427"/>
    </row>
    <row r="46" ht="15" customHeight="1" spans="1:42">
      <c r="A46" s="406">
        <f t="shared" si="0"/>
        <v>45</v>
      </c>
      <c r="B46" s="434" t="s">
        <v>1677</v>
      </c>
      <c r="C46" s="435"/>
      <c r="D46" s="436" t="s">
        <v>1915</v>
      </c>
      <c r="E46" s="406" t="s">
        <v>1916</v>
      </c>
      <c r="F46" s="437"/>
      <c r="G46" s="436" t="s">
        <v>1715</v>
      </c>
      <c r="H46" s="436" t="s">
        <v>1917</v>
      </c>
      <c r="I46" s="427" t="s">
        <v>1918</v>
      </c>
      <c r="J46" s="435"/>
      <c r="K46" s="438"/>
      <c r="L46" s="435"/>
      <c r="M46" s="414"/>
      <c r="N46" s="438"/>
      <c r="O46" s="439"/>
      <c r="P46" s="440" t="s">
        <v>1915</v>
      </c>
      <c r="Q46" s="441" t="s">
        <v>1916</v>
      </c>
      <c r="R46" s="383" t="s">
        <v>327</v>
      </c>
      <c r="S46" s="442" t="s">
        <v>681</v>
      </c>
      <c r="T46" s="443" t="s">
        <v>1919</v>
      </c>
      <c r="U46" s="444"/>
      <c r="V46" s="445"/>
      <c r="W46" s="406"/>
      <c r="X46" s="406"/>
      <c r="Y46" s="423"/>
      <c r="Z46" s="446" t="s">
        <v>207</v>
      </c>
      <c r="AA46" s="434" t="s">
        <v>208</v>
      </c>
      <c r="AB46" s="447"/>
      <c r="AC46" s="426">
        <f t="shared" si="1"/>
        <v>0</v>
      </c>
      <c r="AD46" s="426">
        <f t="shared" si="2"/>
        <v>0</v>
      </c>
      <c r="AE46" s="426">
        <f t="shared" si="3"/>
        <v>0</v>
      </c>
      <c r="AF46" s="427"/>
      <c r="AG46" s="428"/>
      <c r="AH46" s="427"/>
    </row>
    <row r="47" ht="15" customHeight="1" spans="1:42">
      <c r="A47" s="406">
        <f t="shared" si="0"/>
        <v>46</v>
      </c>
      <c r="B47" s="434" t="s">
        <v>1677</v>
      </c>
      <c r="C47" s="435"/>
      <c r="D47" s="436" t="s">
        <v>1295</v>
      </c>
      <c r="E47" s="406"/>
      <c r="F47" s="437"/>
      <c r="G47" s="436" t="s">
        <v>1907</v>
      </c>
      <c r="H47" s="436" t="s">
        <v>1920</v>
      </c>
      <c r="I47" s="427" t="s">
        <v>1921</v>
      </c>
      <c r="J47" s="435"/>
      <c r="K47" s="438"/>
      <c r="L47" s="435"/>
      <c r="M47" s="414"/>
      <c r="N47" s="438"/>
      <c r="O47" s="439"/>
      <c r="P47" s="440" t="s">
        <v>1295</v>
      </c>
      <c r="Q47" s="441"/>
      <c r="R47" s="383" t="s">
        <v>332</v>
      </c>
      <c r="S47" s="442" t="s">
        <v>663</v>
      </c>
      <c r="T47" s="443" t="s">
        <v>1294</v>
      </c>
      <c r="U47" s="444"/>
      <c r="V47" s="445"/>
      <c r="W47" s="406"/>
      <c r="X47" s="406"/>
      <c r="Y47" s="423"/>
      <c r="Z47" s="446" t="s">
        <v>667</v>
      </c>
      <c r="AA47" s="434" t="s">
        <v>258</v>
      </c>
      <c r="AB47" s="447"/>
      <c r="AC47" s="426">
        <f t="shared" si="1"/>
        <v>0</v>
      </c>
      <c r="AD47" s="426">
        <f t="shared" si="2"/>
        <v>0</v>
      </c>
      <c r="AE47" s="426">
        <f t="shared" si="3"/>
        <v>0</v>
      </c>
      <c r="AF47" s="427"/>
      <c r="AG47" s="428"/>
      <c r="AH47" s="427"/>
    </row>
    <row r="48" ht="15" customHeight="1" spans="1:42">
      <c r="A48" s="406">
        <f t="shared" si="0"/>
        <v>47</v>
      </c>
      <c r="B48" s="434" t="s">
        <v>1677</v>
      </c>
      <c r="C48" s="435"/>
      <c r="D48" s="436" t="s">
        <v>1922</v>
      </c>
      <c r="E48" s="406"/>
      <c r="F48" s="437" t="s">
        <v>1923</v>
      </c>
      <c r="G48" s="436" t="s">
        <v>1924</v>
      </c>
      <c r="H48" s="436" t="s">
        <v>1925</v>
      </c>
      <c r="I48" s="427" t="s">
        <v>1926</v>
      </c>
      <c r="J48" s="435"/>
      <c r="K48" s="438"/>
      <c r="L48" s="435"/>
      <c r="M48" s="414" t="s">
        <v>1710</v>
      </c>
      <c r="N48" s="438"/>
      <c r="O48" s="439"/>
      <c r="P48" s="440" t="s">
        <v>1922</v>
      </c>
      <c r="Q48" s="441"/>
      <c r="R48" s="383" t="s">
        <v>327</v>
      </c>
      <c r="S48" s="442" t="s">
        <v>681</v>
      </c>
      <c r="T48" s="443" t="s">
        <v>1927</v>
      </c>
      <c r="U48" s="444"/>
      <c r="V48" s="445"/>
      <c r="W48" s="406"/>
      <c r="X48" s="406"/>
      <c r="Y48" s="423"/>
      <c r="Z48" s="446" t="s">
        <v>660</v>
      </c>
      <c r="AA48" s="434" t="s">
        <v>242</v>
      </c>
      <c r="AB48" s="447"/>
      <c r="AC48" s="426">
        <f t="shared" si="1"/>
        <v>0</v>
      </c>
      <c r="AD48" s="426">
        <f t="shared" si="2"/>
        <v>0</v>
      </c>
      <c r="AE48" s="426">
        <f t="shared" si="3"/>
        <v>0</v>
      </c>
      <c r="AF48" s="427"/>
      <c r="AG48" s="428"/>
      <c r="AH48" s="427"/>
    </row>
    <row r="49" ht="15" customHeight="1" spans="1:34">
      <c r="A49" s="406">
        <f t="shared" si="0"/>
        <v>48</v>
      </c>
      <c r="B49" s="434" t="s">
        <v>1677</v>
      </c>
      <c r="C49" s="435"/>
      <c r="D49" s="436" t="s">
        <v>1928</v>
      </c>
      <c r="E49" s="406"/>
      <c r="F49" s="437"/>
      <c r="G49" s="436" t="s">
        <v>1907</v>
      </c>
      <c r="H49" s="436" t="s">
        <v>1929</v>
      </c>
      <c r="I49" s="427" t="s">
        <v>1930</v>
      </c>
      <c r="J49" s="435"/>
      <c r="K49" s="438"/>
      <c r="L49" s="435"/>
      <c r="M49" s="414"/>
      <c r="N49" s="438"/>
      <c r="O49" s="439"/>
      <c r="P49" s="440" t="s">
        <v>1928</v>
      </c>
      <c r="Q49" s="441"/>
      <c r="R49" s="383" t="s">
        <v>332</v>
      </c>
      <c r="S49" s="442" t="s">
        <v>663</v>
      </c>
      <c r="T49" s="443" t="s">
        <v>1931</v>
      </c>
      <c r="U49" s="444"/>
      <c r="V49" s="445"/>
      <c r="W49" s="406"/>
      <c r="X49" s="406"/>
      <c r="Y49" s="423"/>
      <c r="Z49" s="446" t="s">
        <v>455</v>
      </c>
      <c r="AA49" s="434" t="s">
        <v>195</v>
      </c>
      <c r="AB49" s="447"/>
      <c r="AC49" s="426">
        <f t="shared" si="1"/>
        <v>0</v>
      </c>
      <c r="AD49" s="426">
        <f t="shared" si="2"/>
        <v>0</v>
      </c>
      <c r="AE49" s="426">
        <f t="shared" si="3"/>
        <v>0</v>
      </c>
      <c r="AF49" s="427"/>
      <c r="AG49" s="428"/>
      <c r="AH49" s="427"/>
    </row>
    <row r="50" ht="15" customHeight="1" spans="1:34">
      <c r="A50" s="406">
        <f t="shared" si="0"/>
        <v>49</v>
      </c>
      <c r="B50" s="434" t="s">
        <v>1721</v>
      </c>
      <c r="C50" s="435"/>
      <c r="D50" s="436" t="s">
        <v>1932</v>
      </c>
      <c r="E50" s="406"/>
      <c r="F50" s="437"/>
      <c r="G50" s="436" t="s">
        <v>1933</v>
      </c>
      <c r="H50" s="436" t="s">
        <v>1934</v>
      </c>
      <c r="I50" s="427" t="s">
        <v>1935</v>
      </c>
      <c r="J50" s="435"/>
      <c r="K50" s="438"/>
      <c r="L50" s="435"/>
      <c r="M50" s="414" t="s">
        <v>1710</v>
      </c>
      <c r="N50" s="438"/>
      <c r="O50" s="439"/>
      <c r="P50" s="440" t="s">
        <v>1932</v>
      </c>
      <c r="Q50" s="441"/>
      <c r="R50" s="383" t="s">
        <v>327</v>
      </c>
      <c r="S50" s="442" t="s">
        <v>681</v>
      </c>
      <c r="T50" s="443" t="s">
        <v>1936</v>
      </c>
      <c r="U50" s="444"/>
      <c r="V50" s="445"/>
      <c r="W50" s="406"/>
      <c r="X50" s="406"/>
      <c r="Y50" s="423"/>
      <c r="Z50" s="446" t="s">
        <v>985</v>
      </c>
      <c r="AA50" s="434" t="s">
        <v>190</v>
      </c>
      <c r="AB50" s="447"/>
      <c r="AC50" s="426">
        <f t="shared" si="1"/>
        <v>0</v>
      </c>
      <c r="AD50" s="426">
        <f t="shared" si="2"/>
        <v>0</v>
      </c>
      <c r="AE50" s="426">
        <f t="shared" si="3"/>
        <v>0</v>
      </c>
      <c r="AF50" s="427"/>
      <c r="AG50" s="428"/>
      <c r="AH50" s="427"/>
    </row>
    <row r="51" ht="15" customHeight="1" spans="1:34">
      <c r="A51" s="406">
        <f t="shared" si="0"/>
        <v>50</v>
      </c>
      <c r="B51" s="434" t="s">
        <v>1677</v>
      </c>
      <c r="C51" s="435"/>
      <c r="D51" s="436" t="s">
        <v>1937</v>
      </c>
      <c r="E51" s="406"/>
      <c r="F51" s="437"/>
      <c r="G51" s="436" t="s">
        <v>1938</v>
      </c>
      <c r="H51" s="436" t="s">
        <v>1939</v>
      </c>
      <c r="I51" s="427" t="s">
        <v>1940</v>
      </c>
      <c r="J51" s="435"/>
      <c r="K51" s="438"/>
      <c r="L51" s="435"/>
      <c r="M51" s="414"/>
      <c r="N51" s="438"/>
      <c r="O51" s="439"/>
      <c r="P51" s="440" t="s">
        <v>1937</v>
      </c>
      <c r="Q51" s="441"/>
      <c r="R51" s="383" t="s">
        <v>332</v>
      </c>
      <c r="S51" s="442" t="s">
        <v>663</v>
      </c>
      <c r="T51" s="443" t="s">
        <v>1307</v>
      </c>
      <c r="U51" s="444"/>
      <c r="V51" s="445"/>
      <c r="W51" s="406"/>
      <c r="X51" s="406"/>
      <c r="Y51" s="423"/>
      <c r="Z51" s="446" t="s">
        <v>249</v>
      </c>
      <c r="AA51" s="434" t="s">
        <v>251</v>
      </c>
      <c r="AB51" s="447"/>
      <c r="AC51" s="426">
        <f t="shared" si="1"/>
        <v>0</v>
      </c>
      <c r="AD51" s="426">
        <f t="shared" si="2"/>
        <v>0</v>
      </c>
      <c r="AE51" s="426">
        <f t="shared" si="3"/>
        <v>0</v>
      </c>
      <c r="AF51" s="427"/>
      <c r="AG51" s="428"/>
      <c r="AH51" s="427"/>
    </row>
    <row r="52" ht="15" customHeight="1" spans="1:34">
      <c r="A52" s="406">
        <f t="shared" si="0"/>
        <v>51</v>
      </c>
      <c r="B52" s="434" t="s">
        <v>1721</v>
      </c>
      <c r="C52" s="435"/>
      <c r="D52" s="436" t="s">
        <v>669</v>
      </c>
      <c r="E52" s="406"/>
      <c r="F52" s="437"/>
      <c r="G52" s="436" t="s">
        <v>1941</v>
      </c>
      <c r="H52" s="436" t="s">
        <v>1942</v>
      </c>
      <c r="I52" s="427" t="s">
        <v>1943</v>
      </c>
      <c r="J52" s="435"/>
      <c r="K52" s="438"/>
      <c r="L52" s="435"/>
      <c r="M52" s="414"/>
      <c r="N52" s="438"/>
      <c r="O52" s="439"/>
      <c r="P52" s="440" t="s">
        <v>669</v>
      </c>
      <c r="Q52" s="441"/>
      <c r="R52" s="383" t="s">
        <v>332</v>
      </c>
      <c r="S52" s="442" t="s">
        <v>1794</v>
      </c>
      <c r="T52" s="443" t="s">
        <v>674</v>
      </c>
      <c r="U52" s="444"/>
      <c r="V52" s="445"/>
      <c r="W52" s="406"/>
      <c r="X52" s="406"/>
      <c r="Y52" s="423"/>
      <c r="Z52" s="446" t="s">
        <v>249</v>
      </c>
      <c r="AA52" s="434" t="s">
        <v>250</v>
      </c>
      <c r="AB52" s="447"/>
      <c r="AC52" s="426">
        <f t="shared" si="1"/>
        <v>0</v>
      </c>
      <c r="AD52" s="426">
        <f t="shared" si="2"/>
        <v>0</v>
      </c>
      <c r="AE52" s="426">
        <f t="shared" si="3"/>
        <v>0</v>
      </c>
      <c r="AF52" s="427"/>
      <c r="AG52" s="428"/>
      <c r="AH52" s="427"/>
    </row>
    <row r="53" ht="15" customHeight="1" spans="1:34">
      <c r="A53" s="406">
        <f t="shared" si="0"/>
        <v>52</v>
      </c>
      <c r="B53" s="434" t="s">
        <v>1677</v>
      </c>
      <c r="C53" s="435"/>
      <c r="D53" s="436" t="s">
        <v>1944</v>
      </c>
      <c r="E53" s="406"/>
      <c r="F53" s="437" t="s">
        <v>1945</v>
      </c>
      <c r="G53" s="436" t="s">
        <v>1946</v>
      </c>
      <c r="H53" s="436" t="s">
        <v>1947</v>
      </c>
      <c r="I53" s="427" t="s">
        <v>1948</v>
      </c>
      <c r="J53" s="435"/>
      <c r="K53" s="438"/>
      <c r="L53" s="435"/>
      <c r="M53" s="414" t="s">
        <v>1739</v>
      </c>
      <c r="N53" s="438"/>
      <c r="O53" s="439"/>
      <c r="P53" s="440" t="s">
        <v>1944</v>
      </c>
      <c r="Q53" s="441"/>
      <c r="R53" s="383" t="s">
        <v>327</v>
      </c>
      <c r="S53" s="442" t="s">
        <v>712</v>
      </c>
      <c r="T53" s="443" t="s">
        <v>1949</v>
      </c>
      <c r="U53" s="444"/>
      <c r="V53" s="445"/>
      <c r="W53" s="406"/>
      <c r="X53" s="406"/>
      <c r="Y53" s="423"/>
      <c r="Z53" s="446" t="s">
        <v>1765</v>
      </c>
      <c r="AA53" s="434" t="s">
        <v>179</v>
      </c>
      <c r="AB53" s="447" t="s">
        <v>1112</v>
      </c>
      <c r="AC53" s="426">
        <f t="shared" si="1"/>
        <v>0</v>
      </c>
      <c r="AD53" s="426">
        <f t="shared" si="2"/>
        <v>0</v>
      </c>
      <c r="AE53" s="426">
        <f t="shared" si="3"/>
        <v>0</v>
      </c>
      <c r="AF53" s="427"/>
      <c r="AG53" s="428"/>
      <c r="AH53" s="427"/>
    </row>
    <row r="54" ht="15" customHeight="1" spans="1:34">
      <c r="A54" s="406">
        <f t="shared" si="0"/>
        <v>53</v>
      </c>
      <c r="B54" s="434" t="s">
        <v>1721</v>
      </c>
      <c r="C54" s="435"/>
      <c r="D54" s="436" t="s">
        <v>1950</v>
      </c>
      <c r="E54" s="406"/>
      <c r="F54" s="437"/>
      <c r="G54" s="436" t="s">
        <v>1777</v>
      </c>
      <c r="H54" s="436" t="s">
        <v>1951</v>
      </c>
      <c r="I54" s="427" t="s">
        <v>1952</v>
      </c>
      <c r="J54" s="435"/>
      <c r="K54" s="438"/>
      <c r="L54" s="435"/>
      <c r="M54" s="414" t="s">
        <v>1710</v>
      </c>
      <c r="N54" s="438"/>
      <c r="O54" s="439"/>
      <c r="P54" s="440" t="s">
        <v>1950</v>
      </c>
      <c r="Q54" s="441"/>
      <c r="R54" s="383" t="s">
        <v>332</v>
      </c>
      <c r="S54" s="442" t="s">
        <v>663</v>
      </c>
      <c r="T54" s="443" t="s">
        <v>1953</v>
      </c>
      <c r="U54" s="444"/>
      <c r="V54" s="445"/>
      <c r="W54" s="406"/>
      <c r="X54" s="406"/>
      <c r="Y54" s="423"/>
      <c r="Z54" s="446" t="s">
        <v>985</v>
      </c>
      <c r="AA54" s="434" t="s">
        <v>187</v>
      </c>
      <c r="AB54" s="447"/>
      <c r="AC54" s="426">
        <f t="shared" si="1"/>
        <v>0</v>
      </c>
      <c r="AD54" s="426">
        <f t="shared" si="2"/>
        <v>0</v>
      </c>
      <c r="AE54" s="426">
        <f t="shared" si="3"/>
        <v>0</v>
      </c>
      <c r="AF54" s="427"/>
      <c r="AG54" s="428"/>
      <c r="AH54" s="427"/>
    </row>
    <row r="55" ht="15" customHeight="1" spans="1:34">
      <c r="A55" s="406">
        <f t="shared" si="0"/>
        <v>54</v>
      </c>
      <c r="B55" s="434" t="s">
        <v>1721</v>
      </c>
      <c r="C55" s="435"/>
      <c r="D55" s="436" t="s">
        <v>1954</v>
      </c>
      <c r="E55" s="406"/>
      <c r="F55" s="437"/>
      <c r="G55" s="436" t="s">
        <v>1877</v>
      </c>
      <c r="H55" s="436" t="s">
        <v>1955</v>
      </c>
      <c r="I55" s="427" t="s">
        <v>1956</v>
      </c>
      <c r="J55" s="435"/>
      <c r="K55" s="438"/>
      <c r="L55" s="435"/>
      <c r="M55" s="414" t="s">
        <v>1688</v>
      </c>
      <c r="N55" s="438"/>
      <c r="O55" s="439"/>
      <c r="P55" s="440" t="s">
        <v>1954</v>
      </c>
      <c r="Q55" s="441"/>
      <c r="R55" s="383" t="s">
        <v>332</v>
      </c>
      <c r="S55" s="442" t="s">
        <v>663</v>
      </c>
      <c r="T55" s="443" t="s">
        <v>1957</v>
      </c>
      <c r="U55" s="444"/>
      <c r="V55" s="445"/>
      <c r="W55" s="406"/>
      <c r="X55" s="406"/>
      <c r="Y55" s="423"/>
      <c r="Z55" s="446" t="s">
        <v>455</v>
      </c>
      <c r="AA55" s="434" t="s">
        <v>197</v>
      </c>
      <c r="AB55" s="447"/>
      <c r="AC55" s="426">
        <f t="shared" si="1"/>
        <v>0</v>
      </c>
      <c r="AD55" s="426">
        <f t="shared" si="2"/>
        <v>0</v>
      </c>
      <c r="AE55" s="426">
        <f t="shared" si="3"/>
        <v>0</v>
      </c>
      <c r="AF55" s="427"/>
      <c r="AG55" s="428"/>
      <c r="AH55" s="427"/>
    </row>
    <row r="56" ht="15" customHeight="1" spans="1:34">
      <c r="A56" s="406">
        <f t="shared" si="0"/>
        <v>55</v>
      </c>
      <c r="B56" s="434" t="s">
        <v>1677</v>
      </c>
      <c r="C56" s="435"/>
      <c r="D56" s="436" t="s">
        <v>1958</v>
      </c>
      <c r="E56" s="406"/>
      <c r="F56" s="437"/>
      <c r="G56" s="436" t="s">
        <v>1959</v>
      </c>
      <c r="H56" s="436" t="s">
        <v>1960</v>
      </c>
      <c r="I56" s="427" t="s">
        <v>1961</v>
      </c>
      <c r="J56" s="496"/>
      <c r="K56" s="497"/>
      <c r="L56" s="496"/>
      <c r="M56" s="498" t="s">
        <v>1688</v>
      </c>
      <c r="N56" s="497"/>
      <c r="O56" s="499"/>
      <c r="P56" s="440" t="s">
        <v>1958</v>
      </c>
      <c r="Q56" s="441"/>
      <c r="R56" s="383" t="s">
        <v>332</v>
      </c>
      <c r="S56" s="442" t="s">
        <v>681</v>
      </c>
      <c r="T56" s="443" t="s">
        <v>1962</v>
      </c>
      <c r="U56" s="444"/>
      <c r="V56" s="445"/>
      <c r="W56" s="406"/>
      <c r="X56" s="406"/>
      <c r="Y56" s="423"/>
      <c r="Z56" s="446" t="s">
        <v>985</v>
      </c>
      <c r="AA56" s="434" t="s">
        <v>190</v>
      </c>
      <c r="AB56" s="447"/>
      <c r="AC56" s="426">
        <f t="shared" si="1"/>
        <v>0</v>
      </c>
      <c r="AD56" s="426">
        <f t="shared" si="2"/>
        <v>0</v>
      </c>
      <c r="AE56" s="426">
        <f t="shared" si="3"/>
        <v>0</v>
      </c>
      <c r="AF56" s="427"/>
      <c r="AG56" s="428"/>
      <c r="AH56" s="427"/>
    </row>
    <row r="57" ht="15" customHeight="1" spans="1:34">
      <c r="A57" s="406">
        <f t="shared" si="0"/>
        <v>56</v>
      </c>
      <c r="B57" s="434" t="s">
        <v>1721</v>
      </c>
      <c r="C57" s="435"/>
      <c r="D57" s="436" t="s">
        <v>1963</v>
      </c>
      <c r="E57" s="406"/>
      <c r="F57" s="437"/>
      <c r="G57" s="436" t="s">
        <v>1964</v>
      </c>
      <c r="H57" s="436" t="s">
        <v>1965</v>
      </c>
      <c r="I57" s="427" t="s">
        <v>1966</v>
      </c>
      <c r="J57" s="496"/>
      <c r="K57" s="497"/>
      <c r="L57" s="496"/>
      <c r="M57" s="498" t="s">
        <v>1710</v>
      </c>
      <c r="N57" s="497"/>
      <c r="O57" s="499"/>
      <c r="P57" s="440" t="s">
        <v>1963</v>
      </c>
      <c r="Q57" s="441"/>
      <c r="R57" s="383" t="s">
        <v>332</v>
      </c>
      <c r="S57" s="442" t="s">
        <v>1689</v>
      </c>
      <c r="T57" s="443" t="s">
        <v>1967</v>
      </c>
      <c r="U57" s="444"/>
      <c r="V57" s="445"/>
      <c r="W57" s="406"/>
      <c r="X57" s="406"/>
      <c r="Y57" s="423"/>
      <c r="Z57" s="446" t="s">
        <v>455</v>
      </c>
      <c r="AA57" s="434" t="s">
        <v>196</v>
      </c>
      <c r="AB57" s="447"/>
      <c r="AC57" s="426">
        <f t="shared" si="1"/>
        <v>0</v>
      </c>
      <c r="AD57" s="426">
        <f t="shared" si="2"/>
        <v>0</v>
      </c>
      <c r="AE57" s="426">
        <f t="shared" si="3"/>
        <v>0</v>
      </c>
      <c r="AF57" s="427"/>
      <c r="AG57" s="428"/>
      <c r="AH57" s="427"/>
    </row>
    <row r="58" ht="15" customHeight="1" spans="1:34">
      <c r="A58" s="406">
        <f t="shared" si="0"/>
        <v>57</v>
      </c>
      <c r="B58" s="434" t="s">
        <v>1677</v>
      </c>
      <c r="C58" s="435"/>
      <c r="D58" s="436" t="s">
        <v>1314</v>
      </c>
      <c r="E58" s="406"/>
      <c r="F58" s="437"/>
      <c r="G58" s="436" t="s">
        <v>1968</v>
      </c>
      <c r="H58" s="436" t="s">
        <v>1969</v>
      </c>
      <c r="I58" s="427" t="s">
        <v>1970</v>
      </c>
      <c r="J58" s="496"/>
      <c r="K58" s="497"/>
      <c r="L58" s="496"/>
      <c r="M58" s="498"/>
      <c r="N58" s="497"/>
      <c r="O58" s="499"/>
      <c r="P58" s="440" t="s">
        <v>1314</v>
      </c>
      <c r="Q58" s="441"/>
      <c r="R58" s="383" t="s">
        <v>327</v>
      </c>
      <c r="S58" s="442" t="s">
        <v>712</v>
      </c>
      <c r="T58" s="443" t="s">
        <v>1313</v>
      </c>
      <c r="U58" s="444"/>
      <c r="V58" s="445"/>
      <c r="W58" s="406"/>
      <c r="X58" s="406"/>
      <c r="Y58" s="423"/>
      <c r="Z58" s="446" t="s">
        <v>249</v>
      </c>
      <c r="AA58" s="434" t="s">
        <v>251</v>
      </c>
      <c r="AB58" s="447"/>
      <c r="AC58" s="426">
        <f t="shared" si="1"/>
        <v>0</v>
      </c>
      <c r="AD58" s="426">
        <f t="shared" si="2"/>
        <v>0</v>
      </c>
      <c r="AE58" s="426">
        <f t="shared" si="3"/>
        <v>0</v>
      </c>
      <c r="AF58" s="427"/>
      <c r="AG58" s="428"/>
      <c r="AH58" s="427"/>
    </row>
    <row r="59" ht="15" customHeight="1" spans="1:34">
      <c r="A59" s="406">
        <f t="shared" si="0"/>
        <v>58</v>
      </c>
      <c r="B59" s="434" t="s">
        <v>1677</v>
      </c>
      <c r="C59" s="435"/>
      <c r="D59" s="436" t="s">
        <v>1971</v>
      </c>
      <c r="E59" s="406"/>
      <c r="F59" s="437"/>
      <c r="G59" s="436" t="s">
        <v>1972</v>
      </c>
      <c r="H59" s="436" t="s">
        <v>1973</v>
      </c>
      <c r="I59" s="427" t="s">
        <v>1974</v>
      </c>
      <c r="J59" s="496"/>
      <c r="K59" s="497"/>
      <c r="L59" s="496"/>
      <c r="M59" s="498" t="s">
        <v>1710</v>
      </c>
      <c r="N59" s="497"/>
      <c r="O59" s="499"/>
      <c r="P59" s="440" t="s">
        <v>1971</v>
      </c>
      <c r="Q59" s="441"/>
      <c r="R59" s="383" t="s">
        <v>327</v>
      </c>
      <c r="S59" s="442" t="s">
        <v>663</v>
      </c>
      <c r="T59" s="443" t="s">
        <v>1975</v>
      </c>
      <c r="U59" s="444"/>
      <c r="V59" s="445"/>
      <c r="W59" s="406"/>
      <c r="X59" s="406"/>
      <c r="Y59" s="423"/>
      <c r="Z59" s="446" t="s">
        <v>455</v>
      </c>
      <c r="AA59" s="434" t="s">
        <v>199</v>
      </c>
      <c r="AB59" s="447"/>
      <c r="AC59" s="426">
        <f t="shared" si="1"/>
        <v>0</v>
      </c>
      <c r="AD59" s="426">
        <f t="shared" si="2"/>
        <v>0</v>
      </c>
      <c r="AE59" s="426">
        <f t="shared" si="3"/>
        <v>0</v>
      </c>
      <c r="AF59" s="427"/>
      <c r="AG59" s="428"/>
      <c r="AH59" s="427"/>
    </row>
    <row r="60" ht="15" customHeight="1" spans="1:34">
      <c r="A60" s="406">
        <f t="shared" si="0"/>
        <v>59</v>
      </c>
      <c r="B60" s="434" t="s">
        <v>1677</v>
      </c>
      <c r="C60" s="435"/>
      <c r="D60" s="436" t="s">
        <v>1976</v>
      </c>
      <c r="E60" s="406"/>
      <c r="F60" s="437"/>
      <c r="G60" s="436" t="s">
        <v>1977</v>
      </c>
      <c r="H60" s="436" t="s">
        <v>1978</v>
      </c>
      <c r="I60" s="427" t="s">
        <v>1979</v>
      </c>
      <c r="J60" s="496"/>
      <c r="K60" s="497"/>
      <c r="L60" s="496"/>
      <c r="M60" s="498"/>
      <c r="N60" s="497"/>
      <c r="O60" s="499"/>
      <c r="P60" s="440" t="s">
        <v>1976</v>
      </c>
      <c r="Q60" s="441"/>
      <c r="R60" s="383" t="s">
        <v>332</v>
      </c>
      <c r="S60" s="442" t="s">
        <v>681</v>
      </c>
      <c r="T60" s="443" t="s">
        <v>1339</v>
      </c>
      <c r="U60" s="444"/>
      <c r="V60" s="445"/>
      <c r="W60" s="406"/>
      <c r="X60" s="406"/>
      <c r="Y60" s="423"/>
      <c r="Z60" s="446" t="s">
        <v>249</v>
      </c>
      <c r="AA60" s="434" t="s">
        <v>251</v>
      </c>
      <c r="AB60" s="447"/>
      <c r="AC60" s="426">
        <f t="shared" si="1"/>
        <v>0</v>
      </c>
      <c r="AD60" s="426">
        <f t="shared" si="2"/>
        <v>0</v>
      </c>
      <c r="AE60" s="426">
        <f t="shared" si="3"/>
        <v>0</v>
      </c>
      <c r="AF60" s="427"/>
      <c r="AG60" s="428"/>
      <c r="AH60" s="427"/>
    </row>
    <row r="61" ht="15" customHeight="1" spans="1:34">
      <c r="A61" s="406">
        <f t="shared" si="0"/>
        <v>60</v>
      </c>
      <c r="B61" s="434" t="s">
        <v>1721</v>
      </c>
      <c r="C61" s="435"/>
      <c r="D61" s="436" t="s">
        <v>1980</v>
      </c>
      <c r="E61" s="406"/>
      <c r="F61" s="437"/>
      <c r="G61" s="436" t="s">
        <v>1678</v>
      </c>
      <c r="H61" s="436" t="s">
        <v>1981</v>
      </c>
      <c r="I61" s="427" t="s">
        <v>1982</v>
      </c>
      <c r="J61" s="496"/>
      <c r="K61" s="497"/>
      <c r="L61" s="496"/>
      <c r="M61" s="498"/>
      <c r="N61" s="497"/>
      <c r="O61" s="499"/>
      <c r="P61" s="440" t="s">
        <v>1980</v>
      </c>
      <c r="Q61" s="441"/>
      <c r="R61" s="383" t="s">
        <v>332</v>
      </c>
      <c r="S61" s="442" t="s">
        <v>960</v>
      </c>
      <c r="T61" s="443" t="s">
        <v>1983</v>
      </c>
      <c r="U61" s="444"/>
      <c r="V61" s="445"/>
      <c r="W61" s="406"/>
      <c r="X61" s="406"/>
      <c r="Y61" s="423"/>
      <c r="Z61" s="446" t="s">
        <v>207</v>
      </c>
      <c r="AA61" s="434" t="s">
        <v>208</v>
      </c>
      <c r="AB61" s="447"/>
      <c r="AC61" s="426">
        <f t="shared" si="1"/>
        <v>0</v>
      </c>
      <c r="AD61" s="426">
        <f t="shared" si="2"/>
        <v>0</v>
      </c>
      <c r="AE61" s="426">
        <f t="shared" si="3"/>
        <v>0</v>
      </c>
      <c r="AF61" s="427"/>
      <c r="AG61" s="428"/>
      <c r="AH61" s="427"/>
    </row>
    <row r="62" ht="15" customHeight="1" spans="1:34">
      <c r="A62" s="406">
        <f t="shared" si="0"/>
        <v>61</v>
      </c>
      <c r="B62" s="434" t="s">
        <v>1677</v>
      </c>
      <c r="C62" s="435"/>
      <c r="D62" s="436" t="s">
        <v>1984</v>
      </c>
      <c r="E62" s="406"/>
      <c r="F62" s="437" t="s">
        <v>1985</v>
      </c>
      <c r="G62" s="436" t="s">
        <v>1986</v>
      </c>
      <c r="H62" s="436" t="s">
        <v>1987</v>
      </c>
      <c r="I62" s="427" t="s">
        <v>1988</v>
      </c>
      <c r="J62" s="496"/>
      <c r="K62" s="497"/>
      <c r="L62" s="496"/>
      <c r="M62" s="498" t="s">
        <v>1710</v>
      </c>
      <c r="N62" s="497"/>
      <c r="O62" s="499"/>
      <c r="P62" s="440" t="s">
        <v>1984</v>
      </c>
      <c r="Q62" s="441"/>
      <c r="R62" s="383" t="s">
        <v>332</v>
      </c>
      <c r="S62" s="442" t="s">
        <v>663</v>
      </c>
      <c r="T62" s="443" t="s">
        <v>1989</v>
      </c>
      <c r="U62" s="444"/>
      <c r="V62" s="445"/>
      <c r="W62" s="406"/>
      <c r="X62" s="406"/>
      <c r="Y62" s="423"/>
      <c r="Z62" s="446" t="s">
        <v>1741</v>
      </c>
      <c r="AA62" s="434" t="s">
        <v>179</v>
      </c>
      <c r="AB62" s="447" t="s">
        <v>1112</v>
      </c>
      <c r="AC62" s="426">
        <f t="shared" si="1"/>
        <v>0</v>
      </c>
      <c r="AD62" s="426">
        <f t="shared" si="2"/>
        <v>0</v>
      </c>
      <c r="AE62" s="426">
        <f t="shared" si="3"/>
        <v>0</v>
      </c>
      <c r="AF62" s="427"/>
      <c r="AG62" s="428"/>
      <c r="AH62" s="427"/>
    </row>
    <row r="63" ht="15" customHeight="1" spans="1:34">
      <c r="A63" s="406">
        <f t="shared" si="0"/>
        <v>62</v>
      </c>
      <c r="B63" s="434" t="s">
        <v>1677</v>
      </c>
      <c r="C63" s="435"/>
      <c r="D63" s="436" t="s">
        <v>1990</v>
      </c>
      <c r="E63" s="406"/>
      <c r="F63" s="437"/>
      <c r="G63" s="436" t="s">
        <v>1991</v>
      </c>
      <c r="H63" s="436" t="s">
        <v>1992</v>
      </c>
      <c r="I63" s="427" t="s">
        <v>1993</v>
      </c>
      <c r="J63" s="496"/>
      <c r="K63" s="497"/>
      <c r="L63" s="496"/>
      <c r="M63" s="498" t="s">
        <v>1688</v>
      </c>
      <c r="N63" s="497"/>
      <c r="O63" s="499"/>
      <c r="P63" s="440" t="s">
        <v>1990</v>
      </c>
      <c r="Q63" s="441"/>
      <c r="R63" s="383" t="s">
        <v>332</v>
      </c>
      <c r="S63" s="442" t="s">
        <v>663</v>
      </c>
      <c r="T63" s="443" t="s">
        <v>1994</v>
      </c>
      <c r="U63" s="444"/>
      <c r="V63" s="445"/>
      <c r="W63" s="406"/>
      <c r="X63" s="406"/>
      <c r="Y63" s="423"/>
      <c r="Z63" s="446" t="s">
        <v>985</v>
      </c>
      <c r="AA63" s="434" t="s">
        <v>192</v>
      </c>
      <c r="AB63" s="447"/>
      <c r="AC63" s="426">
        <f t="shared" si="1"/>
        <v>0</v>
      </c>
      <c r="AD63" s="426">
        <f t="shared" si="2"/>
        <v>0</v>
      </c>
      <c r="AE63" s="426">
        <f t="shared" si="3"/>
        <v>0</v>
      </c>
      <c r="AF63" s="427"/>
      <c r="AG63" s="428"/>
      <c r="AH63" s="427"/>
    </row>
    <row r="64" ht="15" customHeight="1" spans="1:34">
      <c r="A64" s="406">
        <f t="shared" si="0"/>
        <v>63</v>
      </c>
      <c r="B64" s="434" t="s">
        <v>1677</v>
      </c>
      <c r="C64" s="435"/>
      <c r="D64" s="436" t="s">
        <v>1995</v>
      </c>
      <c r="E64" s="406"/>
      <c r="F64" s="437"/>
      <c r="G64" s="436" t="s">
        <v>1996</v>
      </c>
      <c r="H64" s="436" t="s">
        <v>1997</v>
      </c>
      <c r="I64" s="427" t="s">
        <v>1998</v>
      </c>
      <c r="J64" s="496"/>
      <c r="K64" s="497"/>
      <c r="L64" s="496"/>
      <c r="M64" s="498" t="s">
        <v>1710</v>
      </c>
      <c r="N64" s="497"/>
      <c r="O64" s="499"/>
      <c r="P64" s="440" t="s">
        <v>1995</v>
      </c>
      <c r="Q64" s="441"/>
      <c r="R64" s="383" t="s">
        <v>332</v>
      </c>
      <c r="S64" s="442" t="s">
        <v>1999</v>
      </c>
      <c r="T64" s="443" t="s">
        <v>1035</v>
      </c>
      <c r="U64" s="444"/>
      <c r="V64" s="445"/>
      <c r="W64" s="406"/>
      <c r="X64" s="406"/>
      <c r="Y64" s="423"/>
      <c r="Z64" s="446" t="s">
        <v>455</v>
      </c>
      <c r="AA64" s="434" t="s">
        <v>195</v>
      </c>
      <c r="AB64" s="447"/>
      <c r="AC64" s="426">
        <f t="shared" si="1"/>
        <v>0</v>
      </c>
      <c r="AD64" s="426">
        <f t="shared" si="2"/>
        <v>0</v>
      </c>
      <c r="AE64" s="426">
        <f t="shared" si="3"/>
        <v>0</v>
      </c>
      <c r="AF64" s="427"/>
      <c r="AG64" s="428"/>
      <c r="AH64" s="427"/>
    </row>
    <row r="65" ht="15" customHeight="1" spans="1:34">
      <c r="A65" s="406">
        <f t="shared" si="0"/>
        <v>64</v>
      </c>
      <c r="B65" s="434" t="s">
        <v>1677</v>
      </c>
      <c r="C65" s="435"/>
      <c r="D65" s="436" t="s">
        <v>2000</v>
      </c>
      <c r="E65" s="406"/>
      <c r="F65" s="437" t="s">
        <v>2001</v>
      </c>
      <c r="G65" s="436" t="s">
        <v>1685</v>
      </c>
      <c r="H65" s="436" t="s">
        <v>2002</v>
      </c>
      <c r="I65" s="427" t="s">
        <v>2003</v>
      </c>
      <c r="J65" s="496"/>
      <c r="K65" s="497"/>
      <c r="L65" s="496"/>
      <c r="M65" s="498" t="s">
        <v>1739</v>
      </c>
      <c r="N65" s="497"/>
      <c r="O65" s="499"/>
      <c r="P65" s="440" t="s">
        <v>2000</v>
      </c>
      <c r="Q65" s="441"/>
      <c r="R65" s="383" t="s">
        <v>332</v>
      </c>
      <c r="S65" s="442" t="s">
        <v>663</v>
      </c>
      <c r="T65" s="443" t="s">
        <v>2004</v>
      </c>
      <c r="U65" s="444"/>
      <c r="V65" s="445"/>
      <c r="W65" s="406"/>
      <c r="X65" s="406"/>
      <c r="Y65" s="423"/>
      <c r="Z65" s="446" t="s">
        <v>1017</v>
      </c>
      <c r="AA65" s="434" t="s">
        <v>166</v>
      </c>
      <c r="AB65" s="447" t="s">
        <v>1112</v>
      </c>
      <c r="AC65" s="426">
        <f t="shared" si="1"/>
        <v>0</v>
      </c>
      <c r="AD65" s="426">
        <f t="shared" si="2"/>
        <v>0</v>
      </c>
      <c r="AE65" s="426">
        <f t="shared" si="3"/>
        <v>0</v>
      </c>
      <c r="AF65" s="427"/>
      <c r="AG65" s="428"/>
      <c r="AH65" s="427"/>
    </row>
    <row r="66" ht="15" customHeight="1" spans="1:34">
      <c r="A66" s="406">
        <f t="shared" ref="A66:A129" si="4">ROW()-1</f>
        <v>65</v>
      </c>
      <c r="B66" s="434" t="s">
        <v>1721</v>
      </c>
      <c r="C66" s="435"/>
      <c r="D66" s="436" t="s">
        <v>2005</v>
      </c>
      <c r="E66" s="406"/>
      <c r="F66" s="437"/>
      <c r="G66" s="436" t="s">
        <v>2006</v>
      </c>
      <c r="H66" s="436" t="s">
        <v>2007</v>
      </c>
      <c r="I66" s="427" t="s">
        <v>2008</v>
      </c>
      <c r="J66" s="496"/>
      <c r="K66" s="497"/>
      <c r="L66" s="496"/>
      <c r="M66" s="498" t="s">
        <v>1739</v>
      </c>
      <c r="N66" s="497"/>
      <c r="O66" s="499"/>
      <c r="P66" s="440" t="s">
        <v>2005</v>
      </c>
      <c r="Q66" s="441"/>
      <c r="R66" s="383" t="s">
        <v>327</v>
      </c>
      <c r="S66" s="442" t="s">
        <v>712</v>
      </c>
      <c r="T66" s="443" t="s">
        <v>2009</v>
      </c>
      <c r="U66" s="444"/>
      <c r="V66" s="445"/>
      <c r="W66" s="406"/>
      <c r="X66" s="406"/>
      <c r="Y66" s="423"/>
      <c r="Z66" s="446" t="s">
        <v>1017</v>
      </c>
      <c r="AA66" s="434" t="s">
        <v>169</v>
      </c>
      <c r="AB66" s="447" t="s">
        <v>1112</v>
      </c>
      <c r="AC66" s="426">
        <f t="shared" ref="AC66:AC129" si="5">Y66*0.14</f>
        <v>0</v>
      </c>
      <c r="AD66" s="426">
        <f t="shared" ref="AD66:AD129" si="6">IF(O66&gt;=1000,O66*0.14,IF(O66&gt;=500,100,0))</f>
        <v>0</v>
      </c>
      <c r="AE66" s="426">
        <f t="shared" ref="AE66:AE129" si="7">SUM(AC66:AD66)</f>
        <v>0</v>
      </c>
      <c r="AF66" s="427"/>
      <c r="AG66" s="428"/>
      <c r="AH66" s="427"/>
    </row>
    <row r="67" ht="15" customHeight="1" spans="1:34">
      <c r="A67" s="406">
        <f t="shared" si="4"/>
        <v>66</v>
      </c>
      <c r="B67" s="434" t="s">
        <v>1677</v>
      </c>
      <c r="C67" s="435"/>
      <c r="D67" s="436" t="s">
        <v>1744</v>
      </c>
      <c r="E67" s="406"/>
      <c r="F67" s="437"/>
      <c r="G67" s="436" t="s">
        <v>1933</v>
      </c>
      <c r="H67" s="436" t="s">
        <v>2010</v>
      </c>
      <c r="I67" s="427" t="s">
        <v>2011</v>
      </c>
      <c r="J67" s="496"/>
      <c r="K67" s="497"/>
      <c r="L67" s="496"/>
      <c r="M67" s="498"/>
      <c r="N67" s="497"/>
      <c r="O67" s="499"/>
      <c r="P67" s="440" t="s">
        <v>1744</v>
      </c>
      <c r="Q67" s="441"/>
      <c r="R67" s="383" t="s">
        <v>327</v>
      </c>
      <c r="S67" s="442" t="s">
        <v>1880</v>
      </c>
      <c r="T67" s="443" t="s">
        <v>1020</v>
      </c>
      <c r="U67" s="444"/>
      <c r="V67" s="445"/>
      <c r="W67" s="406"/>
      <c r="X67" s="406"/>
      <c r="Y67" s="423"/>
      <c r="Z67" s="446" t="s">
        <v>1765</v>
      </c>
      <c r="AA67" s="434" t="s">
        <v>177</v>
      </c>
      <c r="AB67" s="447"/>
      <c r="AC67" s="426">
        <f t="shared" si="5"/>
        <v>0</v>
      </c>
      <c r="AD67" s="426">
        <f t="shared" si="6"/>
        <v>0</v>
      </c>
      <c r="AE67" s="426">
        <f t="shared" si="7"/>
        <v>0</v>
      </c>
      <c r="AF67" s="427"/>
      <c r="AG67" s="428"/>
      <c r="AH67" s="427"/>
    </row>
    <row r="68" ht="15" customHeight="1" spans="1:34">
      <c r="A68" s="406">
        <f t="shared" si="4"/>
        <v>67</v>
      </c>
      <c r="B68" s="434" t="s">
        <v>1677</v>
      </c>
      <c r="C68" s="435"/>
      <c r="D68" s="436" t="s">
        <v>1353</v>
      </c>
      <c r="E68" s="406"/>
      <c r="F68" s="437"/>
      <c r="G68" s="436" t="s">
        <v>1877</v>
      </c>
      <c r="H68" s="436" t="s">
        <v>2012</v>
      </c>
      <c r="I68" s="427" t="s">
        <v>2013</v>
      </c>
      <c r="J68" s="435"/>
      <c r="K68" s="438"/>
      <c r="L68" s="435"/>
      <c r="M68" s="414" t="s">
        <v>1710</v>
      </c>
      <c r="N68" s="438"/>
      <c r="O68" s="439"/>
      <c r="P68" s="440" t="s">
        <v>1353</v>
      </c>
      <c r="Q68" s="441"/>
      <c r="R68" s="383" t="s">
        <v>327</v>
      </c>
      <c r="S68" s="442" t="s">
        <v>712</v>
      </c>
      <c r="T68" s="443" t="s">
        <v>1352</v>
      </c>
      <c r="U68" s="444"/>
      <c r="V68" s="445"/>
      <c r="W68" s="406"/>
      <c r="X68" s="406"/>
      <c r="Y68" s="423"/>
      <c r="Z68" s="446" t="s">
        <v>645</v>
      </c>
      <c r="AA68" s="434" t="s">
        <v>230</v>
      </c>
      <c r="AB68" s="447"/>
      <c r="AC68" s="426">
        <f t="shared" si="5"/>
        <v>0</v>
      </c>
      <c r="AD68" s="426">
        <f t="shared" si="6"/>
        <v>0</v>
      </c>
      <c r="AE68" s="426">
        <f t="shared" si="7"/>
        <v>0</v>
      </c>
      <c r="AF68" s="427"/>
      <c r="AG68" s="428"/>
      <c r="AH68" s="427"/>
    </row>
    <row r="69" ht="15" customHeight="1" spans="1:34">
      <c r="A69" s="406">
        <f t="shared" si="4"/>
        <v>68</v>
      </c>
      <c r="B69" s="434" t="s">
        <v>1677</v>
      </c>
      <c r="C69" s="435"/>
      <c r="D69" s="436" t="s">
        <v>2014</v>
      </c>
      <c r="E69" s="406"/>
      <c r="F69" s="437" t="s">
        <v>2015</v>
      </c>
      <c r="G69" s="436" t="s">
        <v>2016</v>
      </c>
      <c r="H69" s="436" t="s">
        <v>2017</v>
      </c>
      <c r="I69" s="427" t="s">
        <v>2018</v>
      </c>
      <c r="J69" s="435"/>
      <c r="K69" s="438"/>
      <c r="L69" s="435"/>
      <c r="M69" s="495"/>
      <c r="N69" s="438"/>
      <c r="O69" s="439"/>
      <c r="P69" s="440" t="s">
        <v>2014</v>
      </c>
      <c r="Q69" s="441"/>
      <c r="R69" s="383" t="s">
        <v>327</v>
      </c>
      <c r="S69" s="442" t="s">
        <v>712</v>
      </c>
      <c r="T69" s="443" t="s">
        <v>2019</v>
      </c>
      <c r="U69" s="444"/>
      <c r="V69" s="445"/>
      <c r="W69" s="406"/>
      <c r="X69" s="406"/>
      <c r="Y69" s="423"/>
      <c r="Z69" s="446" t="s">
        <v>1741</v>
      </c>
      <c r="AA69" s="434" t="s">
        <v>180</v>
      </c>
      <c r="AB69" s="447"/>
      <c r="AC69" s="426">
        <f t="shared" si="5"/>
        <v>0</v>
      </c>
      <c r="AD69" s="426">
        <f t="shared" si="6"/>
        <v>0</v>
      </c>
      <c r="AE69" s="426">
        <f t="shared" si="7"/>
        <v>0</v>
      </c>
      <c r="AF69" s="427"/>
      <c r="AG69" s="428"/>
      <c r="AH69" s="427"/>
    </row>
    <row r="70" ht="15" customHeight="1" spans="1:34">
      <c r="A70" s="406">
        <f t="shared" si="4"/>
        <v>69</v>
      </c>
      <c r="B70" s="434" t="s">
        <v>1677</v>
      </c>
      <c r="C70" s="435"/>
      <c r="D70" s="436" t="s">
        <v>1355</v>
      </c>
      <c r="E70" s="406"/>
      <c r="F70" s="437"/>
      <c r="G70" s="436" t="s">
        <v>2020</v>
      </c>
      <c r="H70" s="436" t="s">
        <v>2021</v>
      </c>
      <c r="I70" s="427" t="s">
        <v>2022</v>
      </c>
      <c r="J70" s="435"/>
      <c r="K70" s="438"/>
      <c r="L70" s="435"/>
      <c r="M70" s="414" t="s">
        <v>1710</v>
      </c>
      <c r="N70" s="438"/>
      <c r="O70" s="439"/>
      <c r="P70" s="440" t="s">
        <v>1355</v>
      </c>
      <c r="Q70" s="441"/>
      <c r="R70" s="383" t="s">
        <v>332</v>
      </c>
      <c r="S70" s="442" t="s">
        <v>681</v>
      </c>
      <c r="T70" s="443" t="s">
        <v>1354</v>
      </c>
      <c r="U70" s="444"/>
      <c r="V70" s="445"/>
      <c r="W70" s="406"/>
      <c r="X70" s="406"/>
      <c r="Y70" s="423"/>
      <c r="Z70" s="446" t="s">
        <v>645</v>
      </c>
      <c r="AA70" s="434" t="s">
        <v>231</v>
      </c>
      <c r="AB70" s="447"/>
      <c r="AC70" s="426">
        <f t="shared" si="5"/>
        <v>0</v>
      </c>
      <c r="AD70" s="426">
        <f t="shared" si="6"/>
        <v>0</v>
      </c>
      <c r="AE70" s="426">
        <f t="shared" si="7"/>
        <v>0</v>
      </c>
      <c r="AF70" s="427"/>
      <c r="AG70" s="428"/>
      <c r="AH70" s="427"/>
    </row>
    <row r="71" ht="15" customHeight="1" spans="1:34">
      <c r="A71" s="406">
        <f t="shared" si="4"/>
        <v>70</v>
      </c>
      <c r="B71" s="434" t="s">
        <v>1677</v>
      </c>
      <c r="C71" s="435"/>
      <c r="D71" s="436" t="s">
        <v>2023</v>
      </c>
      <c r="E71" s="406"/>
      <c r="F71" s="437"/>
      <c r="G71" s="436" t="s">
        <v>2024</v>
      </c>
      <c r="H71" s="436" t="s">
        <v>2025</v>
      </c>
      <c r="I71" s="427" t="s">
        <v>2026</v>
      </c>
      <c r="J71" s="435"/>
      <c r="K71" s="438"/>
      <c r="L71" s="435"/>
      <c r="M71" s="414" t="s">
        <v>1688</v>
      </c>
      <c r="N71" s="438"/>
      <c r="O71" s="439"/>
      <c r="P71" s="440" t="s">
        <v>2023</v>
      </c>
      <c r="Q71" s="441"/>
      <c r="R71" s="383" t="s">
        <v>850</v>
      </c>
      <c r="S71" s="442" t="s">
        <v>712</v>
      </c>
      <c r="T71" s="443" t="s">
        <v>2027</v>
      </c>
      <c r="U71" s="444"/>
      <c r="V71" s="445"/>
      <c r="W71" s="406"/>
      <c r="X71" s="406"/>
      <c r="Y71" s="423"/>
      <c r="Z71" s="446" t="s">
        <v>985</v>
      </c>
      <c r="AA71" s="434" t="s">
        <v>190</v>
      </c>
      <c r="AB71" s="447" t="s">
        <v>1126</v>
      </c>
      <c r="AC71" s="426">
        <f t="shared" si="5"/>
        <v>0</v>
      </c>
      <c r="AD71" s="426">
        <f t="shared" si="6"/>
        <v>0</v>
      </c>
      <c r="AE71" s="426">
        <f t="shared" si="7"/>
        <v>0</v>
      </c>
      <c r="AF71" s="427"/>
      <c r="AG71" s="428"/>
      <c r="AH71" s="427"/>
    </row>
    <row r="72" ht="15" customHeight="1" spans="1:34">
      <c r="A72" s="406">
        <f t="shared" si="4"/>
        <v>71</v>
      </c>
      <c r="B72" s="434" t="s">
        <v>1677</v>
      </c>
      <c r="C72" s="435"/>
      <c r="D72" s="436" t="s">
        <v>2028</v>
      </c>
      <c r="E72" s="406"/>
      <c r="F72" s="437" t="s">
        <v>2029</v>
      </c>
      <c r="G72" s="436" t="s">
        <v>1730</v>
      </c>
      <c r="H72" s="436" t="s">
        <v>2030</v>
      </c>
      <c r="I72" s="427" t="s">
        <v>2031</v>
      </c>
      <c r="J72" s="435"/>
      <c r="K72" s="438"/>
      <c r="L72" s="435"/>
      <c r="M72" s="414" t="s">
        <v>1739</v>
      </c>
      <c r="N72" s="438"/>
      <c r="O72" s="439"/>
      <c r="P72" s="440" t="s">
        <v>2028</v>
      </c>
      <c r="Q72" s="441"/>
      <c r="R72" s="383" t="s">
        <v>850</v>
      </c>
      <c r="S72" s="442" t="s">
        <v>712</v>
      </c>
      <c r="T72" s="443" t="s">
        <v>2032</v>
      </c>
      <c r="U72" s="444"/>
      <c r="V72" s="445"/>
      <c r="W72" s="406"/>
      <c r="X72" s="406"/>
      <c r="Y72" s="423"/>
      <c r="Z72" s="446" t="s">
        <v>1017</v>
      </c>
      <c r="AA72" s="434" t="s">
        <v>166</v>
      </c>
      <c r="AB72" s="447" t="s">
        <v>1112</v>
      </c>
      <c r="AC72" s="426">
        <f t="shared" si="5"/>
        <v>0</v>
      </c>
      <c r="AD72" s="426">
        <f t="shared" si="6"/>
        <v>0</v>
      </c>
      <c r="AE72" s="426">
        <f t="shared" si="7"/>
        <v>0</v>
      </c>
      <c r="AF72" s="427"/>
      <c r="AG72" s="428"/>
      <c r="AH72" s="427"/>
    </row>
    <row r="73" ht="15" customHeight="1" spans="1:34">
      <c r="A73" s="406">
        <f t="shared" si="4"/>
        <v>72</v>
      </c>
      <c r="B73" s="434" t="s">
        <v>1721</v>
      </c>
      <c r="C73" s="435"/>
      <c r="D73" s="436" t="s">
        <v>2033</v>
      </c>
      <c r="E73" s="406"/>
      <c r="F73" s="437" t="s">
        <v>2034</v>
      </c>
      <c r="G73" s="436" t="s">
        <v>2035</v>
      </c>
      <c r="H73" s="436" t="s">
        <v>2036</v>
      </c>
      <c r="I73" s="427" t="s">
        <v>2037</v>
      </c>
      <c r="J73" s="435"/>
      <c r="K73" s="438"/>
      <c r="L73" s="435"/>
      <c r="M73" s="414" t="s">
        <v>1710</v>
      </c>
      <c r="N73" s="438"/>
      <c r="O73" s="439"/>
      <c r="P73" s="440" t="s">
        <v>2033</v>
      </c>
      <c r="Q73" s="441"/>
      <c r="R73" s="383" t="s">
        <v>332</v>
      </c>
      <c r="S73" s="442" t="s">
        <v>663</v>
      </c>
      <c r="T73" s="443" t="s">
        <v>2038</v>
      </c>
      <c r="U73" s="444"/>
      <c r="V73" s="445"/>
      <c r="W73" s="406"/>
      <c r="X73" s="406"/>
      <c r="Y73" s="423"/>
      <c r="Z73" s="446" t="s">
        <v>1741</v>
      </c>
      <c r="AA73" s="434" t="s">
        <v>180</v>
      </c>
      <c r="AB73" s="447" t="s">
        <v>1112</v>
      </c>
      <c r="AC73" s="426">
        <f t="shared" si="5"/>
        <v>0</v>
      </c>
      <c r="AD73" s="426">
        <f t="shared" si="6"/>
        <v>0</v>
      </c>
      <c r="AE73" s="426">
        <f t="shared" si="7"/>
        <v>0</v>
      </c>
      <c r="AF73" s="427"/>
      <c r="AG73" s="428"/>
      <c r="AH73" s="427"/>
    </row>
    <row r="74" ht="15" customHeight="1" spans="1:34">
      <c r="A74" s="406">
        <f t="shared" si="4"/>
        <v>73</v>
      </c>
      <c r="B74" s="434" t="s">
        <v>1677</v>
      </c>
      <c r="C74" s="435"/>
      <c r="D74" s="436" t="s">
        <v>2039</v>
      </c>
      <c r="E74" s="406"/>
      <c r="F74" s="437" t="s">
        <v>2040</v>
      </c>
      <c r="G74" s="436" t="s">
        <v>1854</v>
      </c>
      <c r="H74" s="436" t="s">
        <v>2041</v>
      </c>
      <c r="I74" s="427" t="s">
        <v>2042</v>
      </c>
      <c r="J74" s="435"/>
      <c r="K74" s="438"/>
      <c r="L74" s="435"/>
      <c r="M74" s="414" t="s">
        <v>1739</v>
      </c>
      <c r="N74" s="438"/>
      <c r="O74" s="439"/>
      <c r="P74" s="440" t="s">
        <v>2039</v>
      </c>
      <c r="Q74" s="441"/>
      <c r="R74" s="383" t="s">
        <v>332</v>
      </c>
      <c r="S74" s="442" t="s">
        <v>1689</v>
      </c>
      <c r="T74" s="443" t="s">
        <v>2043</v>
      </c>
      <c r="U74" s="444"/>
      <c r="V74" s="445"/>
      <c r="W74" s="406"/>
      <c r="X74" s="406"/>
      <c r="Y74" s="423"/>
      <c r="Z74" s="446" t="s">
        <v>1765</v>
      </c>
      <c r="AA74" s="434" t="s">
        <v>182</v>
      </c>
      <c r="AB74" s="447" t="s">
        <v>1112</v>
      </c>
      <c r="AC74" s="426">
        <f t="shared" si="5"/>
        <v>0</v>
      </c>
      <c r="AD74" s="426">
        <f t="shared" si="6"/>
        <v>0</v>
      </c>
      <c r="AE74" s="426">
        <f t="shared" si="7"/>
        <v>0</v>
      </c>
      <c r="AF74" s="427"/>
      <c r="AG74" s="428"/>
      <c r="AH74" s="427"/>
    </row>
    <row r="75" ht="15" customHeight="1" spans="1:34">
      <c r="A75" s="406">
        <f t="shared" si="4"/>
        <v>74</v>
      </c>
      <c r="B75" s="434" t="s">
        <v>1677</v>
      </c>
      <c r="C75" s="435"/>
      <c r="D75" s="436" t="s">
        <v>2044</v>
      </c>
      <c r="E75" s="406"/>
      <c r="F75" s="437"/>
      <c r="G75" s="436" t="s">
        <v>1854</v>
      </c>
      <c r="H75" s="436" t="s">
        <v>2045</v>
      </c>
      <c r="I75" s="427" t="s">
        <v>2046</v>
      </c>
      <c r="J75" s="435"/>
      <c r="K75" s="438"/>
      <c r="L75" s="435"/>
      <c r="M75" s="414"/>
      <c r="N75" s="438"/>
      <c r="O75" s="439"/>
      <c r="P75" s="440" t="s">
        <v>2044</v>
      </c>
      <c r="Q75" s="441"/>
      <c r="R75" s="383" t="s">
        <v>327</v>
      </c>
      <c r="S75" s="442" t="s">
        <v>681</v>
      </c>
      <c r="T75" s="443" t="s">
        <v>2047</v>
      </c>
      <c r="U75" s="444"/>
      <c r="V75" s="445"/>
      <c r="W75" s="406"/>
      <c r="X75" s="406"/>
      <c r="Y75" s="423"/>
      <c r="Z75" s="446" t="s">
        <v>207</v>
      </c>
      <c r="AA75" s="434" t="s">
        <v>208</v>
      </c>
      <c r="AB75" s="447"/>
      <c r="AC75" s="426">
        <f t="shared" si="5"/>
        <v>0</v>
      </c>
      <c r="AD75" s="426">
        <f t="shared" si="6"/>
        <v>0</v>
      </c>
      <c r="AE75" s="426">
        <f t="shared" si="7"/>
        <v>0</v>
      </c>
      <c r="AF75" s="427"/>
      <c r="AG75" s="428"/>
      <c r="AH75" s="427"/>
    </row>
    <row r="76" ht="15" customHeight="1" spans="1:34">
      <c r="A76" s="406">
        <f t="shared" si="4"/>
        <v>75</v>
      </c>
      <c r="B76" s="434" t="s">
        <v>1677</v>
      </c>
      <c r="C76" s="435"/>
      <c r="D76" s="436" t="s">
        <v>1360</v>
      </c>
      <c r="E76" s="406"/>
      <c r="F76" s="437"/>
      <c r="G76" s="436" t="s">
        <v>1854</v>
      </c>
      <c r="H76" s="436" t="s">
        <v>2048</v>
      </c>
      <c r="I76" s="427" t="s">
        <v>2049</v>
      </c>
      <c r="J76" s="435"/>
      <c r="K76" s="438"/>
      <c r="L76" s="435"/>
      <c r="M76" s="495"/>
      <c r="N76" s="438"/>
      <c r="O76" s="439"/>
      <c r="P76" s="440" t="s">
        <v>1360</v>
      </c>
      <c r="Q76" s="441"/>
      <c r="R76" s="383" t="s">
        <v>327</v>
      </c>
      <c r="S76" s="442" t="s">
        <v>681</v>
      </c>
      <c r="T76" s="443" t="s">
        <v>1359</v>
      </c>
      <c r="U76" s="444"/>
      <c r="V76" s="445"/>
      <c r="W76" s="406"/>
      <c r="X76" s="406"/>
      <c r="Y76" s="423"/>
      <c r="Z76" s="446" t="s">
        <v>667</v>
      </c>
      <c r="AA76" s="434" t="s">
        <v>260</v>
      </c>
      <c r="AB76" s="447"/>
      <c r="AC76" s="426">
        <f t="shared" si="5"/>
        <v>0</v>
      </c>
      <c r="AD76" s="426">
        <f t="shared" si="6"/>
        <v>0</v>
      </c>
      <c r="AE76" s="426">
        <f t="shared" si="7"/>
        <v>0</v>
      </c>
      <c r="AF76" s="427"/>
      <c r="AG76" s="428"/>
      <c r="AH76" s="427"/>
    </row>
    <row r="77" ht="15" customHeight="1" spans="1:34">
      <c r="A77" s="406">
        <f t="shared" si="4"/>
        <v>76</v>
      </c>
      <c r="B77" s="434" t="s">
        <v>1677</v>
      </c>
      <c r="C77" s="435"/>
      <c r="D77" s="436" t="s">
        <v>2050</v>
      </c>
      <c r="E77" s="406"/>
      <c r="F77" s="437"/>
      <c r="G77" s="436" t="s">
        <v>1791</v>
      </c>
      <c r="H77" s="436" t="s">
        <v>2051</v>
      </c>
      <c r="I77" s="427" t="s">
        <v>2052</v>
      </c>
      <c r="J77" s="435"/>
      <c r="K77" s="438"/>
      <c r="L77" s="435"/>
      <c r="M77" s="414" t="s">
        <v>1710</v>
      </c>
      <c r="N77" s="438"/>
      <c r="O77" s="439"/>
      <c r="P77" s="440" t="s">
        <v>2050</v>
      </c>
      <c r="Q77" s="441"/>
      <c r="R77" s="383" t="s">
        <v>850</v>
      </c>
      <c r="S77" s="442" t="s">
        <v>663</v>
      </c>
      <c r="T77" s="443" t="s">
        <v>2053</v>
      </c>
      <c r="U77" s="444"/>
      <c r="V77" s="445"/>
      <c r="W77" s="406"/>
      <c r="X77" s="406"/>
      <c r="Y77" s="423"/>
      <c r="Z77" s="446" t="s">
        <v>1787</v>
      </c>
      <c r="AA77" s="434" t="s">
        <v>203</v>
      </c>
      <c r="AB77" s="447"/>
      <c r="AC77" s="426">
        <f t="shared" si="5"/>
        <v>0</v>
      </c>
      <c r="AD77" s="426">
        <f t="shared" si="6"/>
        <v>0</v>
      </c>
      <c r="AE77" s="426">
        <f t="shared" si="7"/>
        <v>0</v>
      </c>
      <c r="AF77" s="427"/>
      <c r="AG77" s="428"/>
      <c r="AH77" s="427"/>
    </row>
    <row r="78" ht="15" customHeight="1" spans="1:34">
      <c r="A78" s="406">
        <f t="shared" si="4"/>
        <v>77</v>
      </c>
      <c r="B78" s="434" t="s">
        <v>1677</v>
      </c>
      <c r="C78" s="435"/>
      <c r="D78" s="436" t="s">
        <v>1379</v>
      </c>
      <c r="E78" s="406"/>
      <c r="F78" s="437" t="s">
        <v>2054</v>
      </c>
      <c r="G78" s="436" t="s">
        <v>2055</v>
      </c>
      <c r="H78" s="436" t="s">
        <v>2056</v>
      </c>
      <c r="I78" s="427" t="s">
        <v>2057</v>
      </c>
      <c r="J78" s="435"/>
      <c r="K78" s="438"/>
      <c r="L78" s="435"/>
      <c r="M78" s="414" t="s">
        <v>1688</v>
      </c>
      <c r="N78" s="438"/>
      <c r="O78" s="439"/>
      <c r="P78" s="440" t="s">
        <v>1379</v>
      </c>
      <c r="Q78" s="441"/>
      <c r="R78" s="383" t="s">
        <v>327</v>
      </c>
      <c r="S78" s="442" t="s">
        <v>940</v>
      </c>
      <c r="T78" s="443" t="s">
        <v>1378</v>
      </c>
      <c r="U78" s="444"/>
      <c r="V78" s="445"/>
      <c r="W78" s="406"/>
      <c r="X78" s="406"/>
      <c r="Y78" s="423"/>
      <c r="Z78" s="446" t="s">
        <v>660</v>
      </c>
      <c r="AA78" s="434" t="s">
        <v>242</v>
      </c>
      <c r="AB78" s="447"/>
      <c r="AC78" s="426">
        <f t="shared" si="5"/>
        <v>0</v>
      </c>
      <c r="AD78" s="426">
        <f t="shared" si="6"/>
        <v>0</v>
      </c>
      <c r="AE78" s="426">
        <f t="shared" si="7"/>
        <v>0</v>
      </c>
      <c r="AF78" s="427"/>
      <c r="AG78" s="428"/>
      <c r="AH78" s="427"/>
    </row>
    <row r="79" ht="15" customHeight="1" spans="1:34">
      <c r="A79" s="406">
        <f t="shared" si="4"/>
        <v>78</v>
      </c>
      <c r="B79" s="434" t="s">
        <v>1677</v>
      </c>
      <c r="C79" s="435"/>
      <c r="D79" s="436" t="s">
        <v>2058</v>
      </c>
      <c r="E79" s="406"/>
      <c r="F79" s="437"/>
      <c r="G79" s="436" t="s">
        <v>2059</v>
      </c>
      <c r="H79" s="436" t="s">
        <v>2060</v>
      </c>
      <c r="I79" s="427" t="s">
        <v>2061</v>
      </c>
      <c r="J79" s="435"/>
      <c r="K79" s="438"/>
      <c r="L79" s="435"/>
      <c r="M79" s="414"/>
      <c r="N79" s="438"/>
      <c r="O79" s="439"/>
      <c r="P79" s="440" t="s">
        <v>2058</v>
      </c>
      <c r="Q79" s="441"/>
      <c r="R79" s="383" t="s">
        <v>850</v>
      </c>
      <c r="S79" s="442" t="s">
        <v>2062</v>
      </c>
      <c r="T79" s="443" t="s">
        <v>2063</v>
      </c>
      <c r="U79" s="444"/>
      <c r="V79" s="445"/>
      <c r="W79" s="406"/>
      <c r="X79" s="406"/>
      <c r="Y79" s="423"/>
      <c r="Z79" s="446" t="s">
        <v>1787</v>
      </c>
      <c r="AA79" s="434" t="s">
        <v>200</v>
      </c>
      <c r="AB79" s="447"/>
      <c r="AC79" s="426">
        <f t="shared" si="5"/>
        <v>0</v>
      </c>
      <c r="AD79" s="426">
        <f t="shared" si="6"/>
        <v>0</v>
      </c>
      <c r="AE79" s="426">
        <f t="shared" si="7"/>
        <v>0</v>
      </c>
      <c r="AF79" s="427"/>
      <c r="AG79" s="428"/>
      <c r="AH79" s="427"/>
    </row>
    <row r="80" ht="15" customHeight="1" spans="1:34">
      <c r="A80" s="406">
        <f t="shared" si="4"/>
        <v>79</v>
      </c>
      <c r="B80" s="434" t="s">
        <v>1721</v>
      </c>
      <c r="C80" s="435"/>
      <c r="D80" s="436" t="s">
        <v>2064</v>
      </c>
      <c r="E80" s="406"/>
      <c r="F80" s="437"/>
      <c r="G80" s="436" t="s">
        <v>2065</v>
      </c>
      <c r="H80" s="436" t="s">
        <v>2066</v>
      </c>
      <c r="I80" s="427" t="s">
        <v>2067</v>
      </c>
      <c r="J80" s="435"/>
      <c r="K80" s="438"/>
      <c r="L80" s="435"/>
      <c r="M80" s="414" t="s">
        <v>1710</v>
      </c>
      <c r="N80" s="438"/>
      <c r="O80" s="439"/>
      <c r="P80" s="440" t="s">
        <v>2064</v>
      </c>
      <c r="Q80" s="441"/>
      <c r="R80" s="383" t="s">
        <v>850</v>
      </c>
      <c r="S80" s="442" t="s">
        <v>663</v>
      </c>
      <c r="T80" s="443" t="s">
        <v>2068</v>
      </c>
      <c r="U80" s="444"/>
      <c r="V80" s="445"/>
      <c r="W80" s="406"/>
      <c r="X80" s="406"/>
      <c r="Y80" s="423"/>
      <c r="Z80" s="446" t="s">
        <v>1787</v>
      </c>
      <c r="AA80" s="434" t="s">
        <v>199</v>
      </c>
      <c r="AB80" s="447" t="s">
        <v>1126</v>
      </c>
      <c r="AC80" s="426">
        <f t="shared" si="5"/>
        <v>0</v>
      </c>
      <c r="AD80" s="426">
        <f t="shared" si="6"/>
        <v>0</v>
      </c>
      <c r="AE80" s="426">
        <f t="shared" si="7"/>
        <v>0</v>
      </c>
      <c r="AF80" s="427"/>
      <c r="AG80" s="428"/>
      <c r="AH80" s="427"/>
    </row>
    <row r="81" ht="15" customHeight="1" spans="1:34">
      <c r="A81" s="406">
        <f t="shared" si="4"/>
        <v>80</v>
      </c>
      <c r="B81" s="434" t="s">
        <v>1677</v>
      </c>
      <c r="C81" s="435"/>
      <c r="D81" s="436" t="s">
        <v>2069</v>
      </c>
      <c r="E81" s="406"/>
      <c r="F81" s="437" t="s">
        <v>2070</v>
      </c>
      <c r="G81" s="436" t="s">
        <v>2071</v>
      </c>
      <c r="H81" s="436" t="s">
        <v>2072</v>
      </c>
      <c r="I81" s="427" t="s">
        <v>2073</v>
      </c>
      <c r="J81" s="435"/>
      <c r="K81" s="438"/>
      <c r="L81" s="435"/>
      <c r="M81" s="414"/>
      <c r="N81" s="438"/>
      <c r="O81" s="439"/>
      <c r="P81" s="440" t="s">
        <v>2069</v>
      </c>
      <c r="Q81" s="441"/>
      <c r="R81" s="383" t="s">
        <v>850</v>
      </c>
      <c r="S81" s="442" t="s">
        <v>663</v>
      </c>
      <c r="T81" s="443" t="s">
        <v>1380</v>
      </c>
      <c r="U81" s="444"/>
      <c r="V81" s="445"/>
      <c r="W81" s="406"/>
      <c r="X81" s="406"/>
      <c r="Y81" s="423"/>
      <c r="Z81" s="446" t="s">
        <v>667</v>
      </c>
      <c r="AA81" s="434" t="s">
        <v>259</v>
      </c>
      <c r="AB81" s="447"/>
      <c r="AC81" s="426">
        <f t="shared" si="5"/>
        <v>0</v>
      </c>
      <c r="AD81" s="426">
        <f t="shared" si="6"/>
        <v>0</v>
      </c>
      <c r="AE81" s="426">
        <f t="shared" si="7"/>
        <v>0</v>
      </c>
      <c r="AF81" s="427"/>
      <c r="AG81" s="428"/>
      <c r="AH81" s="427"/>
    </row>
    <row r="82" ht="15" customHeight="1" spans="1:34">
      <c r="A82" s="406">
        <f t="shared" si="4"/>
        <v>81</v>
      </c>
      <c r="B82" s="434" t="s">
        <v>1677</v>
      </c>
      <c r="C82" s="435"/>
      <c r="D82" s="436" t="s">
        <v>2074</v>
      </c>
      <c r="E82" s="406"/>
      <c r="F82" s="437"/>
      <c r="G82" s="436" t="s">
        <v>2075</v>
      </c>
      <c r="H82" s="436" t="s">
        <v>2076</v>
      </c>
      <c r="I82" s="427" t="s">
        <v>2077</v>
      </c>
      <c r="J82" s="435"/>
      <c r="K82" s="438"/>
      <c r="L82" s="435"/>
      <c r="M82" s="414"/>
      <c r="N82" s="438"/>
      <c r="O82" s="439"/>
      <c r="P82" s="440" t="s">
        <v>2074</v>
      </c>
      <c r="Q82" s="441"/>
      <c r="R82" s="383" t="s">
        <v>850</v>
      </c>
      <c r="S82" s="442" t="s">
        <v>2062</v>
      </c>
      <c r="T82" s="443" t="s">
        <v>2078</v>
      </c>
      <c r="U82" s="444"/>
      <c r="V82" s="445"/>
      <c r="W82" s="406"/>
      <c r="X82" s="406"/>
      <c r="Y82" s="423"/>
      <c r="Z82" s="446" t="s">
        <v>455</v>
      </c>
      <c r="AA82" s="434" t="s">
        <v>201</v>
      </c>
      <c r="AB82" s="447"/>
      <c r="AC82" s="426">
        <f t="shared" si="5"/>
        <v>0</v>
      </c>
      <c r="AD82" s="426">
        <f t="shared" si="6"/>
        <v>0</v>
      </c>
      <c r="AE82" s="426">
        <f t="shared" si="7"/>
        <v>0</v>
      </c>
      <c r="AF82" s="427"/>
      <c r="AG82" s="428"/>
      <c r="AH82" s="427"/>
    </row>
    <row r="83" ht="15" customHeight="1" spans="1:34">
      <c r="A83" s="406">
        <f t="shared" si="4"/>
        <v>82</v>
      </c>
      <c r="B83" s="434" t="s">
        <v>1677</v>
      </c>
      <c r="C83" s="435"/>
      <c r="D83" s="436" t="s">
        <v>2079</v>
      </c>
      <c r="E83" s="406"/>
      <c r="F83" s="437"/>
      <c r="G83" s="436" t="s">
        <v>2080</v>
      </c>
      <c r="H83" s="436" t="s">
        <v>2081</v>
      </c>
      <c r="I83" s="427" t="s">
        <v>2082</v>
      </c>
      <c r="J83" s="435"/>
      <c r="K83" s="438"/>
      <c r="L83" s="435"/>
      <c r="M83" s="414" t="s">
        <v>1688</v>
      </c>
      <c r="N83" s="438"/>
      <c r="O83" s="439"/>
      <c r="P83" s="440" t="s">
        <v>2079</v>
      </c>
      <c r="Q83" s="441"/>
      <c r="R83" s="383" t="s">
        <v>850</v>
      </c>
      <c r="S83" s="442" t="s">
        <v>663</v>
      </c>
      <c r="T83" s="443" t="s">
        <v>2083</v>
      </c>
      <c r="U83" s="444"/>
      <c r="V83" s="445"/>
      <c r="W83" s="406"/>
      <c r="X83" s="406"/>
      <c r="Y83" s="423"/>
      <c r="Z83" s="446" t="s">
        <v>985</v>
      </c>
      <c r="AA83" s="434" t="s">
        <v>188</v>
      </c>
      <c r="AB83" s="447"/>
      <c r="AC83" s="426">
        <f t="shared" si="5"/>
        <v>0</v>
      </c>
      <c r="AD83" s="426">
        <f t="shared" si="6"/>
        <v>0</v>
      </c>
      <c r="AE83" s="426">
        <f t="shared" si="7"/>
        <v>0</v>
      </c>
      <c r="AF83" s="427"/>
      <c r="AG83" s="428"/>
      <c r="AH83" s="427"/>
    </row>
    <row r="84" ht="15" customHeight="1" spans="1:34">
      <c r="A84" s="406">
        <f t="shared" si="4"/>
        <v>83</v>
      </c>
      <c r="B84" s="434" t="s">
        <v>1677</v>
      </c>
      <c r="C84" s="435"/>
      <c r="D84" s="436" t="s">
        <v>2084</v>
      </c>
      <c r="E84" s="406"/>
      <c r="F84" s="437"/>
      <c r="G84" s="436" t="s">
        <v>2085</v>
      </c>
      <c r="H84" s="436" t="s">
        <v>2086</v>
      </c>
      <c r="I84" s="427" t="s">
        <v>2087</v>
      </c>
      <c r="J84" s="435"/>
      <c r="K84" s="438"/>
      <c r="L84" s="435"/>
      <c r="M84" s="414" t="s">
        <v>1710</v>
      </c>
      <c r="N84" s="438"/>
      <c r="O84" s="439"/>
      <c r="P84" s="440" t="s">
        <v>2084</v>
      </c>
      <c r="Q84" s="441"/>
      <c r="R84" s="383" t="s">
        <v>327</v>
      </c>
      <c r="S84" s="442" t="s">
        <v>681</v>
      </c>
      <c r="T84" s="443" t="s">
        <v>2088</v>
      </c>
      <c r="U84" s="444"/>
      <c r="V84" s="445"/>
      <c r="W84" s="406"/>
      <c r="X84" s="406"/>
      <c r="Y84" s="423"/>
      <c r="Z84" s="446" t="s">
        <v>985</v>
      </c>
      <c r="AA84" s="434" t="s">
        <v>190</v>
      </c>
      <c r="AB84" s="447" t="s">
        <v>1126</v>
      </c>
      <c r="AC84" s="426">
        <f t="shared" si="5"/>
        <v>0</v>
      </c>
      <c r="AD84" s="426">
        <f t="shared" si="6"/>
        <v>0</v>
      </c>
      <c r="AE84" s="426">
        <f t="shared" si="7"/>
        <v>0</v>
      </c>
      <c r="AF84" s="427"/>
      <c r="AG84" s="428"/>
      <c r="AH84" s="427"/>
    </row>
    <row r="85" ht="15" customHeight="1" spans="1:34">
      <c r="A85" s="406">
        <f t="shared" si="4"/>
        <v>84</v>
      </c>
      <c r="B85" s="434" t="s">
        <v>1677</v>
      </c>
      <c r="C85" s="435"/>
      <c r="D85" s="436" t="s">
        <v>680</v>
      </c>
      <c r="E85" s="406"/>
      <c r="F85" s="437" t="s">
        <v>2089</v>
      </c>
      <c r="G85" s="436" t="s">
        <v>1854</v>
      </c>
      <c r="H85" s="436" t="s">
        <v>2090</v>
      </c>
      <c r="I85" s="427" t="s">
        <v>2091</v>
      </c>
      <c r="J85" s="435"/>
      <c r="K85" s="438"/>
      <c r="L85" s="435"/>
      <c r="M85" s="414" t="s">
        <v>1688</v>
      </c>
      <c r="N85" s="438"/>
      <c r="O85" s="439"/>
      <c r="P85" s="440" t="s">
        <v>680</v>
      </c>
      <c r="Q85" s="441"/>
      <c r="R85" s="383" t="s">
        <v>327</v>
      </c>
      <c r="S85" s="442" t="s">
        <v>681</v>
      </c>
      <c r="T85" s="443" t="s">
        <v>682</v>
      </c>
      <c r="U85" s="444"/>
      <c r="V85" s="445"/>
      <c r="W85" s="406"/>
      <c r="X85" s="406"/>
      <c r="Y85" s="423"/>
      <c r="Z85" s="446" t="s">
        <v>263</v>
      </c>
      <c r="AA85" s="434" t="s">
        <v>268</v>
      </c>
      <c r="AB85" s="447"/>
      <c r="AC85" s="426">
        <f t="shared" si="5"/>
        <v>0</v>
      </c>
      <c r="AD85" s="426">
        <f t="shared" si="6"/>
        <v>0</v>
      </c>
      <c r="AE85" s="426">
        <f t="shared" si="7"/>
        <v>0</v>
      </c>
      <c r="AF85" s="427"/>
      <c r="AG85" s="428"/>
      <c r="AH85" s="427"/>
    </row>
    <row r="86" ht="15" customHeight="1" spans="1:34">
      <c r="A86" s="406">
        <f t="shared" si="4"/>
        <v>85</v>
      </c>
      <c r="B86" s="434" t="s">
        <v>1677</v>
      </c>
      <c r="C86" s="435"/>
      <c r="D86" s="436" t="s">
        <v>2092</v>
      </c>
      <c r="E86" s="406"/>
      <c r="F86" s="437" t="s">
        <v>2093</v>
      </c>
      <c r="G86" s="436" t="s">
        <v>1715</v>
      </c>
      <c r="H86" s="436" t="s">
        <v>2094</v>
      </c>
      <c r="I86" s="427" t="s">
        <v>2095</v>
      </c>
      <c r="J86" s="435"/>
      <c r="K86" s="438"/>
      <c r="L86" s="435"/>
      <c r="M86" s="414" t="s">
        <v>1739</v>
      </c>
      <c r="N86" s="438"/>
      <c r="O86" s="439"/>
      <c r="P86" s="440" t="s">
        <v>2092</v>
      </c>
      <c r="Q86" s="441"/>
      <c r="R86" s="383" t="s">
        <v>327</v>
      </c>
      <c r="S86" s="442" t="s">
        <v>940</v>
      </c>
      <c r="T86" s="443" t="s">
        <v>2096</v>
      </c>
      <c r="U86" s="444"/>
      <c r="V86" s="445"/>
      <c r="W86" s="406"/>
      <c r="X86" s="406"/>
      <c r="Y86" s="423"/>
      <c r="Z86" s="446" t="s">
        <v>1741</v>
      </c>
      <c r="AA86" s="434" t="s">
        <v>179</v>
      </c>
      <c r="AB86" s="447" t="s">
        <v>1112</v>
      </c>
      <c r="AC86" s="426">
        <f t="shared" si="5"/>
        <v>0</v>
      </c>
      <c r="AD86" s="426">
        <f t="shared" si="6"/>
        <v>0</v>
      </c>
      <c r="AE86" s="426">
        <f t="shared" si="7"/>
        <v>0</v>
      </c>
      <c r="AF86" s="427"/>
      <c r="AG86" s="428"/>
      <c r="AH86" s="427"/>
    </row>
    <row r="87" ht="15" customHeight="1" spans="1:34">
      <c r="A87" s="406">
        <f t="shared" si="4"/>
        <v>86</v>
      </c>
      <c r="B87" s="434" t="s">
        <v>1721</v>
      </c>
      <c r="C87" s="435"/>
      <c r="D87" s="436" t="s">
        <v>1405</v>
      </c>
      <c r="E87" s="406"/>
      <c r="F87" s="437"/>
      <c r="G87" s="436" t="s">
        <v>2097</v>
      </c>
      <c r="H87" s="436" t="s">
        <v>2098</v>
      </c>
      <c r="I87" s="427" t="s">
        <v>2099</v>
      </c>
      <c r="J87" s="435"/>
      <c r="K87" s="438"/>
      <c r="L87" s="435"/>
      <c r="M87" s="414" t="s">
        <v>1710</v>
      </c>
      <c r="N87" s="438"/>
      <c r="O87" s="439"/>
      <c r="P87" s="440" t="s">
        <v>1405</v>
      </c>
      <c r="Q87" s="441"/>
      <c r="R87" s="383" t="s">
        <v>327</v>
      </c>
      <c r="S87" s="442" t="s">
        <v>681</v>
      </c>
      <c r="T87" s="443" t="s">
        <v>1404</v>
      </c>
      <c r="U87" s="444"/>
      <c r="V87" s="445"/>
      <c r="W87" s="406"/>
      <c r="X87" s="406"/>
      <c r="Y87" s="423"/>
      <c r="Z87" s="446" t="s">
        <v>645</v>
      </c>
      <c r="AA87" s="434" t="s">
        <v>233</v>
      </c>
      <c r="AB87" s="447"/>
      <c r="AC87" s="426">
        <f t="shared" si="5"/>
        <v>0</v>
      </c>
      <c r="AD87" s="426">
        <f t="shared" si="6"/>
        <v>0</v>
      </c>
      <c r="AE87" s="426">
        <f t="shared" si="7"/>
        <v>0</v>
      </c>
      <c r="AF87" s="427"/>
      <c r="AG87" s="428"/>
      <c r="AH87" s="427"/>
    </row>
    <row r="88" ht="15" customHeight="1" spans="1:34">
      <c r="A88" s="406">
        <f t="shared" si="4"/>
        <v>87</v>
      </c>
      <c r="B88" s="434" t="s">
        <v>1677</v>
      </c>
      <c r="C88" s="435"/>
      <c r="D88" s="436" t="s">
        <v>2100</v>
      </c>
      <c r="E88" s="406"/>
      <c r="F88" s="437"/>
      <c r="G88" s="436" t="s">
        <v>1854</v>
      </c>
      <c r="H88" s="436" t="s">
        <v>2101</v>
      </c>
      <c r="I88" s="427" t="s">
        <v>2102</v>
      </c>
      <c r="J88" s="435"/>
      <c r="K88" s="438"/>
      <c r="L88" s="435"/>
      <c r="M88" s="414" t="s">
        <v>1710</v>
      </c>
      <c r="N88" s="438"/>
      <c r="O88" s="439"/>
      <c r="P88" s="440" t="s">
        <v>2100</v>
      </c>
      <c r="Q88" s="441"/>
      <c r="R88" s="383" t="s">
        <v>332</v>
      </c>
      <c r="S88" s="442" t="s">
        <v>2103</v>
      </c>
      <c r="T88" s="443" t="s">
        <v>1036</v>
      </c>
      <c r="U88" s="444"/>
      <c r="V88" s="445"/>
      <c r="W88" s="406"/>
      <c r="X88" s="406"/>
      <c r="Y88" s="423"/>
      <c r="Z88" s="446" t="s">
        <v>1765</v>
      </c>
      <c r="AA88" s="434" t="s">
        <v>177</v>
      </c>
      <c r="AB88" s="447" t="s">
        <v>1112</v>
      </c>
      <c r="AC88" s="426">
        <f t="shared" si="5"/>
        <v>0</v>
      </c>
      <c r="AD88" s="426">
        <f t="shared" si="6"/>
        <v>0</v>
      </c>
      <c r="AE88" s="426">
        <f t="shared" si="7"/>
        <v>0</v>
      </c>
      <c r="AF88" s="427"/>
      <c r="AG88" s="428"/>
      <c r="AH88" s="427"/>
    </row>
    <row r="89" ht="15" customHeight="1" spans="1:34">
      <c r="A89" s="406">
        <f t="shared" si="4"/>
        <v>88</v>
      </c>
      <c r="B89" s="434" t="s">
        <v>1677</v>
      </c>
      <c r="C89" s="435"/>
      <c r="D89" s="436" t="s">
        <v>2104</v>
      </c>
      <c r="E89" s="406"/>
      <c r="F89" s="437"/>
      <c r="G89" s="436" t="s">
        <v>1827</v>
      </c>
      <c r="H89" s="436" t="s">
        <v>2105</v>
      </c>
      <c r="I89" s="427" t="s">
        <v>2106</v>
      </c>
      <c r="J89" s="435"/>
      <c r="K89" s="438"/>
      <c r="L89" s="435"/>
      <c r="M89" s="414"/>
      <c r="N89" s="438"/>
      <c r="O89" s="439"/>
      <c r="P89" s="440" t="s">
        <v>2104</v>
      </c>
      <c r="Q89" s="441"/>
      <c r="R89" s="383" t="s">
        <v>332</v>
      </c>
      <c r="S89" s="442" t="s">
        <v>663</v>
      </c>
      <c r="T89" s="443" t="s">
        <v>2107</v>
      </c>
      <c r="U89" s="444"/>
      <c r="V89" s="445"/>
      <c r="W89" s="406"/>
      <c r="X89" s="406"/>
      <c r="Y89" s="423"/>
      <c r="Z89" s="446" t="s">
        <v>1017</v>
      </c>
      <c r="AA89" s="434" t="s">
        <v>170</v>
      </c>
      <c r="AB89" s="447"/>
      <c r="AC89" s="426">
        <f t="shared" si="5"/>
        <v>0</v>
      </c>
      <c r="AD89" s="426">
        <f t="shared" si="6"/>
        <v>0</v>
      </c>
      <c r="AE89" s="426">
        <f t="shared" si="7"/>
        <v>0</v>
      </c>
      <c r="AF89" s="427"/>
      <c r="AG89" s="428"/>
      <c r="AH89" s="427"/>
    </row>
    <row r="90" ht="15" customHeight="1" spans="1:34">
      <c r="A90" s="406">
        <f t="shared" si="4"/>
        <v>89</v>
      </c>
      <c r="B90" s="434" t="s">
        <v>1721</v>
      </c>
      <c r="C90" s="435"/>
      <c r="D90" s="436" t="s">
        <v>2108</v>
      </c>
      <c r="E90" s="406"/>
      <c r="F90" s="437" t="s">
        <v>2109</v>
      </c>
      <c r="G90" s="436" t="s">
        <v>1933</v>
      </c>
      <c r="H90" s="436" t="s">
        <v>2110</v>
      </c>
      <c r="I90" s="427" t="s">
        <v>2111</v>
      </c>
      <c r="J90" s="435"/>
      <c r="K90" s="438"/>
      <c r="L90" s="435"/>
      <c r="M90" s="414" t="s">
        <v>1688</v>
      </c>
      <c r="N90" s="438"/>
      <c r="O90" s="439"/>
      <c r="P90" s="440" t="s">
        <v>2108</v>
      </c>
      <c r="Q90" s="441"/>
      <c r="R90" s="383" t="s">
        <v>327</v>
      </c>
      <c r="S90" s="442" t="s">
        <v>712</v>
      </c>
      <c r="T90" s="443" t="s">
        <v>2112</v>
      </c>
      <c r="U90" s="444"/>
      <c r="V90" s="445"/>
      <c r="W90" s="406"/>
      <c r="X90" s="406"/>
      <c r="Y90" s="423"/>
      <c r="Z90" s="446" t="s">
        <v>1765</v>
      </c>
      <c r="AA90" s="434" t="s">
        <v>180</v>
      </c>
      <c r="AB90" s="447" t="s">
        <v>1112</v>
      </c>
      <c r="AC90" s="426">
        <f t="shared" si="5"/>
        <v>0</v>
      </c>
      <c r="AD90" s="426">
        <f t="shared" si="6"/>
        <v>0</v>
      </c>
      <c r="AE90" s="426">
        <f t="shared" si="7"/>
        <v>0</v>
      </c>
      <c r="AF90" s="427"/>
      <c r="AG90" s="428"/>
      <c r="AH90" s="427"/>
    </row>
    <row r="91" ht="15" customHeight="1" spans="1:34">
      <c r="A91" s="406">
        <f t="shared" si="4"/>
        <v>90</v>
      </c>
      <c r="B91" s="434" t="s">
        <v>1677</v>
      </c>
      <c r="C91" s="435"/>
      <c r="D91" s="436" t="s">
        <v>2113</v>
      </c>
      <c r="E91" s="406"/>
      <c r="F91" s="437"/>
      <c r="G91" s="436" t="s">
        <v>1707</v>
      </c>
      <c r="H91" s="436" t="s">
        <v>2114</v>
      </c>
      <c r="I91" s="427" t="s">
        <v>2115</v>
      </c>
      <c r="J91" s="435"/>
      <c r="K91" s="438"/>
      <c r="L91" s="435"/>
      <c r="M91" s="414" t="s">
        <v>1710</v>
      </c>
      <c r="N91" s="438"/>
      <c r="O91" s="439"/>
      <c r="P91" s="440" t="s">
        <v>2113</v>
      </c>
      <c r="Q91" s="441"/>
      <c r="R91" s="383" t="s">
        <v>332</v>
      </c>
      <c r="S91" s="442" t="s">
        <v>663</v>
      </c>
      <c r="T91" s="443" t="s">
        <v>2116</v>
      </c>
      <c r="U91" s="444"/>
      <c r="V91" s="445"/>
      <c r="W91" s="406"/>
      <c r="X91" s="406"/>
      <c r="Y91" s="423"/>
      <c r="Z91" s="446" t="s">
        <v>1741</v>
      </c>
      <c r="AA91" s="434" t="s">
        <v>184</v>
      </c>
      <c r="AB91" s="447" t="s">
        <v>1112</v>
      </c>
      <c r="AC91" s="426">
        <f t="shared" si="5"/>
        <v>0</v>
      </c>
      <c r="AD91" s="426">
        <f t="shared" si="6"/>
        <v>0</v>
      </c>
      <c r="AE91" s="426">
        <f t="shared" si="7"/>
        <v>0</v>
      </c>
      <c r="AF91" s="427"/>
      <c r="AG91" s="428"/>
      <c r="AH91" s="427"/>
    </row>
    <row r="92" ht="15" customHeight="1" spans="1:34">
      <c r="A92" s="406">
        <f t="shared" si="4"/>
        <v>91</v>
      </c>
      <c r="B92" s="434" t="s">
        <v>1677</v>
      </c>
      <c r="C92" s="435"/>
      <c r="D92" s="436" t="s">
        <v>2117</v>
      </c>
      <c r="E92" s="406"/>
      <c r="F92" s="437"/>
      <c r="G92" s="436" t="s">
        <v>1770</v>
      </c>
      <c r="H92" s="436" t="s">
        <v>2118</v>
      </c>
      <c r="I92" s="427" t="s">
        <v>2119</v>
      </c>
      <c r="J92" s="435"/>
      <c r="K92" s="438"/>
      <c r="L92" s="435"/>
      <c r="M92" s="414" t="s">
        <v>1739</v>
      </c>
      <c r="N92" s="438"/>
      <c r="O92" s="439"/>
      <c r="P92" s="440" t="s">
        <v>2117</v>
      </c>
      <c r="Q92" s="441"/>
      <c r="R92" s="383" t="s">
        <v>327</v>
      </c>
      <c r="S92" s="442" t="s">
        <v>712</v>
      </c>
      <c r="T92" s="443" t="s">
        <v>2120</v>
      </c>
      <c r="U92" s="444"/>
      <c r="V92" s="445"/>
      <c r="W92" s="406"/>
      <c r="X92" s="406"/>
      <c r="Y92" s="423"/>
      <c r="Z92" s="446" t="s">
        <v>1765</v>
      </c>
      <c r="AA92" s="434" t="s">
        <v>183</v>
      </c>
      <c r="AB92" s="447" t="s">
        <v>1112</v>
      </c>
      <c r="AC92" s="426">
        <f t="shared" si="5"/>
        <v>0</v>
      </c>
      <c r="AD92" s="426">
        <f t="shared" si="6"/>
        <v>0</v>
      </c>
      <c r="AE92" s="426">
        <f t="shared" si="7"/>
        <v>0</v>
      </c>
      <c r="AF92" s="427"/>
      <c r="AG92" s="428"/>
      <c r="AH92" s="427"/>
    </row>
    <row r="93" ht="15" customHeight="1" spans="1:34">
      <c r="A93" s="406">
        <f t="shared" si="4"/>
        <v>92</v>
      </c>
      <c r="B93" s="434" t="s">
        <v>1677</v>
      </c>
      <c r="C93" s="435"/>
      <c r="D93" s="436" t="s">
        <v>2121</v>
      </c>
      <c r="E93" s="406"/>
      <c r="F93" s="437"/>
      <c r="G93" s="436" t="s">
        <v>1770</v>
      </c>
      <c r="H93" s="436" t="s">
        <v>2122</v>
      </c>
      <c r="I93" s="427" t="s">
        <v>2123</v>
      </c>
      <c r="J93" s="435"/>
      <c r="K93" s="438"/>
      <c r="L93" s="435"/>
      <c r="M93" s="414" t="s">
        <v>1710</v>
      </c>
      <c r="N93" s="438"/>
      <c r="O93" s="439"/>
      <c r="P93" s="440" t="s">
        <v>2121</v>
      </c>
      <c r="Q93" s="441"/>
      <c r="R93" s="383" t="s">
        <v>2124</v>
      </c>
      <c r="S93" s="442" t="s">
        <v>712</v>
      </c>
      <c r="T93" s="443" t="s">
        <v>2125</v>
      </c>
      <c r="U93" s="444"/>
      <c r="V93" s="445"/>
      <c r="W93" s="406"/>
      <c r="X93" s="406"/>
      <c r="Y93" s="423"/>
      <c r="Z93" s="446" t="s">
        <v>455</v>
      </c>
      <c r="AA93" s="434" t="s">
        <v>199</v>
      </c>
      <c r="AB93" s="447" t="s">
        <v>1126</v>
      </c>
      <c r="AC93" s="426">
        <f t="shared" si="5"/>
        <v>0</v>
      </c>
      <c r="AD93" s="426">
        <f t="shared" si="6"/>
        <v>0</v>
      </c>
      <c r="AE93" s="426">
        <f t="shared" si="7"/>
        <v>0</v>
      </c>
      <c r="AF93" s="427"/>
      <c r="AG93" s="428"/>
      <c r="AH93" s="427"/>
    </row>
    <row r="94" ht="15" customHeight="1" spans="1:34">
      <c r="A94" s="406">
        <f t="shared" si="4"/>
        <v>93</v>
      </c>
      <c r="B94" s="434" t="s">
        <v>1721</v>
      </c>
      <c r="C94" s="435"/>
      <c r="D94" s="436" t="s">
        <v>2126</v>
      </c>
      <c r="E94" s="406"/>
      <c r="F94" s="437"/>
      <c r="G94" s="436" t="s">
        <v>2127</v>
      </c>
      <c r="H94" s="436" t="s">
        <v>2128</v>
      </c>
      <c r="I94" s="427" t="s">
        <v>2129</v>
      </c>
      <c r="J94" s="435"/>
      <c r="K94" s="438"/>
      <c r="L94" s="435"/>
      <c r="M94" s="414" t="s">
        <v>1710</v>
      </c>
      <c r="N94" s="438"/>
      <c r="O94" s="439"/>
      <c r="P94" s="440" t="s">
        <v>2126</v>
      </c>
      <c r="Q94" s="441"/>
      <c r="R94" s="383" t="s">
        <v>332</v>
      </c>
      <c r="S94" s="442" t="s">
        <v>2130</v>
      </c>
      <c r="T94" s="443" t="s">
        <v>2131</v>
      </c>
      <c r="U94" s="444"/>
      <c r="V94" s="445"/>
      <c r="W94" s="406"/>
      <c r="X94" s="406"/>
      <c r="Y94" s="423"/>
      <c r="Z94" s="446" t="s">
        <v>985</v>
      </c>
      <c r="AA94" s="434" t="s">
        <v>188</v>
      </c>
      <c r="AB94" s="447" t="s">
        <v>1126</v>
      </c>
      <c r="AC94" s="426">
        <f t="shared" si="5"/>
        <v>0</v>
      </c>
      <c r="AD94" s="426">
        <f t="shared" si="6"/>
        <v>0</v>
      </c>
      <c r="AE94" s="426">
        <f t="shared" si="7"/>
        <v>0</v>
      </c>
      <c r="AF94" s="427"/>
      <c r="AG94" s="428"/>
      <c r="AH94" s="427"/>
    </row>
    <row r="95" ht="15" customHeight="1" spans="1:34">
      <c r="A95" s="406">
        <f t="shared" si="4"/>
        <v>94</v>
      </c>
      <c r="B95" s="434" t="s">
        <v>1677</v>
      </c>
      <c r="C95" s="435"/>
      <c r="D95" s="436" t="s">
        <v>2132</v>
      </c>
      <c r="E95" s="406"/>
      <c r="F95" s="437"/>
      <c r="G95" s="436" t="s">
        <v>1715</v>
      </c>
      <c r="H95" s="436" t="s">
        <v>2133</v>
      </c>
      <c r="I95" s="427" t="s">
        <v>2134</v>
      </c>
      <c r="J95" s="435"/>
      <c r="K95" s="438"/>
      <c r="L95" s="435"/>
      <c r="M95" s="414"/>
      <c r="N95" s="438"/>
      <c r="O95" s="439"/>
      <c r="P95" s="440" t="s">
        <v>2132</v>
      </c>
      <c r="Q95" s="441"/>
      <c r="R95" s="383" t="s">
        <v>327</v>
      </c>
      <c r="S95" s="442" t="s">
        <v>712</v>
      </c>
      <c r="T95" s="443" t="s">
        <v>2135</v>
      </c>
      <c r="U95" s="444"/>
      <c r="V95" s="445"/>
      <c r="W95" s="406"/>
      <c r="X95" s="406"/>
      <c r="Y95" s="423"/>
      <c r="Z95" s="446" t="s">
        <v>207</v>
      </c>
      <c r="AA95" s="434" t="s">
        <v>208</v>
      </c>
      <c r="AB95" s="447"/>
      <c r="AC95" s="426">
        <f t="shared" si="5"/>
        <v>0</v>
      </c>
      <c r="AD95" s="426">
        <f t="shared" si="6"/>
        <v>0</v>
      </c>
      <c r="AE95" s="426">
        <f t="shared" si="7"/>
        <v>0</v>
      </c>
      <c r="AF95" s="427"/>
      <c r="AG95" s="428"/>
      <c r="AH95" s="427"/>
    </row>
    <row r="96" ht="15" customHeight="1" spans="1:34">
      <c r="A96" s="406">
        <f t="shared" si="4"/>
        <v>95</v>
      </c>
      <c r="B96" s="434" t="s">
        <v>1677</v>
      </c>
      <c r="C96" s="435"/>
      <c r="D96" s="436" t="s">
        <v>196</v>
      </c>
      <c r="E96" s="406" t="s">
        <v>2136</v>
      </c>
      <c r="F96" s="437"/>
      <c r="G96" s="436" t="s">
        <v>1907</v>
      </c>
      <c r="H96" s="436" t="s">
        <v>2137</v>
      </c>
      <c r="I96" s="427" t="s">
        <v>2138</v>
      </c>
      <c r="J96" s="435"/>
      <c r="K96" s="438"/>
      <c r="L96" s="435"/>
      <c r="M96" s="414"/>
      <c r="N96" s="438"/>
      <c r="O96" s="439"/>
      <c r="P96" s="440" t="s">
        <v>196</v>
      </c>
      <c r="Q96" s="441" t="s">
        <v>2136</v>
      </c>
      <c r="R96" s="383" t="s">
        <v>327</v>
      </c>
      <c r="S96" s="442" t="s">
        <v>681</v>
      </c>
      <c r="T96" s="443" t="s">
        <v>1426</v>
      </c>
      <c r="U96" s="444"/>
      <c r="V96" s="445"/>
      <c r="W96" s="406"/>
      <c r="X96" s="406"/>
      <c r="Y96" s="423"/>
      <c r="Z96" s="446" t="s">
        <v>207</v>
      </c>
      <c r="AA96" s="434" t="s">
        <v>208</v>
      </c>
      <c r="AB96" s="447"/>
      <c r="AC96" s="426">
        <f t="shared" si="5"/>
        <v>0</v>
      </c>
      <c r="AD96" s="426">
        <f t="shared" si="6"/>
        <v>0</v>
      </c>
      <c r="AE96" s="426">
        <f t="shared" si="7"/>
        <v>0</v>
      </c>
      <c r="AF96" s="427"/>
      <c r="AG96" s="428"/>
      <c r="AH96" s="427"/>
    </row>
    <row r="97" ht="15" customHeight="1" spans="1:34">
      <c r="A97" s="406">
        <f t="shared" si="4"/>
        <v>96</v>
      </c>
      <c r="B97" s="434" t="s">
        <v>1677</v>
      </c>
      <c r="C97" s="435"/>
      <c r="D97" s="436" t="s">
        <v>685</v>
      </c>
      <c r="E97" s="406"/>
      <c r="F97" s="437"/>
      <c r="G97" s="436" t="s">
        <v>2139</v>
      </c>
      <c r="H97" s="436" t="s">
        <v>2140</v>
      </c>
      <c r="I97" s="427" t="s">
        <v>2141</v>
      </c>
      <c r="J97" s="435"/>
      <c r="K97" s="438"/>
      <c r="L97" s="435"/>
      <c r="M97" s="414" t="s">
        <v>1688</v>
      </c>
      <c r="N97" s="438"/>
      <c r="O97" s="439"/>
      <c r="P97" s="440" t="s">
        <v>685</v>
      </c>
      <c r="Q97" s="441"/>
      <c r="R97" s="383" t="s">
        <v>332</v>
      </c>
      <c r="S97" s="442" t="s">
        <v>1689</v>
      </c>
      <c r="T97" s="443" t="s">
        <v>687</v>
      </c>
      <c r="U97" s="444"/>
      <c r="V97" s="445"/>
      <c r="W97" s="406"/>
      <c r="X97" s="406"/>
      <c r="Y97" s="423"/>
      <c r="Z97" s="446" t="s">
        <v>645</v>
      </c>
      <c r="AA97" s="434" t="s">
        <v>232</v>
      </c>
      <c r="AB97" s="447"/>
      <c r="AC97" s="426">
        <f t="shared" si="5"/>
        <v>0</v>
      </c>
      <c r="AD97" s="426">
        <f t="shared" si="6"/>
        <v>0</v>
      </c>
      <c r="AE97" s="426">
        <f t="shared" si="7"/>
        <v>0</v>
      </c>
      <c r="AF97" s="427"/>
      <c r="AG97" s="428"/>
      <c r="AH97" s="427"/>
    </row>
    <row r="98" ht="15" customHeight="1" spans="1:34">
      <c r="A98" s="406">
        <f t="shared" si="4"/>
        <v>97</v>
      </c>
      <c r="B98" s="434" t="s">
        <v>1677</v>
      </c>
      <c r="C98" s="435"/>
      <c r="D98" s="436" t="s">
        <v>2142</v>
      </c>
      <c r="E98" s="406"/>
      <c r="F98" s="437"/>
      <c r="G98" s="436" t="s">
        <v>2143</v>
      </c>
      <c r="H98" s="436" t="s">
        <v>2144</v>
      </c>
      <c r="I98" s="427" t="s">
        <v>2145</v>
      </c>
      <c r="J98" s="435"/>
      <c r="K98" s="438"/>
      <c r="L98" s="435"/>
      <c r="M98" s="414" t="s">
        <v>1688</v>
      </c>
      <c r="N98" s="438"/>
      <c r="O98" s="439"/>
      <c r="P98" s="440" t="s">
        <v>2142</v>
      </c>
      <c r="Q98" s="441"/>
      <c r="R98" s="383" t="s">
        <v>327</v>
      </c>
      <c r="S98" s="442" t="s">
        <v>712</v>
      </c>
      <c r="T98" s="443" t="s">
        <v>2146</v>
      </c>
      <c r="U98" s="444"/>
      <c r="V98" s="445"/>
      <c r="W98" s="406"/>
      <c r="X98" s="406"/>
      <c r="Y98" s="423"/>
      <c r="Z98" s="446" t="s">
        <v>1017</v>
      </c>
      <c r="AA98" s="434" t="s">
        <v>172</v>
      </c>
      <c r="AB98" s="447" t="s">
        <v>1112</v>
      </c>
      <c r="AC98" s="426">
        <f t="shared" si="5"/>
        <v>0</v>
      </c>
      <c r="AD98" s="426">
        <f t="shared" si="6"/>
        <v>0</v>
      </c>
      <c r="AE98" s="426">
        <f t="shared" si="7"/>
        <v>0</v>
      </c>
      <c r="AF98" s="427"/>
      <c r="AG98" s="428"/>
      <c r="AH98" s="427"/>
    </row>
    <row r="99" ht="15" customHeight="1" spans="1:34">
      <c r="A99" s="406">
        <f t="shared" si="4"/>
        <v>98</v>
      </c>
      <c r="B99" s="434" t="s">
        <v>1721</v>
      </c>
      <c r="C99" s="435"/>
      <c r="D99" s="436" t="s">
        <v>2147</v>
      </c>
      <c r="E99" s="406" t="s">
        <v>2148</v>
      </c>
      <c r="F99" s="437" t="s">
        <v>2149</v>
      </c>
      <c r="G99" s="436" t="s">
        <v>1783</v>
      </c>
      <c r="H99" s="436" t="s">
        <v>2150</v>
      </c>
      <c r="I99" s="427" t="s">
        <v>2151</v>
      </c>
      <c r="J99" s="435"/>
      <c r="K99" s="438"/>
      <c r="L99" s="435"/>
      <c r="M99" s="414" t="s">
        <v>1739</v>
      </c>
      <c r="N99" s="438"/>
      <c r="O99" s="439"/>
      <c r="P99" s="440" t="s">
        <v>2147</v>
      </c>
      <c r="Q99" s="441" t="s">
        <v>2148</v>
      </c>
      <c r="R99" s="383" t="s">
        <v>327</v>
      </c>
      <c r="S99" s="442" t="s">
        <v>681</v>
      </c>
      <c r="T99" s="443" t="s">
        <v>2152</v>
      </c>
      <c r="U99" s="444"/>
      <c r="V99" s="445"/>
      <c r="W99" s="406"/>
      <c r="X99" s="406"/>
      <c r="Y99" s="423"/>
      <c r="Z99" s="446" t="s">
        <v>1017</v>
      </c>
      <c r="AA99" s="434" t="s">
        <v>171</v>
      </c>
      <c r="AB99" s="447" t="s">
        <v>1112</v>
      </c>
      <c r="AC99" s="426">
        <f t="shared" si="5"/>
        <v>0</v>
      </c>
      <c r="AD99" s="426">
        <f t="shared" si="6"/>
        <v>0</v>
      </c>
      <c r="AE99" s="426">
        <f t="shared" si="7"/>
        <v>0</v>
      </c>
      <c r="AF99" s="427"/>
      <c r="AG99" s="428"/>
      <c r="AH99" s="427"/>
    </row>
    <row r="100" ht="15" customHeight="1" spans="1:34">
      <c r="A100" s="406">
        <f t="shared" si="4"/>
        <v>99</v>
      </c>
      <c r="B100" s="434" t="s">
        <v>1677</v>
      </c>
      <c r="C100" s="435"/>
      <c r="D100" s="436" t="s">
        <v>2153</v>
      </c>
      <c r="E100" s="406"/>
      <c r="F100" s="437"/>
      <c r="G100" s="436" t="s">
        <v>2154</v>
      </c>
      <c r="H100" s="436" t="s">
        <v>2155</v>
      </c>
      <c r="I100" s="427" t="s">
        <v>2156</v>
      </c>
      <c r="J100" s="435"/>
      <c r="K100" s="438"/>
      <c r="L100" s="435"/>
      <c r="M100" s="414"/>
      <c r="N100" s="438"/>
      <c r="O100" s="439"/>
      <c r="P100" s="440" t="s">
        <v>2157</v>
      </c>
      <c r="Q100" s="441"/>
      <c r="R100" s="383" t="s">
        <v>332</v>
      </c>
      <c r="S100" s="442" t="s">
        <v>663</v>
      </c>
      <c r="T100" s="443" t="s">
        <v>2158</v>
      </c>
      <c r="U100" s="444"/>
      <c r="V100" s="445"/>
      <c r="W100" s="406"/>
      <c r="X100" s="406"/>
      <c r="Y100" s="423"/>
      <c r="Z100" s="446" t="s">
        <v>207</v>
      </c>
      <c r="AA100" s="434" t="s">
        <v>208</v>
      </c>
      <c r="AB100" s="447"/>
      <c r="AC100" s="426">
        <f t="shared" si="5"/>
        <v>0</v>
      </c>
      <c r="AD100" s="426">
        <f t="shared" si="6"/>
        <v>0</v>
      </c>
      <c r="AE100" s="426">
        <f t="shared" si="7"/>
        <v>0</v>
      </c>
      <c r="AF100" s="427"/>
      <c r="AG100" s="428"/>
      <c r="AH100" s="427"/>
    </row>
    <row r="101" ht="15" customHeight="1" spans="1:34">
      <c r="A101" s="406">
        <f t="shared" si="4"/>
        <v>100</v>
      </c>
      <c r="B101" s="434" t="s">
        <v>1677</v>
      </c>
      <c r="C101" s="435"/>
      <c r="D101" s="436" t="s">
        <v>2159</v>
      </c>
      <c r="E101" s="406"/>
      <c r="F101" s="437"/>
      <c r="G101" s="436" t="s">
        <v>2160</v>
      </c>
      <c r="H101" s="436" t="s">
        <v>2161</v>
      </c>
      <c r="I101" s="427" t="s">
        <v>2162</v>
      </c>
      <c r="J101" s="435"/>
      <c r="K101" s="438"/>
      <c r="L101" s="435"/>
      <c r="M101" s="414" t="s">
        <v>1710</v>
      </c>
      <c r="N101" s="438"/>
      <c r="O101" s="439"/>
      <c r="P101" s="440" t="s">
        <v>2159</v>
      </c>
      <c r="Q101" s="441"/>
      <c r="R101" s="383" t="s">
        <v>332</v>
      </c>
      <c r="S101" s="442" t="s">
        <v>2163</v>
      </c>
      <c r="T101" s="443" t="s">
        <v>1037</v>
      </c>
      <c r="U101" s="444"/>
      <c r="V101" s="445"/>
      <c r="W101" s="406"/>
      <c r="X101" s="406"/>
      <c r="Y101" s="423"/>
      <c r="Z101" s="446" t="s">
        <v>249</v>
      </c>
      <c r="AA101" s="434" t="s">
        <v>251</v>
      </c>
      <c r="AB101" s="447"/>
      <c r="AC101" s="426">
        <f t="shared" si="5"/>
        <v>0</v>
      </c>
      <c r="AD101" s="426">
        <f t="shared" si="6"/>
        <v>0</v>
      </c>
      <c r="AE101" s="426">
        <f t="shared" si="7"/>
        <v>0</v>
      </c>
      <c r="AF101" s="427"/>
      <c r="AG101" s="428"/>
      <c r="AH101" s="427"/>
    </row>
    <row r="102" ht="15" customHeight="1" spans="1:34">
      <c r="A102" s="406">
        <f t="shared" si="4"/>
        <v>101</v>
      </c>
      <c r="B102" s="434" t="s">
        <v>1721</v>
      </c>
      <c r="C102" s="435"/>
      <c r="D102" s="436" t="s">
        <v>2164</v>
      </c>
      <c r="E102" s="406"/>
      <c r="F102" s="437"/>
      <c r="G102" s="436" t="s">
        <v>2165</v>
      </c>
      <c r="H102" s="436" t="s">
        <v>2166</v>
      </c>
      <c r="I102" s="427" t="s">
        <v>2167</v>
      </c>
      <c r="J102" s="435"/>
      <c r="K102" s="438"/>
      <c r="L102" s="435"/>
      <c r="M102" s="414" t="s">
        <v>1710</v>
      </c>
      <c r="N102" s="438"/>
      <c r="O102" s="439"/>
      <c r="P102" s="440" t="s">
        <v>2164</v>
      </c>
      <c r="Q102" s="441"/>
      <c r="R102" s="383" t="s">
        <v>332</v>
      </c>
      <c r="S102" s="442" t="s">
        <v>1794</v>
      </c>
      <c r="T102" s="443" t="s">
        <v>1432</v>
      </c>
      <c r="U102" s="444"/>
      <c r="V102" s="445"/>
      <c r="W102" s="406"/>
      <c r="X102" s="406"/>
      <c r="Y102" s="423"/>
      <c r="Z102" s="446" t="s">
        <v>667</v>
      </c>
      <c r="AA102" s="434" t="s">
        <v>260</v>
      </c>
      <c r="AB102" s="447"/>
      <c r="AC102" s="426">
        <f t="shared" si="5"/>
        <v>0</v>
      </c>
      <c r="AD102" s="426">
        <f t="shared" si="6"/>
        <v>0</v>
      </c>
      <c r="AE102" s="426">
        <f t="shared" si="7"/>
        <v>0</v>
      </c>
      <c r="AF102" s="427"/>
      <c r="AG102" s="428"/>
      <c r="AH102" s="427"/>
    </row>
    <row r="103" ht="15" customHeight="1" spans="1:34">
      <c r="A103" s="406">
        <f t="shared" si="4"/>
        <v>102</v>
      </c>
      <c r="B103" s="434" t="s">
        <v>1677</v>
      </c>
      <c r="C103" s="435"/>
      <c r="D103" s="436" t="s">
        <v>2168</v>
      </c>
      <c r="E103" s="406"/>
      <c r="F103" s="437" t="s">
        <v>2169</v>
      </c>
      <c r="G103" s="436" t="s">
        <v>1770</v>
      </c>
      <c r="H103" s="436" t="s">
        <v>2170</v>
      </c>
      <c r="I103" s="427" t="s">
        <v>2171</v>
      </c>
      <c r="J103" s="435"/>
      <c r="K103" s="438"/>
      <c r="L103" s="435"/>
      <c r="M103" s="414" t="s">
        <v>1710</v>
      </c>
      <c r="N103" s="438"/>
      <c r="O103" s="439"/>
      <c r="P103" s="440" t="s">
        <v>2168</v>
      </c>
      <c r="Q103" s="441"/>
      <c r="R103" s="383" t="s">
        <v>332</v>
      </c>
      <c r="S103" s="442" t="s">
        <v>663</v>
      </c>
      <c r="T103" s="443" t="s">
        <v>1434</v>
      </c>
      <c r="U103" s="444"/>
      <c r="V103" s="445"/>
      <c r="W103" s="406"/>
      <c r="X103" s="406"/>
      <c r="Y103" s="423"/>
      <c r="Z103" s="446" t="s">
        <v>263</v>
      </c>
      <c r="AA103" s="434" t="s">
        <v>264</v>
      </c>
      <c r="AB103" s="447"/>
      <c r="AC103" s="426">
        <f t="shared" si="5"/>
        <v>0</v>
      </c>
      <c r="AD103" s="426">
        <f t="shared" si="6"/>
        <v>0</v>
      </c>
      <c r="AE103" s="426">
        <f t="shared" si="7"/>
        <v>0</v>
      </c>
      <c r="AF103" s="427"/>
      <c r="AG103" s="428"/>
      <c r="AH103" s="427"/>
    </row>
    <row r="104" ht="15" customHeight="1" spans="1:34">
      <c r="A104" s="406">
        <f t="shared" si="4"/>
        <v>103</v>
      </c>
      <c r="B104" s="434" t="s">
        <v>1721</v>
      </c>
      <c r="C104" s="435"/>
      <c r="D104" s="436" t="s">
        <v>2172</v>
      </c>
      <c r="E104" s="406"/>
      <c r="F104" s="437"/>
      <c r="G104" s="436" t="s">
        <v>2173</v>
      </c>
      <c r="H104" s="436" t="s">
        <v>2174</v>
      </c>
      <c r="I104" s="427" t="s">
        <v>2175</v>
      </c>
      <c r="J104" s="435"/>
      <c r="K104" s="438"/>
      <c r="L104" s="435"/>
      <c r="M104" s="414" t="s">
        <v>1710</v>
      </c>
      <c r="N104" s="438"/>
      <c r="O104" s="439"/>
      <c r="P104" s="440" t="s">
        <v>2172</v>
      </c>
      <c r="Q104" s="441"/>
      <c r="R104" s="383" t="s">
        <v>332</v>
      </c>
      <c r="S104" s="442" t="s">
        <v>663</v>
      </c>
      <c r="T104" s="443" t="s">
        <v>2176</v>
      </c>
      <c r="U104" s="444"/>
      <c r="V104" s="445"/>
      <c r="W104" s="406"/>
      <c r="X104" s="406"/>
      <c r="Y104" s="423"/>
      <c r="Z104" s="446" t="s">
        <v>1765</v>
      </c>
      <c r="AA104" s="434" t="s">
        <v>184</v>
      </c>
      <c r="AB104" s="447" t="s">
        <v>1112</v>
      </c>
      <c r="AC104" s="426">
        <f t="shared" si="5"/>
        <v>0</v>
      </c>
      <c r="AD104" s="426">
        <f t="shared" si="6"/>
        <v>0</v>
      </c>
      <c r="AE104" s="426">
        <f t="shared" si="7"/>
        <v>0</v>
      </c>
      <c r="AF104" s="427"/>
      <c r="AG104" s="428"/>
      <c r="AH104" s="427"/>
    </row>
    <row r="105" ht="15" customHeight="1" spans="1:34">
      <c r="A105" s="406">
        <f t="shared" si="4"/>
        <v>104</v>
      </c>
      <c r="B105" s="434" t="s">
        <v>1677</v>
      </c>
      <c r="C105" s="435"/>
      <c r="D105" s="436" t="s">
        <v>1693</v>
      </c>
      <c r="E105" s="406"/>
      <c r="F105" s="437"/>
      <c r="G105" s="414" t="s">
        <v>2177</v>
      </c>
      <c r="H105" s="436" t="s">
        <v>2178</v>
      </c>
      <c r="I105" s="427" t="s">
        <v>2179</v>
      </c>
      <c r="J105" s="435"/>
      <c r="K105" s="438"/>
      <c r="L105" s="435"/>
      <c r="M105" s="414" t="s">
        <v>1710</v>
      </c>
      <c r="N105" s="438"/>
      <c r="O105" s="439"/>
      <c r="P105" s="440" t="s">
        <v>1693</v>
      </c>
      <c r="Q105" s="441"/>
      <c r="R105" s="383" t="s">
        <v>2124</v>
      </c>
      <c r="S105" s="442" t="s">
        <v>2180</v>
      </c>
      <c r="T105" s="443" t="s">
        <v>1044</v>
      </c>
      <c r="U105" s="444"/>
      <c r="V105" s="445"/>
      <c r="W105" s="406"/>
      <c r="X105" s="406"/>
      <c r="Y105" s="423"/>
      <c r="Z105" s="446" t="s">
        <v>1787</v>
      </c>
      <c r="AA105" s="434" t="s">
        <v>196</v>
      </c>
      <c r="AB105" s="447"/>
      <c r="AC105" s="426">
        <f t="shared" si="5"/>
        <v>0</v>
      </c>
      <c r="AD105" s="426">
        <f t="shared" si="6"/>
        <v>0</v>
      </c>
      <c r="AE105" s="426">
        <f t="shared" si="7"/>
        <v>0</v>
      </c>
      <c r="AF105" s="427"/>
      <c r="AG105" s="428"/>
      <c r="AH105" s="427"/>
    </row>
    <row r="106" ht="15" customHeight="1" spans="1:34">
      <c r="A106" s="406">
        <f t="shared" si="4"/>
        <v>105</v>
      </c>
      <c r="B106" s="434" t="s">
        <v>1677</v>
      </c>
      <c r="C106" s="435"/>
      <c r="D106" s="436" t="s">
        <v>2181</v>
      </c>
      <c r="E106" s="406"/>
      <c r="F106" s="437"/>
      <c r="G106" s="414" t="s">
        <v>1827</v>
      </c>
      <c r="H106" s="436" t="s">
        <v>2182</v>
      </c>
      <c r="I106" s="427" t="s">
        <v>2183</v>
      </c>
      <c r="J106" s="435"/>
      <c r="K106" s="438"/>
      <c r="L106" s="435"/>
      <c r="M106" s="414"/>
      <c r="N106" s="438"/>
      <c r="O106" s="439"/>
      <c r="P106" s="440" t="s">
        <v>2181</v>
      </c>
      <c r="Q106" s="441"/>
      <c r="R106" s="383" t="s">
        <v>2124</v>
      </c>
      <c r="S106" s="442" t="s">
        <v>663</v>
      </c>
      <c r="T106" s="443" t="s">
        <v>2184</v>
      </c>
      <c r="U106" s="444"/>
      <c r="V106" s="445"/>
      <c r="W106" s="406"/>
      <c r="X106" s="406"/>
      <c r="Y106" s="423"/>
      <c r="Z106" s="446" t="s">
        <v>985</v>
      </c>
      <c r="AA106" s="434" t="s">
        <v>190</v>
      </c>
      <c r="AB106" s="447"/>
      <c r="AC106" s="426">
        <f t="shared" si="5"/>
        <v>0</v>
      </c>
      <c r="AD106" s="426">
        <f t="shared" si="6"/>
        <v>0</v>
      </c>
      <c r="AE106" s="426">
        <f t="shared" si="7"/>
        <v>0</v>
      </c>
      <c r="AF106" s="427"/>
      <c r="AG106" s="428"/>
      <c r="AH106" s="427"/>
    </row>
    <row r="107" ht="15" customHeight="1" spans="1:34">
      <c r="A107" s="406">
        <f t="shared" si="4"/>
        <v>106</v>
      </c>
      <c r="B107" s="434" t="s">
        <v>1677</v>
      </c>
      <c r="C107" s="435"/>
      <c r="D107" s="436" t="s">
        <v>2185</v>
      </c>
      <c r="E107" s="406"/>
      <c r="F107" s="437"/>
      <c r="G107" s="436" t="s">
        <v>1797</v>
      </c>
      <c r="H107" s="436" t="s">
        <v>2186</v>
      </c>
      <c r="I107" s="427" t="s">
        <v>2187</v>
      </c>
      <c r="J107" s="435"/>
      <c r="K107" s="438"/>
      <c r="L107" s="435"/>
      <c r="M107" s="414"/>
      <c r="N107" s="438"/>
      <c r="O107" s="439"/>
      <c r="P107" s="440" t="s">
        <v>2185</v>
      </c>
      <c r="Q107" s="441"/>
      <c r="R107" s="383" t="s">
        <v>2124</v>
      </c>
      <c r="S107" s="442" t="s">
        <v>681</v>
      </c>
      <c r="T107" s="443" t="s">
        <v>2188</v>
      </c>
      <c r="U107" s="444"/>
      <c r="V107" s="445"/>
      <c r="W107" s="406"/>
      <c r="X107" s="406"/>
      <c r="Y107" s="423"/>
      <c r="Z107" s="446" t="s">
        <v>455</v>
      </c>
      <c r="AA107" s="434" t="s">
        <v>195</v>
      </c>
      <c r="AB107" s="447"/>
      <c r="AC107" s="426">
        <f t="shared" si="5"/>
        <v>0</v>
      </c>
      <c r="AD107" s="426">
        <f t="shared" si="6"/>
        <v>0</v>
      </c>
      <c r="AE107" s="426">
        <f t="shared" si="7"/>
        <v>0</v>
      </c>
      <c r="AF107" s="412"/>
      <c r="AG107" s="459"/>
      <c r="AH107" s="412"/>
    </row>
    <row r="108" ht="15" customHeight="1" spans="1:34">
      <c r="A108" s="406">
        <f t="shared" si="4"/>
        <v>107</v>
      </c>
      <c r="B108" s="434" t="s">
        <v>1721</v>
      </c>
      <c r="C108" s="435"/>
      <c r="D108" s="436" t="s">
        <v>2189</v>
      </c>
      <c r="E108" s="406"/>
      <c r="F108" s="437"/>
      <c r="G108" s="436" t="s">
        <v>2190</v>
      </c>
      <c r="H108" s="436" t="s">
        <v>2191</v>
      </c>
      <c r="I108" s="427" t="s">
        <v>2192</v>
      </c>
      <c r="J108" s="435"/>
      <c r="K108" s="438"/>
      <c r="L108" s="435"/>
      <c r="M108" s="414"/>
      <c r="N108" s="438"/>
      <c r="O108" s="439"/>
      <c r="P108" s="440" t="s">
        <v>2189</v>
      </c>
      <c r="Q108" s="441"/>
      <c r="R108" s="383" t="s">
        <v>332</v>
      </c>
      <c r="S108" s="442" t="s">
        <v>2193</v>
      </c>
      <c r="T108" s="443" t="s">
        <v>1466</v>
      </c>
      <c r="U108" s="444"/>
      <c r="V108" s="445"/>
      <c r="W108" s="406"/>
      <c r="X108" s="406"/>
      <c r="Y108" s="423"/>
      <c r="Z108" s="446" t="s">
        <v>249</v>
      </c>
      <c r="AA108" s="434" t="s">
        <v>208</v>
      </c>
      <c r="AB108" s="447"/>
      <c r="AC108" s="426">
        <f t="shared" si="5"/>
        <v>0</v>
      </c>
      <c r="AD108" s="426">
        <f t="shared" si="6"/>
        <v>0</v>
      </c>
      <c r="AE108" s="426">
        <f t="shared" si="7"/>
        <v>0</v>
      </c>
      <c r="AF108" s="427"/>
      <c r="AG108" s="428"/>
      <c r="AH108" s="427"/>
    </row>
    <row r="109" ht="15" customHeight="1" spans="1:34">
      <c r="A109" s="406">
        <f t="shared" si="4"/>
        <v>108</v>
      </c>
      <c r="B109" s="434" t="s">
        <v>1677</v>
      </c>
      <c r="C109" s="435"/>
      <c r="D109" s="436" t="s">
        <v>1471</v>
      </c>
      <c r="E109" s="406"/>
      <c r="F109" s="437"/>
      <c r="G109" s="436" t="s">
        <v>1854</v>
      </c>
      <c r="H109" s="436" t="s">
        <v>2194</v>
      </c>
      <c r="I109" s="427" t="s">
        <v>2195</v>
      </c>
      <c r="J109" s="435"/>
      <c r="K109" s="438"/>
      <c r="L109" s="435"/>
      <c r="M109" s="414" t="s">
        <v>1688</v>
      </c>
      <c r="N109" s="438"/>
      <c r="O109" s="439"/>
      <c r="P109" s="440" t="s">
        <v>1471</v>
      </c>
      <c r="Q109" s="441"/>
      <c r="R109" s="383" t="s">
        <v>332</v>
      </c>
      <c r="S109" s="442" t="s">
        <v>1794</v>
      </c>
      <c r="T109" s="443" t="s">
        <v>1470</v>
      </c>
      <c r="U109" s="444"/>
      <c r="V109" s="445"/>
      <c r="W109" s="406"/>
      <c r="X109" s="406"/>
      <c r="Y109" s="423"/>
      <c r="Z109" s="446" t="s">
        <v>660</v>
      </c>
      <c r="AA109" s="434" t="s">
        <v>243</v>
      </c>
      <c r="AB109" s="447"/>
      <c r="AC109" s="426">
        <f t="shared" si="5"/>
        <v>0</v>
      </c>
      <c r="AD109" s="426">
        <f t="shared" si="6"/>
        <v>0</v>
      </c>
      <c r="AE109" s="426">
        <f t="shared" si="7"/>
        <v>0</v>
      </c>
      <c r="AF109" s="427"/>
      <c r="AG109" s="428"/>
      <c r="AH109" s="427"/>
    </row>
    <row r="110" ht="15" customHeight="1" spans="1:34">
      <c r="A110" s="406">
        <f t="shared" si="4"/>
        <v>109</v>
      </c>
      <c r="B110" s="434" t="s">
        <v>1677</v>
      </c>
      <c r="C110" s="435"/>
      <c r="D110" s="436" t="s">
        <v>2196</v>
      </c>
      <c r="E110" s="406"/>
      <c r="F110" s="437"/>
      <c r="G110" s="436" t="s">
        <v>2197</v>
      </c>
      <c r="H110" s="436" t="s">
        <v>2198</v>
      </c>
      <c r="I110" s="427" t="s">
        <v>2199</v>
      </c>
      <c r="J110" s="435"/>
      <c r="K110" s="438"/>
      <c r="L110" s="435"/>
      <c r="M110" s="414" t="s">
        <v>1710</v>
      </c>
      <c r="N110" s="438"/>
      <c r="O110" s="439"/>
      <c r="P110" s="440" t="s">
        <v>2196</v>
      </c>
      <c r="Q110" s="441"/>
      <c r="R110" s="383" t="s">
        <v>327</v>
      </c>
      <c r="S110" s="442" t="s">
        <v>663</v>
      </c>
      <c r="T110" s="443" t="s">
        <v>2200</v>
      </c>
      <c r="U110" s="444"/>
      <c r="V110" s="445"/>
      <c r="W110" s="406"/>
      <c r="X110" s="406"/>
      <c r="Y110" s="423"/>
      <c r="Z110" s="446" t="s">
        <v>1765</v>
      </c>
      <c r="AA110" s="434" t="s">
        <v>176</v>
      </c>
      <c r="AB110" s="447" t="s">
        <v>1112</v>
      </c>
      <c r="AC110" s="426">
        <f t="shared" si="5"/>
        <v>0</v>
      </c>
      <c r="AD110" s="426">
        <f t="shared" si="6"/>
        <v>0</v>
      </c>
      <c r="AE110" s="426">
        <f t="shared" si="7"/>
        <v>0</v>
      </c>
      <c r="AF110" s="427"/>
      <c r="AG110" s="428"/>
      <c r="AH110" s="427"/>
    </row>
    <row r="111" ht="15" customHeight="1" spans="1:34">
      <c r="A111" s="406">
        <f t="shared" si="4"/>
        <v>110</v>
      </c>
      <c r="B111" s="434" t="s">
        <v>1677</v>
      </c>
      <c r="C111" s="435"/>
      <c r="D111" s="436" t="s">
        <v>1473</v>
      </c>
      <c r="E111" s="406"/>
      <c r="F111" s="437" t="s">
        <v>2201</v>
      </c>
      <c r="G111" s="436" t="s">
        <v>2202</v>
      </c>
      <c r="H111" s="436" t="s">
        <v>2203</v>
      </c>
      <c r="I111" s="427" t="s">
        <v>2204</v>
      </c>
      <c r="J111" s="435"/>
      <c r="K111" s="438"/>
      <c r="L111" s="435"/>
      <c r="M111" s="414"/>
      <c r="N111" s="438"/>
      <c r="O111" s="439"/>
      <c r="P111" s="440" t="s">
        <v>1473</v>
      </c>
      <c r="Q111" s="441"/>
      <c r="R111" s="383" t="s">
        <v>327</v>
      </c>
      <c r="S111" s="442" t="s">
        <v>712</v>
      </c>
      <c r="T111" s="443" t="s">
        <v>1472</v>
      </c>
      <c r="U111" s="444"/>
      <c r="V111" s="445"/>
      <c r="W111" s="406"/>
      <c r="X111" s="406"/>
      <c r="Y111" s="423"/>
      <c r="Z111" s="446" t="s">
        <v>263</v>
      </c>
      <c r="AA111" s="434" t="s">
        <v>266</v>
      </c>
      <c r="AB111" s="447"/>
      <c r="AC111" s="426">
        <f t="shared" si="5"/>
        <v>0</v>
      </c>
      <c r="AD111" s="426">
        <f t="shared" si="6"/>
        <v>0</v>
      </c>
      <c r="AE111" s="426">
        <f t="shared" si="7"/>
        <v>0</v>
      </c>
      <c r="AF111" s="427"/>
      <c r="AG111" s="428"/>
      <c r="AH111" s="427"/>
    </row>
    <row r="112" ht="15" customHeight="1" spans="1:34">
      <c r="A112" s="406">
        <f t="shared" si="4"/>
        <v>111</v>
      </c>
      <c r="B112" s="434" t="s">
        <v>1677</v>
      </c>
      <c r="C112" s="435"/>
      <c r="D112" s="436" t="s">
        <v>2205</v>
      </c>
      <c r="E112" s="406"/>
      <c r="F112" s="437"/>
      <c r="G112" s="436" t="s">
        <v>2206</v>
      </c>
      <c r="H112" s="436" t="s">
        <v>2207</v>
      </c>
      <c r="I112" s="427" t="s">
        <v>2208</v>
      </c>
      <c r="J112" s="435"/>
      <c r="K112" s="438"/>
      <c r="L112" s="435"/>
      <c r="M112" s="414"/>
      <c r="N112" s="438"/>
      <c r="O112" s="439"/>
      <c r="P112" s="440" t="s">
        <v>2205</v>
      </c>
      <c r="Q112" s="441"/>
      <c r="R112" s="383" t="s">
        <v>332</v>
      </c>
      <c r="S112" s="442" t="s">
        <v>663</v>
      </c>
      <c r="T112" s="443" t="s">
        <v>2209</v>
      </c>
      <c r="U112" s="444"/>
      <c r="V112" s="445"/>
      <c r="W112" s="406"/>
      <c r="X112" s="406"/>
      <c r="Y112" s="423"/>
      <c r="Z112" s="446" t="s">
        <v>207</v>
      </c>
      <c r="AA112" s="434" t="s">
        <v>208</v>
      </c>
      <c r="AB112" s="447"/>
      <c r="AC112" s="426">
        <f t="shared" si="5"/>
        <v>0</v>
      </c>
      <c r="AD112" s="426">
        <f t="shared" si="6"/>
        <v>0</v>
      </c>
      <c r="AE112" s="426">
        <f t="shared" si="7"/>
        <v>0</v>
      </c>
      <c r="AF112" s="427"/>
      <c r="AG112" s="428"/>
      <c r="AH112" s="427"/>
    </row>
    <row r="113" ht="15" customHeight="1" spans="1:34">
      <c r="A113" s="406">
        <f t="shared" si="4"/>
        <v>112</v>
      </c>
      <c r="B113" s="434" t="s">
        <v>1721</v>
      </c>
      <c r="C113" s="435"/>
      <c r="D113" s="436" t="s">
        <v>2210</v>
      </c>
      <c r="E113" s="406"/>
      <c r="F113" s="437"/>
      <c r="G113" s="436" t="s">
        <v>1809</v>
      </c>
      <c r="H113" s="436" t="s">
        <v>2211</v>
      </c>
      <c r="I113" s="427" t="s">
        <v>2212</v>
      </c>
      <c r="J113" s="435"/>
      <c r="K113" s="438"/>
      <c r="L113" s="435"/>
      <c r="M113" s="414" t="s">
        <v>1739</v>
      </c>
      <c r="N113" s="438"/>
      <c r="O113" s="439"/>
      <c r="P113" s="440" t="s">
        <v>2210</v>
      </c>
      <c r="Q113" s="441"/>
      <c r="R113" s="383" t="s">
        <v>327</v>
      </c>
      <c r="S113" s="442" t="s">
        <v>712</v>
      </c>
      <c r="T113" s="443" t="s">
        <v>2213</v>
      </c>
      <c r="U113" s="444"/>
      <c r="V113" s="445"/>
      <c r="W113" s="406"/>
      <c r="X113" s="406"/>
      <c r="Y113" s="423"/>
      <c r="Z113" s="446" t="s">
        <v>1765</v>
      </c>
      <c r="AA113" s="434" t="s">
        <v>182</v>
      </c>
      <c r="AB113" s="447" t="s">
        <v>1112</v>
      </c>
      <c r="AC113" s="426">
        <f t="shared" si="5"/>
        <v>0</v>
      </c>
      <c r="AD113" s="426">
        <f t="shared" si="6"/>
        <v>0</v>
      </c>
      <c r="AE113" s="426">
        <f t="shared" si="7"/>
        <v>0</v>
      </c>
      <c r="AF113" s="427"/>
      <c r="AG113" s="428"/>
      <c r="AH113" s="427"/>
    </row>
    <row r="114" ht="15" customHeight="1" spans="1:34">
      <c r="A114" s="406">
        <f t="shared" si="4"/>
        <v>113</v>
      </c>
      <c r="B114" s="407" t="s">
        <v>1677</v>
      </c>
      <c r="C114" s="408"/>
      <c r="D114" s="409" t="s">
        <v>2214</v>
      </c>
      <c r="E114" s="410"/>
      <c r="F114" s="411" t="s">
        <v>2215</v>
      </c>
      <c r="G114" s="409" t="s">
        <v>1791</v>
      </c>
      <c r="H114" s="409" t="s">
        <v>2216</v>
      </c>
      <c r="I114" s="412" t="s">
        <v>2217</v>
      </c>
      <c r="J114" s="408"/>
      <c r="K114" s="413"/>
      <c r="L114" s="408"/>
      <c r="M114" s="495"/>
      <c r="N114" s="413"/>
      <c r="O114" s="415"/>
      <c r="P114" s="416" t="s">
        <v>2214</v>
      </c>
      <c r="Q114" s="417"/>
      <c r="R114" s="418" t="s">
        <v>332</v>
      </c>
      <c r="S114" s="419" t="s">
        <v>1794</v>
      </c>
      <c r="T114" s="420" t="s">
        <v>1483</v>
      </c>
      <c r="U114" s="421"/>
      <c r="V114" s="422"/>
      <c r="W114" s="410"/>
      <c r="X114" s="410"/>
      <c r="Y114" s="423"/>
      <c r="Z114" s="424" t="s">
        <v>263</v>
      </c>
      <c r="AA114" s="407" t="s">
        <v>266</v>
      </c>
      <c r="AB114" s="425"/>
      <c r="AC114" s="426">
        <f t="shared" si="5"/>
        <v>0</v>
      </c>
      <c r="AD114" s="426">
        <f t="shared" si="6"/>
        <v>0</v>
      </c>
      <c r="AE114" s="426">
        <f t="shared" si="7"/>
        <v>0</v>
      </c>
      <c r="AF114" s="427"/>
      <c r="AG114" s="428"/>
      <c r="AH114" s="427"/>
    </row>
    <row r="115" ht="15" customHeight="1" spans="1:34">
      <c r="A115" s="406">
        <f t="shared" si="4"/>
        <v>114</v>
      </c>
      <c r="B115" s="434" t="s">
        <v>1677</v>
      </c>
      <c r="C115" s="435"/>
      <c r="D115" s="436" t="s">
        <v>1485</v>
      </c>
      <c r="E115" s="406"/>
      <c r="F115" s="437"/>
      <c r="G115" s="436" t="s">
        <v>1777</v>
      </c>
      <c r="H115" s="436" t="s">
        <v>2218</v>
      </c>
      <c r="I115" s="427" t="s">
        <v>2219</v>
      </c>
      <c r="J115" s="435"/>
      <c r="K115" s="438"/>
      <c r="L115" s="435"/>
      <c r="M115" s="414"/>
      <c r="N115" s="438"/>
      <c r="O115" s="439"/>
      <c r="P115" s="440" t="s">
        <v>1485</v>
      </c>
      <c r="Q115" s="441"/>
      <c r="R115" s="383" t="s">
        <v>332</v>
      </c>
      <c r="S115" s="442" t="s">
        <v>663</v>
      </c>
      <c r="T115" s="443" t="s">
        <v>1039</v>
      </c>
      <c r="U115" s="444"/>
      <c r="V115" s="445"/>
      <c r="W115" s="406"/>
      <c r="X115" s="406"/>
      <c r="Y115" s="423"/>
      <c r="Z115" s="446" t="s">
        <v>660</v>
      </c>
      <c r="AA115" s="434" t="s">
        <v>243</v>
      </c>
      <c r="AB115" s="447"/>
      <c r="AC115" s="426">
        <f t="shared" si="5"/>
        <v>0</v>
      </c>
      <c r="AD115" s="426">
        <f t="shared" si="6"/>
        <v>0</v>
      </c>
      <c r="AE115" s="426">
        <f t="shared" si="7"/>
        <v>0</v>
      </c>
      <c r="AF115" s="427"/>
      <c r="AG115" s="428"/>
      <c r="AH115" s="427"/>
    </row>
    <row r="116" ht="15" customHeight="1" spans="1:34">
      <c r="A116" s="406">
        <f t="shared" si="4"/>
        <v>115</v>
      </c>
      <c r="B116" s="434" t="s">
        <v>1677</v>
      </c>
      <c r="C116" s="435"/>
      <c r="D116" s="436" t="s">
        <v>2220</v>
      </c>
      <c r="E116" s="406"/>
      <c r="F116" s="437"/>
      <c r="G116" s="436" t="s">
        <v>1715</v>
      </c>
      <c r="H116" s="436" t="s">
        <v>2221</v>
      </c>
      <c r="I116" s="427" t="s">
        <v>2222</v>
      </c>
      <c r="J116" s="435"/>
      <c r="K116" s="438"/>
      <c r="L116" s="435"/>
      <c r="M116" s="414"/>
      <c r="N116" s="438"/>
      <c r="O116" s="439"/>
      <c r="P116" s="440" t="s">
        <v>2220</v>
      </c>
      <c r="Q116" s="441"/>
      <c r="R116" s="383" t="s">
        <v>327</v>
      </c>
      <c r="S116" s="442" t="s">
        <v>663</v>
      </c>
      <c r="T116" s="443" t="s">
        <v>2223</v>
      </c>
      <c r="U116" s="444"/>
      <c r="V116" s="445"/>
      <c r="W116" s="406"/>
      <c r="X116" s="406"/>
      <c r="Y116" s="423"/>
      <c r="Z116" s="446" t="s">
        <v>207</v>
      </c>
      <c r="AA116" s="434" t="s">
        <v>208</v>
      </c>
      <c r="AB116" s="447"/>
      <c r="AC116" s="426">
        <f t="shared" si="5"/>
        <v>0</v>
      </c>
      <c r="AD116" s="426">
        <f t="shared" si="6"/>
        <v>0</v>
      </c>
      <c r="AE116" s="426">
        <f t="shared" si="7"/>
        <v>0</v>
      </c>
      <c r="AF116" s="427"/>
      <c r="AG116" s="428"/>
      <c r="AH116" s="427"/>
    </row>
    <row r="117" ht="15" customHeight="1" spans="1:34">
      <c r="A117" s="406">
        <f t="shared" si="4"/>
        <v>116</v>
      </c>
      <c r="B117" s="434" t="s">
        <v>1721</v>
      </c>
      <c r="C117" s="435"/>
      <c r="D117" s="436" t="s">
        <v>2224</v>
      </c>
      <c r="E117" s="406"/>
      <c r="F117" s="437"/>
      <c r="G117" s="436" t="s">
        <v>2006</v>
      </c>
      <c r="H117" s="436" t="s">
        <v>2225</v>
      </c>
      <c r="I117" s="427" t="s">
        <v>2226</v>
      </c>
      <c r="J117" s="435"/>
      <c r="K117" s="438"/>
      <c r="L117" s="435"/>
      <c r="M117" s="414" t="s">
        <v>1739</v>
      </c>
      <c r="N117" s="438"/>
      <c r="O117" s="439"/>
      <c r="P117" s="440" t="s">
        <v>2224</v>
      </c>
      <c r="Q117" s="441"/>
      <c r="R117" s="383" t="s">
        <v>332</v>
      </c>
      <c r="S117" s="442" t="s">
        <v>663</v>
      </c>
      <c r="T117" s="443" t="s">
        <v>1040</v>
      </c>
      <c r="U117" s="444"/>
      <c r="V117" s="445"/>
      <c r="W117" s="406"/>
      <c r="X117" s="406"/>
      <c r="Y117" s="423"/>
      <c r="Z117" s="446" t="s">
        <v>1741</v>
      </c>
      <c r="AA117" s="434" t="s">
        <v>184</v>
      </c>
      <c r="AB117" s="447" t="s">
        <v>1112</v>
      </c>
      <c r="AC117" s="426">
        <f t="shared" si="5"/>
        <v>0</v>
      </c>
      <c r="AD117" s="426">
        <f t="shared" si="6"/>
        <v>0</v>
      </c>
      <c r="AE117" s="426">
        <f t="shared" si="7"/>
        <v>0</v>
      </c>
      <c r="AF117" s="427"/>
      <c r="AG117" s="428"/>
      <c r="AH117" s="427"/>
    </row>
    <row r="118" ht="15" customHeight="1" spans="1:34">
      <c r="A118" s="406">
        <f t="shared" si="4"/>
        <v>117</v>
      </c>
      <c r="B118" s="434" t="s">
        <v>1677</v>
      </c>
      <c r="C118" s="435"/>
      <c r="D118" s="436" t="s">
        <v>2227</v>
      </c>
      <c r="E118" s="406"/>
      <c r="F118" s="437" t="s">
        <v>2228</v>
      </c>
      <c r="G118" s="436" t="s">
        <v>2229</v>
      </c>
      <c r="H118" s="436" t="s">
        <v>2230</v>
      </c>
      <c r="I118" s="427" t="s">
        <v>2231</v>
      </c>
      <c r="J118" s="435"/>
      <c r="K118" s="438"/>
      <c r="L118" s="435"/>
      <c r="M118" s="414" t="s">
        <v>1688</v>
      </c>
      <c r="N118" s="438"/>
      <c r="O118" s="439"/>
      <c r="P118" s="440" t="s">
        <v>2227</v>
      </c>
      <c r="Q118" s="441"/>
      <c r="R118" s="383" t="s">
        <v>327</v>
      </c>
      <c r="S118" s="442" t="s">
        <v>681</v>
      </c>
      <c r="T118" s="443" t="s">
        <v>2232</v>
      </c>
      <c r="U118" s="444"/>
      <c r="V118" s="445"/>
      <c r="W118" s="406"/>
      <c r="X118" s="406"/>
      <c r="Y118" s="423"/>
      <c r="Z118" s="446" t="s">
        <v>1765</v>
      </c>
      <c r="AA118" s="434" t="s">
        <v>179</v>
      </c>
      <c r="AB118" s="447" t="s">
        <v>1112</v>
      </c>
      <c r="AC118" s="426">
        <f t="shared" si="5"/>
        <v>0</v>
      </c>
      <c r="AD118" s="426">
        <f t="shared" si="6"/>
        <v>0</v>
      </c>
      <c r="AE118" s="426">
        <f t="shared" si="7"/>
        <v>0</v>
      </c>
      <c r="AF118" s="427"/>
      <c r="AG118" s="428"/>
      <c r="AH118" s="427"/>
    </row>
    <row r="119" ht="15" customHeight="1" spans="1:34">
      <c r="A119" s="406">
        <f t="shared" si="4"/>
        <v>118</v>
      </c>
      <c r="B119" s="500" t="s">
        <v>1677</v>
      </c>
      <c r="C119" s="435"/>
      <c r="D119" s="436" t="s">
        <v>2233</v>
      </c>
      <c r="E119" s="406"/>
      <c r="F119" s="437" t="s">
        <v>2234</v>
      </c>
      <c r="G119" s="436" t="s">
        <v>1783</v>
      </c>
      <c r="H119" s="436" t="s">
        <v>2235</v>
      </c>
      <c r="I119" s="427" t="s">
        <v>2236</v>
      </c>
      <c r="J119" s="435"/>
      <c r="K119" s="438"/>
      <c r="L119" s="435"/>
      <c r="M119" s="414" t="s">
        <v>1688</v>
      </c>
      <c r="N119" s="438"/>
      <c r="O119" s="439"/>
      <c r="P119" s="440" t="s">
        <v>2233</v>
      </c>
      <c r="Q119" s="441"/>
      <c r="R119" s="383" t="s">
        <v>327</v>
      </c>
      <c r="S119" s="442" t="s">
        <v>712</v>
      </c>
      <c r="T119" s="443" t="s">
        <v>2237</v>
      </c>
      <c r="U119" s="444"/>
      <c r="V119" s="445"/>
      <c r="W119" s="406"/>
      <c r="X119" s="406"/>
      <c r="Y119" s="423"/>
      <c r="Z119" s="446" t="s">
        <v>1765</v>
      </c>
      <c r="AA119" s="434" t="s">
        <v>179</v>
      </c>
      <c r="AB119" s="447" t="s">
        <v>1112</v>
      </c>
      <c r="AC119" s="426">
        <f t="shared" si="5"/>
        <v>0</v>
      </c>
      <c r="AD119" s="426">
        <f t="shared" si="6"/>
        <v>0</v>
      </c>
      <c r="AE119" s="426">
        <f t="shared" si="7"/>
        <v>0</v>
      </c>
      <c r="AF119" s="427"/>
      <c r="AG119" s="428"/>
      <c r="AH119" s="427"/>
    </row>
    <row r="120" ht="15" customHeight="1" spans="1:34">
      <c r="A120" s="406">
        <f t="shared" si="4"/>
        <v>119</v>
      </c>
      <c r="B120" s="500" t="s">
        <v>1677</v>
      </c>
      <c r="C120" s="435"/>
      <c r="D120" s="436" t="s">
        <v>709</v>
      </c>
      <c r="E120" s="406" t="s">
        <v>2238</v>
      </c>
      <c r="F120" s="437" t="s">
        <v>2239</v>
      </c>
      <c r="G120" s="436" t="s">
        <v>1715</v>
      </c>
      <c r="H120" s="436" t="s">
        <v>2240</v>
      </c>
      <c r="I120" s="427" t="s">
        <v>2241</v>
      </c>
      <c r="J120" s="435"/>
      <c r="K120" s="438"/>
      <c r="L120" s="435"/>
      <c r="M120" s="414" t="s">
        <v>1710</v>
      </c>
      <c r="N120" s="438"/>
      <c r="O120" s="439"/>
      <c r="P120" s="440" t="s">
        <v>709</v>
      </c>
      <c r="Q120" s="441" t="s">
        <v>2238</v>
      </c>
      <c r="R120" s="383" t="s">
        <v>327</v>
      </c>
      <c r="S120" s="442" t="s">
        <v>681</v>
      </c>
      <c r="T120" s="443" t="s">
        <v>710</v>
      </c>
      <c r="U120" s="444"/>
      <c r="V120" s="445"/>
      <c r="W120" s="406"/>
      <c r="X120" s="406"/>
      <c r="Y120" s="423"/>
      <c r="Z120" s="446" t="s">
        <v>263</v>
      </c>
      <c r="AA120" s="434" t="s">
        <v>266</v>
      </c>
      <c r="AB120" s="447"/>
      <c r="AC120" s="426">
        <f t="shared" si="5"/>
        <v>0</v>
      </c>
      <c r="AD120" s="426">
        <f t="shared" si="6"/>
        <v>0</v>
      </c>
      <c r="AE120" s="426">
        <f t="shared" si="7"/>
        <v>0</v>
      </c>
      <c r="AF120" s="427"/>
      <c r="AG120" s="428"/>
      <c r="AH120" s="427"/>
    </row>
    <row r="121" ht="15" customHeight="1" spans="1:34">
      <c r="A121" s="410">
        <f t="shared" si="4"/>
        <v>120</v>
      </c>
      <c r="B121" s="407" t="s">
        <v>1721</v>
      </c>
      <c r="C121" s="408"/>
      <c r="D121" s="409" t="s">
        <v>2242</v>
      </c>
      <c r="E121" s="410"/>
      <c r="F121" s="411" t="s">
        <v>2243</v>
      </c>
      <c r="G121" s="409" t="s">
        <v>1797</v>
      </c>
      <c r="H121" s="409" t="s">
        <v>2244</v>
      </c>
      <c r="I121" s="412" t="s">
        <v>2245</v>
      </c>
      <c r="J121" s="408"/>
      <c r="K121" s="413"/>
      <c r="L121" s="408"/>
      <c r="M121" s="495" t="s">
        <v>2246</v>
      </c>
      <c r="N121" s="413"/>
      <c r="O121" s="415"/>
      <c r="P121" s="416" t="s">
        <v>2242</v>
      </c>
      <c r="Q121" s="417"/>
      <c r="R121" s="418" t="s">
        <v>332</v>
      </c>
      <c r="S121" s="419" t="s">
        <v>663</v>
      </c>
      <c r="T121" s="420" t="s">
        <v>2247</v>
      </c>
      <c r="U121" s="421"/>
      <c r="V121" s="422"/>
      <c r="W121" s="410"/>
      <c r="X121" s="410"/>
      <c r="Y121" s="501"/>
      <c r="Z121" s="424" t="s">
        <v>263</v>
      </c>
      <c r="AA121" s="407" t="s">
        <v>266</v>
      </c>
      <c r="AB121" s="425"/>
      <c r="AC121" s="502">
        <f t="shared" si="5"/>
        <v>0</v>
      </c>
      <c r="AD121" s="502">
        <f t="shared" si="6"/>
        <v>0</v>
      </c>
      <c r="AE121" s="502">
        <f t="shared" si="7"/>
        <v>0</v>
      </c>
      <c r="AF121" s="412" t="s">
        <v>2248</v>
      </c>
      <c r="AG121" s="428"/>
      <c r="AH121" s="427"/>
    </row>
    <row r="122" ht="15" customHeight="1" spans="1:34">
      <c r="A122" s="406">
        <f t="shared" si="4"/>
        <v>121</v>
      </c>
      <c r="B122" s="434" t="s">
        <v>1677</v>
      </c>
      <c r="C122" s="435"/>
      <c r="D122" s="436" t="s">
        <v>2249</v>
      </c>
      <c r="E122" s="406"/>
      <c r="F122" s="437"/>
      <c r="G122" s="436" t="s">
        <v>2250</v>
      </c>
      <c r="H122" s="436" t="s">
        <v>2251</v>
      </c>
      <c r="I122" s="427" t="s">
        <v>2252</v>
      </c>
      <c r="J122" s="435"/>
      <c r="K122" s="438"/>
      <c r="L122" s="435"/>
      <c r="M122" s="414" t="s">
        <v>1688</v>
      </c>
      <c r="N122" s="438"/>
      <c r="O122" s="439"/>
      <c r="P122" s="440" t="s">
        <v>2249</v>
      </c>
      <c r="Q122" s="441"/>
      <c r="R122" s="383" t="s">
        <v>332</v>
      </c>
      <c r="S122" s="442" t="s">
        <v>663</v>
      </c>
      <c r="T122" s="443" t="s">
        <v>2253</v>
      </c>
      <c r="U122" s="444"/>
      <c r="V122" s="445"/>
      <c r="W122" s="406"/>
      <c r="X122" s="406"/>
      <c r="Y122" s="423"/>
      <c r="Z122" s="446" t="s">
        <v>1765</v>
      </c>
      <c r="AA122" s="434" t="s">
        <v>176</v>
      </c>
      <c r="AB122" s="447" t="s">
        <v>1112</v>
      </c>
      <c r="AC122" s="426">
        <f t="shared" si="5"/>
        <v>0</v>
      </c>
      <c r="AD122" s="426">
        <f t="shared" si="6"/>
        <v>0</v>
      </c>
      <c r="AE122" s="426">
        <f t="shared" si="7"/>
        <v>0</v>
      </c>
      <c r="AF122" s="427"/>
      <c r="AG122" s="428"/>
      <c r="AH122" s="427"/>
    </row>
    <row r="123" ht="15" customHeight="1" spans="1:34">
      <c r="A123" s="406">
        <f t="shared" si="4"/>
        <v>122</v>
      </c>
      <c r="B123" s="434" t="s">
        <v>1677</v>
      </c>
      <c r="C123" s="435"/>
      <c r="D123" s="436" t="s">
        <v>2254</v>
      </c>
      <c r="E123" s="406"/>
      <c r="F123" s="437"/>
      <c r="G123" s="436" t="s">
        <v>2202</v>
      </c>
      <c r="H123" s="436" t="s">
        <v>2255</v>
      </c>
      <c r="I123" s="427" t="s">
        <v>2256</v>
      </c>
      <c r="J123" s="435"/>
      <c r="K123" s="438"/>
      <c r="L123" s="435"/>
      <c r="M123" s="414"/>
      <c r="N123" s="438"/>
      <c r="O123" s="439"/>
      <c r="P123" s="440" t="s">
        <v>2254</v>
      </c>
      <c r="Q123" s="441"/>
      <c r="R123" s="383" t="s">
        <v>327</v>
      </c>
      <c r="S123" s="442" t="s">
        <v>712</v>
      </c>
      <c r="T123" s="443" t="s">
        <v>2257</v>
      </c>
      <c r="U123" s="444"/>
      <c r="V123" s="445"/>
      <c r="W123" s="406"/>
      <c r="X123" s="406"/>
      <c r="Y123" s="423"/>
      <c r="Z123" s="446" t="s">
        <v>207</v>
      </c>
      <c r="AA123" s="434" t="s">
        <v>208</v>
      </c>
      <c r="AB123" s="447"/>
      <c r="AC123" s="426">
        <f t="shared" si="5"/>
        <v>0</v>
      </c>
      <c r="AD123" s="426">
        <f t="shared" si="6"/>
        <v>0</v>
      </c>
      <c r="AE123" s="426">
        <f t="shared" si="7"/>
        <v>0</v>
      </c>
      <c r="AF123" s="427"/>
      <c r="AG123" s="428"/>
      <c r="AH123" s="427"/>
    </row>
    <row r="124" ht="15" customHeight="1" spans="1:34">
      <c r="A124" s="406">
        <f t="shared" si="4"/>
        <v>123</v>
      </c>
      <c r="B124" s="434" t="s">
        <v>1677</v>
      </c>
      <c r="C124" s="435"/>
      <c r="D124" s="436" t="s">
        <v>2258</v>
      </c>
      <c r="E124" s="406"/>
      <c r="F124" s="437"/>
      <c r="G124" s="436" t="s">
        <v>1715</v>
      </c>
      <c r="H124" s="436" t="s">
        <v>2259</v>
      </c>
      <c r="I124" s="427" t="s">
        <v>2260</v>
      </c>
      <c r="J124" s="435"/>
      <c r="K124" s="438"/>
      <c r="L124" s="435"/>
      <c r="M124" s="414"/>
      <c r="N124" s="438"/>
      <c r="O124" s="439"/>
      <c r="P124" s="436" t="s">
        <v>2258</v>
      </c>
      <c r="Q124" s="406"/>
      <c r="R124" s="383" t="s">
        <v>327</v>
      </c>
      <c r="S124" s="442" t="s">
        <v>712</v>
      </c>
      <c r="T124" s="443" t="s">
        <v>2261</v>
      </c>
      <c r="U124" s="444"/>
      <c r="V124" s="445"/>
      <c r="W124" s="406"/>
      <c r="X124" s="406"/>
      <c r="Y124" s="423"/>
      <c r="Z124" s="446" t="s">
        <v>1765</v>
      </c>
      <c r="AA124" s="434" t="s">
        <v>177</v>
      </c>
      <c r="AB124" s="447"/>
      <c r="AC124" s="426">
        <f t="shared" si="5"/>
        <v>0</v>
      </c>
      <c r="AD124" s="426">
        <f t="shared" si="6"/>
        <v>0</v>
      </c>
      <c r="AE124" s="426">
        <f t="shared" si="7"/>
        <v>0</v>
      </c>
      <c r="AF124" s="427"/>
      <c r="AG124" s="428"/>
      <c r="AH124" s="427"/>
    </row>
    <row r="125" ht="15" customHeight="1" spans="1:34">
      <c r="A125" s="406">
        <f t="shared" si="4"/>
        <v>124</v>
      </c>
      <c r="B125" s="434" t="s">
        <v>1677</v>
      </c>
      <c r="C125" s="435"/>
      <c r="D125" s="436" t="s">
        <v>1537</v>
      </c>
      <c r="E125" s="406"/>
      <c r="F125" s="437"/>
      <c r="G125" s="436" t="s">
        <v>2262</v>
      </c>
      <c r="H125" s="436" t="s">
        <v>2263</v>
      </c>
      <c r="I125" s="427" t="s">
        <v>2262</v>
      </c>
      <c r="J125" s="435"/>
      <c r="K125" s="438"/>
      <c r="L125" s="435"/>
      <c r="M125" s="495"/>
      <c r="N125" s="438"/>
      <c r="O125" s="439"/>
      <c r="P125" s="440" t="s">
        <v>1537</v>
      </c>
      <c r="Q125" s="441"/>
      <c r="R125" s="383" t="s">
        <v>332</v>
      </c>
      <c r="S125" s="442" t="s">
        <v>681</v>
      </c>
      <c r="T125" s="443" t="s">
        <v>2264</v>
      </c>
      <c r="U125" s="444"/>
      <c r="V125" s="445"/>
      <c r="W125" s="406"/>
      <c r="X125" s="406"/>
      <c r="Y125" s="423"/>
      <c r="Z125" s="446" t="s">
        <v>667</v>
      </c>
      <c r="AA125" s="434" t="s">
        <v>259</v>
      </c>
      <c r="AB125" s="447"/>
      <c r="AC125" s="426">
        <f t="shared" si="5"/>
        <v>0</v>
      </c>
      <c r="AD125" s="426">
        <f t="shared" si="6"/>
        <v>0</v>
      </c>
      <c r="AE125" s="426">
        <f t="shared" si="7"/>
        <v>0</v>
      </c>
      <c r="AF125" s="427"/>
      <c r="AG125" s="428"/>
      <c r="AH125" s="427"/>
    </row>
    <row r="126" ht="15" customHeight="1" spans="1:34">
      <c r="A126" s="406">
        <f t="shared" si="4"/>
        <v>125</v>
      </c>
      <c r="B126" s="434" t="s">
        <v>1721</v>
      </c>
      <c r="C126" s="435"/>
      <c r="D126" s="436" t="s">
        <v>2265</v>
      </c>
      <c r="E126" s="406"/>
      <c r="F126" s="437"/>
      <c r="G126" s="436" t="s">
        <v>1844</v>
      </c>
      <c r="H126" s="436" t="s">
        <v>2266</v>
      </c>
      <c r="I126" s="427" t="s">
        <v>2267</v>
      </c>
      <c r="J126" s="435"/>
      <c r="K126" s="438"/>
      <c r="L126" s="435"/>
      <c r="M126" s="414"/>
      <c r="N126" s="438"/>
      <c r="O126" s="439"/>
      <c r="P126" s="440" t="s">
        <v>2265</v>
      </c>
      <c r="Q126" s="441"/>
      <c r="R126" s="383" t="s">
        <v>327</v>
      </c>
      <c r="S126" s="442" t="s">
        <v>681</v>
      </c>
      <c r="T126" s="443" t="s">
        <v>2268</v>
      </c>
      <c r="U126" s="444"/>
      <c r="V126" s="445"/>
      <c r="W126" s="406"/>
      <c r="X126" s="406"/>
      <c r="Y126" s="423"/>
      <c r="Z126" s="446" t="s">
        <v>207</v>
      </c>
      <c r="AA126" s="434" t="s">
        <v>208</v>
      </c>
      <c r="AB126" s="447"/>
      <c r="AC126" s="426">
        <f t="shared" si="5"/>
        <v>0</v>
      </c>
      <c r="AD126" s="426">
        <f t="shared" si="6"/>
        <v>0</v>
      </c>
      <c r="AE126" s="426">
        <f t="shared" si="7"/>
        <v>0</v>
      </c>
      <c r="AF126" s="427"/>
      <c r="AG126" s="428"/>
      <c r="AH126" s="427"/>
    </row>
    <row r="127" ht="15" customHeight="1" spans="1:34">
      <c r="A127" s="406">
        <f t="shared" si="4"/>
        <v>126</v>
      </c>
      <c r="B127" s="434" t="s">
        <v>1677</v>
      </c>
      <c r="C127" s="435"/>
      <c r="D127" s="436" t="s">
        <v>2269</v>
      </c>
      <c r="E127" s="406"/>
      <c r="F127" s="437"/>
      <c r="G127" s="436" t="s">
        <v>1854</v>
      </c>
      <c r="H127" s="436" t="s">
        <v>2270</v>
      </c>
      <c r="I127" s="427" t="s">
        <v>2271</v>
      </c>
      <c r="J127" s="435"/>
      <c r="K127" s="438"/>
      <c r="L127" s="435"/>
      <c r="M127" s="414"/>
      <c r="N127" s="438"/>
      <c r="O127" s="439"/>
      <c r="P127" s="440" t="s">
        <v>2269</v>
      </c>
      <c r="Q127" s="441"/>
      <c r="R127" s="383" t="s">
        <v>332</v>
      </c>
      <c r="S127" s="442" t="s">
        <v>681</v>
      </c>
      <c r="T127" s="443" t="s">
        <v>2272</v>
      </c>
      <c r="U127" s="444"/>
      <c r="V127" s="445"/>
      <c r="W127" s="406"/>
      <c r="X127" s="406"/>
      <c r="Y127" s="423"/>
      <c r="Z127" s="446" t="s">
        <v>1765</v>
      </c>
      <c r="AA127" s="434" t="s">
        <v>181</v>
      </c>
      <c r="AB127" s="447"/>
      <c r="AC127" s="426">
        <f t="shared" si="5"/>
        <v>0</v>
      </c>
      <c r="AD127" s="426">
        <f t="shared" si="6"/>
        <v>0</v>
      </c>
      <c r="AE127" s="426">
        <f t="shared" si="7"/>
        <v>0</v>
      </c>
      <c r="AF127" s="427"/>
      <c r="AG127" s="428"/>
      <c r="AH127" s="427"/>
    </row>
    <row r="128" ht="15" customHeight="1" spans="1:34">
      <c r="A128" s="406">
        <f t="shared" si="4"/>
        <v>127</v>
      </c>
      <c r="B128" s="434" t="s">
        <v>1677</v>
      </c>
      <c r="C128" s="435"/>
      <c r="D128" s="436" t="s">
        <v>1531</v>
      </c>
      <c r="E128" s="406"/>
      <c r="F128" s="437"/>
      <c r="G128" s="436" t="s">
        <v>1797</v>
      </c>
      <c r="H128" s="436" t="s">
        <v>2273</v>
      </c>
      <c r="I128" s="427" t="s">
        <v>2274</v>
      </c>
      <c r="J128" s="435"/>
      <c r="K128" s="438"/>
      <c r="L128" s="435"/>
      <c r="M128" s="414"/>
      <c r="N128" s="438"/>
      <c r="O128" s="439"/>
      <c r="P128" s="440" t="s">
        <v>1531</v>
      </c>
      <c r="Q128" s="441"/>
      <c r="R128" s="383" t="s">
        <v>332</v>
      </c>
      <c r="S128" s="442" t="s">
        <v>1794</v>
      </c>
      <c r="T128" s="443" t="s">
        <v>1530</v>
      </c>
      <c r="U128" s="444"/>
      <c r="V128" s="445"/>
      <c r="W128" s="406"/>
      <c r="X128" s="406"/>
      <c r="Y128" s="423"/>
      <c r="Z128" s="446" t="s">
        <v>667</v>
      </c>
      <c r="AA128" s="434" t="s">
        <v>256</v>
      </c>
      <c r="AB128" s="447"/>
      <c r="AC128" s="426">
        <f t="shared" si="5"/>
        <v>0</v>
      </c>
      <c r="AD128" s="426">
        <f t="shared" si="6"/>
        <v>0</v>
      </c>
      <c r="AE128" s="426">
        <f t="shared" si="7"/>
        <v>0</v>
      </c>
      <c r="AF128" s="427"/>
      <c r="AG128" s="428"/>
      <c r="AH128" s="427"/>
    </row>
    <row r="129" ht="15" customHeight="1" spans="1:34">
      <c r="A129" s="406">
        <f t="shared" si="4"/>
        <v>128</v>
      </c>
      <c r="B129" s="434" t="s">
        <v>1677</v>
      </c>
      <c r="C129" s="435"/>
      <c r="D129" s="503" t="s">
        <v>2275</v>
      </c>
      <c r="E129" s="406"/>
      <c r="F129" s="437" t="s">
        <v>2276</v>
      </c>
      <c r="G129" s="436" t="s">
        <v>2016</v>
      </c>
      <c r="H129" s="436" t="s">
        <v>2277</v>
      </c>
      <c r="I129" s="427" t="s">
        <v>2278</v>
      </c>
      <c r="J129" s="435"/>
      <c r="K129" s="438"/>
      <c r="L129" s="435"/>
      <c r="M129" s="414" t="s">
        <v>1710</v>
      </c>
      <c r="N129" s="438"/>
      <c r="O129" s="439"/>
      <c r="P129" s="440" t="s">
        <v>2275</v>
      </c>
      <c r="Q129" s="441"/>
      <c r="R129" s="383" t="s">
        <v>327</v>
      </c>
      <c r="S129" s="442" t="s">
        <v>712</v>
      </c>
      <c r="T129" s="443" t="s">
        <v>2279</v>
      </c>
      <c r="U129" s="444"/>
      <c r="V129" s="445"/>
      <c r="W129" s="406"/>
      <c r="X129" s="406"/>
      <c r="Y129" s="423"/>
      <c r="Z129" s="446" t="s">
        <v>1765</v>
      </c>
      <c r="AA129" s="434" t="s">
        <v>180</v>
      </c>
      <c r="AB129" s="447" t="s">
        <v>1112</v>
      </c>
      <c r="AC129" s="426">
        <f t="shared" si="5"/>
        <v>0</v>
      </c>
      <c r="AD129" s="426">
        <f t="shared" si="6"/>
        <v>0</v>
      </c>
      <c r="AE129" s="426">
        <f t="shared" si="7"/>
        <v>0</v>
      </c>
      <c r="AF129" s="427"/>
      <c r="AG129" s="428"/>
      <c r="AH129" s="427"/>
    </row>
    <row r="130" ht="15" customHeight="1" spans="1:34">
      <c r="A130" s="406">
        <f t="shared" ref="A130:A193" si="8">ROW()-1</f>
        <v>129</v>
      </c>
      <c r="B130" s="434" t="s">
        <v>1721</v>
      </c>
      <c r="C130" s="435"/>
      <c r="D130" s="503" t="s">
        <v>2280</v>
      </c>
      <c r="E130" s="406"/>
      <c r="F130" s="437"/>
      <c r="G130" s="436" t="s">
        <v>2281</v>
      </c>
      <c r="H130" s="436" t="s">
        <v>2282</v>
      </c>
      <c r="I130" s="427" t="s">
        <v>2283</v>
      </c>
      <c r="J130" s="435"/>
      <c r="K130" s="438"/>
      <c r="L130" s="435"/>
      <c r="M130" s="414" t="s">
        <v>1688</v>
      </c>
      <c r="N130" s="438"/>
      <c r="O130" s="439"/>
      <c r="P130" s="440" t="s">
        <v>2280</v>
      </c>
      <c r="Q130" s="441"/>
      <c r="R130" s="383" t="s">
        <v>332</v>
      </c>
      <c r="S130" s="442" t="s">
        <v>1794</v>
      </c>
      <c r="T130" s="443" t="s">
        <v>2284</v>
      </c>
      <c r="U130" s="444"/>
      <c r="V130" s="445"/>
      <c r="W130" s="406"/>
      <c r="X130" s="406"/>
      <c r="Y130" s="423"/>
      <c r="Z130" s="446" t="s">
        <v>1017</v>
      </c>
      <c r="AA130" s="434" t="s">
        <v>172</v>
      </c>
      <c r="AB130" s="447" t="s">
        <v>1112</v>
      </c>
      <c r="AC130" s="426">
        <f t="shared" ref="AC130:AC193" si="9">Y130*0.14</f>
        <v>0</v>
      </c>
      <c r="AD130" s="426">
        <f t="shared" ref="AD130:AD193" si="10">IF(O130&gt;=1000,O130*0.14,IF(O130&gt;=500,100,0))</f>
        <v>0</v>
      </c>
      <c r="AE130" s="426">
        <f t="shared" ref="AE130:AE193" si="11">SUM(AC130:AD130)</f>
        <v>0</v>
      </c>
      <c r="AF130" s="427"/>
      <c r="AG130" s="428"/>
      <c r="AH130" s="427"/>
    </row>
    <row r="131" ht="15" customHeight="1" spans="1:34">
      <c r="A131" s="406">
        <f t="shared" si="8"/>
        <v>130</v>
      </c>
      <c r="B131" s="434" t="s">
        <v>1677</v>
      </c>
      <c r="C131" s="435"/>
      <c r="D131" s="503" t="s">
        <v>1535</v>
      </c>
      <c r="E131" s="406"/>
      <c r="F131" s="437"/>
      <c r="G131" s="436" t="s">
        <v>1678</v>
      </c>
      <c r="H131" s="436" t="s">
        <v>2285</v>
      </c>
      <c r="I131" s="427" t="s">
        <v>2286</v>
      </c>
      <c r="J131" s="435"/>
      <c r="K131" s="438"/>
      <c r="L131" s="435"/>
      <c r="M131" s="414"/>
      <c r="N131" s="438"/>
      <c r="O131" s="439"/>
      <c r="P131" s="440" t="s">
        <v>1535</v>
      </c>
      <c r="Q131" s="441"/>
      <c r="R131" s="383" t="s">
        <v>332</v>
      </c>
      <c r="S131" s="442" t="s">
        <v>663</v>
      </c>
      <c r="T131" s="443" t="s">
        <v>1534</v>
      </c>
      <c r="U131" s="444"/>
      <c r="V131" s="445"/>
      <c r="W131" s="406"/>
      <c r="X131" s="406"/>
      <c r="Y131" s="423"/>
      <c r="Z131" s="446" t="s">
        <v>645</v>
      </c>
      <c r="AA131" s="434" t="s">
        <v>233</v>
      </c>
      <c r="AB131" s="447"/>
      <c r="AC131" s="426">
        <f t="shared" si="9"/>
        <v>0</v>
      </c>
      <c r="AD131" s="426">
        <f t="shared" si="10"/>
        <v>0</v>
      </c>
      <c r="AE131" s="426">
        <f t="shared" si="11"/>
        <v>0</v>
      </c>
      <c r="AF131" s="427"/>
      <c r="AG131" s="428"/>
      <c r="AH131" s="427"/>
    </row>
    <row r="132" ht="15" customHeight="1" spans="1:34">
      <c r="A132" s="406">
        <f t="shared" si="8"/>
        <v>131</v>
      </c>
      <c r="B132" s="434" t="s">
        <v>1677</v>
      </c>
      <c r="C132" s="435"/>
      <c r="D132" s="503" t="s">
        <v>1533</v>
      </c>
      <c r="E132" s="406"/>
      <c r="F132" s="437"/>
      <c r="G132" s="436" t="s">
        <v>2287</v>
      </c>
      <c r="H132" s="436" t="s">
        <v>2288</v>
      </c>
      <c r="I132" s="427" t="s">
        <v>2289</v>
      </c>
      <c r="J132" s="435"/>
      <c r="K132" s="438"/>
      <c r="L132" s="435"/>
      <c r="M132" s="414"/>
      <c r="N132" s="438"/>
      <c r="O132" s="439"/>
      <c r="P132" s="440" t="s">
        <v>1533</v>
      </c>
      <c r="Q132" s="441"/>
      <c r="R132" s="383" t="s">
        <v>332</v>
      </c>
      <c r="S132" s="442" t="s">
        <v>663</v>
      </c>
      <c r="T132" s="443" t="s">
        <v>1532</v>
      </c>
      <c r="U132" s="444"/>
      <c r="V132" s="445"/>
      <c r="W132" s="406"/>
      <c r="X132" s="406"/>
      <c r="Y132" s="423"/>
      <c r="Z132" s="446" t="s">
        <v>645</v>
      </c>
      <c r="AA132" s="434" t="s">
        <v>233</v>
      </c>
      <c r="AB132" s="447"/>
      <c r="AC132" s="426">
        <f t="shared" si="9"/>
        <v>0</v>
      </c>
      <c r="AD132" s="426">
        <f t="shared" si="10"/>
        <v>0</v>
      </c>
      <c r="AE132" s="426">
        <f t="shared" si="11"/>
        <v>0</v>
      </c>
      <c r="AF132" s="427"/>
      <c r="AG132" s="428"/>
      <c r="AH132" s="427"/>
    </row>
    <row r="133" ht="15" customHeight="1" spans="1:34">
      <c r="A133" s="406">
        <f t="shared" si="8"/>
        <v>132</v>
      </c>
      <c r="B133" s="434" t="s">
        <v>1677</v>
      </c>
      <c r="C133" s="496"/>
      <c r="D133" s="504" t="s">
        <v>2290</v>
      </c>
      <c r="E133" s="505"/>
      <c r="F133" s="506"/>
      <c r="G133" s="503" t="s">
        <v>1907</v>
      </c>
      <c r="H133" s="503" t="s">
        <v>2291</v>
      </c>
      <c r="I133" s="507" t="s">
        <v>2292</v>
      </c>
      <c r="J133" s="496"/>
      <c r="K133" s="497"/>
      <c r="L133" s="496"/>
      <c r="M133" s="498"/>
      <c r="N133" s="497"/>
      <c r="O133" s="499"/>
      <c r="P133" s="508" t="s">
        <v>2290</v>
      </c>
      <c r="Q133" s="509"/>
      <c r="R133" s="510" t="s">
        <v>327</v>
      </c>
      <c r="S133" s="511" t="s">
        <v>712</v>
      </c>
      <c r="T133" s="512" t="s">
        <v>2293</v>
      </c>
      <c r="U133" s="444"/>
      <c r="V133" s="513"/>
      <c r="W133" s="505"/>
      <c r="X133" s="505"/>
      <c r="Y133" s="423"/>
      <c r="Z133" s="514" t="s">
        <v>1765</v>
      </c>
      <c r="AA133" s="434" t="s">
        <v>182</v>
      </c>
      <c r="AB133" s="447"/>
      <c r="AC133" s="426">
        <f t="shared" si="9"/>
        <v>0</v>
      </c>
      <c r="AD133" s="426">
        <f t="shared" si="10"/>
        <v>0</v>
      </c>
      <c r="AE133" s="426">
        <f t="shared" si="11"/>
        <v>0</v>
      </c>
      <c r="AF133" s="427"/>
      <c r="AG133" s="428"/>
      <c r="AH133" s="427"/>
    </row>
    <row r="134" ht="15" customHeight="1" spans="1:34">
      <c r="A134" s="406">
        <f t="shared" si="8"/>
        <v>133</v>
      </c>
      <c r="B134" s="434" t="s">
        <v>1677</v>
      </c>
      <c r="C134" s="435"/>
      <c r="D134" s="503" t="s">
        <v>1543</v>
      </c>
      <c r="E134" s="406"/>
      <c r="F134" s="437"/>
      <c r="G134" s="436" t="s">
        <v>1946</v>
      </c>
      <c r="H134" s="436" t="s">
        <v>2294</v>
      </c>
      <c r="I134" s="427" t="s">
        <v>2295</v>
      </c>
      <c r="J134" s="435"/>
      <c r="K134" s="438"/>
      <c r="L134" s="435"/>
      <c r="M134" s="414"/>
      <c r="N134" s="438"/>
      <c r="O134" s="439"/>
      <c r="P134" s="440" t="s">
        <v>1543</v>
      </c>
      <c r="Q134" s="441"/>
      <c r="R134" s="383" t="s">
        <v>327</v>
      </c>
      <c r="S134" s="442" t="s">
        <v>681</v>
      </c>
      <c r="T134" s="443" t="s">
        <v>2296</v>
      </c>
      <c r="U134" s="444"/>
      <c r="V134" s="445"/>
      <c r="W134" s="406"/>
      <c r="X134" s="406"/>
      <c r="Y134" s="423"/>
      <c r="Z134" s="446" t="s">
        <v>660</v>
      </c>
      <c r="AA134" s="434" t="s">
        <v>243</v>
      </c>
      <c r="AB134" s="447"/>
      <c r="AC134" s="426">
        <f t="shared" si="9"/>
        <v>0</v>
      </c>
      <c r="AD134" s="426">
        <f t="shared" si="10"/>
        <v>0</v>
      </c>
      <c r="AE134" s="426">
        <f t="shared" si="11"/>
        <v>0</v>
      </c>
      <c r="AF134" s="427"/>
      <c r="AG134" s="428"/>
      <c r="AH134" s="427"/>
    </row>
    <row r="135" ht="15" customHeight="1" spans="1:34">
      <c r="A135" s="406">
        <f t="shared" si="8"/>
        <v>134</v>
      </c>
      <c r="B135" s="434" t="s">
        <v>1677</v>
      </c>
      <c r="C135" s="435"/>
      <c r="D135" s="503" t="s">
        <v>1541</v>
      </c>
      <c r="E135" s="406"/>
      <c r="F135" s="437"/>
      <c r="G135" s="436" t="s">
        <v>2097</v>
      </c>
      <c r="H135" s="436" t="s">
        <v>2297</v>
      </c>
      <c r="I135" s="427" t="s">
        <v>2298</v>
      </c>
      <c r="J135" s="435"/>
      <c r="K135" s="438"/>
      <c r="L135" s="435"/>
      <c r="M135" s="414"/>
      <c r="N135" s="438"/>
      <c r="O135" s="439"/>
      <c r="P135" s="440" t="s">
        <v>1541</v>
      </c>
      <c r="Q135" s="441"/>
      <c r="R135" s="383" t="s">
        <v>332</v>
      </c>
      <c r="S135" s="442" t="s">
        <v>663</v>
      </c>
      <c r="T135" s="443" t="s">
        <v>1540</v>
      </c>
      <c r="U135" s="444"/>
      <c r="V135" s="445"/>
      <c r="W135" s="406"/>
      <c r="X135" s="406"/>
      <c r="Y135" s="423"/>
      <c r="Z135" s="446" t="s">
        <v>620</v>
      </c>
      <c r="AA135" s="434" t="s">
        <v>208</v>
      </c>
      <c r="AB135" s="447"/>
      <c r="AC135" s="426">
        <f t="shared" si="9"/>
        <v>0</v>
      </c>
      <c r="AD135" s="426">
        <f t="shared" si="10"/>
        <v>0</v>
      </c>
      <c r="AE135" s="426">
        <f t="shared" si="11"/>
        <v>0</v>
      </c>
      <c r="AF135" s="427"/>
      <c r="AG135" s="428"/>
      <c r="AH135" s="427"/>
    </row>
    <row r="136" ht="15" customHeight="1" spans="1:34">
      <c r="A136" s="406">
        <f t="shared" si="8"/>
        <v>135</v>
      </c>
      <c r="B136" s="434" t="s">
        <v>1677</v>
      </c>
      <c r="C136" s="435"/>
      <c r="D136" s="503" t="s">
        <v>2299</v>
      </c>
      <c r="E136" s="406"/>
      <c r="F136" s="437"/>
      <c r="G136" s="436" t="s">
        <v>2300</v>
      </c>
      <c r="H136" s="436" t="s">
        <v>2301</v>
      </c>
      <c r="I136" s="427" t="s">
        <v>2302</v>
      </c>
      <c r="J136" s="435"/>
      <c r="K136" s="438"/>
      <c r="L136" s="435"/>
      <c r="M136" s="414" t="s">
        <v>1780</v>
      </c>
      <c r="N136" s="438"/>
      <c r="O136" s="439"/>
      <c r="P136" s="440" t="s">
        <v>2299</v>
      </c>
      <c r="Q136" s="441"/>
      <c r="R136" s="383" t="s">
        <v>332</v>
      </c>
      <c r="S136" s="442" t="s">
        <v>663</v>
      </c>
      <c r="T136" s="443" t="s">
        <v>1544</v>
      </c>
      <c r="U136" s="444"/>
      <c r="V136" s="445"/>
      <c r="W136" s="406"/>
      <c r="X136" s="406"/>
      <c r="Y136" s="423"/>
      <c r="Z136" s="446" t="s">
        <v>249</v>
      </c>
      <c r="AA136" s="434" t="s">
        <v>251</v>
      </c>
      <c r="AB136" s="447"/>
      <c r="AC136" s="426">
        <f t="shared" si="9"/>
        <v>0</v>
      </c>
      <c r="AD136" s="426">
        <f t="shared" si="10"/>
        <v>0</v>
      </c>
      <c r="AE136" s="426">
        <f t="shared" si="11"/>
        <v>0</v>
      </c>
      <c r="AF136" s="427"/>
      <c r="AG136" s="428"/>
      <c r="AH136" s="427"/>
    </row>
    <row r="137" ht="15" customHeight="1" spans="1:34">
      <c r="A137" s="406">
        <f t="shared" si="8"/>
        <v>136</v>
      </c>
      <c r="B137" s="434" t="s">
        <v>1721</v>
      </c>
      <c r="C137" s="435"/>
      <c r="D137" s="503" t="s">
        <v>2303</v>
      </c>
      <c r="E137" s="406"/>
      <c r="F137" s="437"/>
      <c r="G137" s="436" t="s">
        <v>2304</v>
      </c>
      <c r="H137" s="436" t="s">
        <v>2305</v>
      </c>
      <c r="I137" s="427" t="s">
        <v>2306</v>
      </c>
      <c r="J137" s="435"/>
      <c r="K137" s="438"/>
      <c r="L137" s="435"/>
      <c r="M137" s="414" t="s">
        <v>1710</v>
      </c>
      <c r="N137" s="438"/>
      <c r="O137" s="439"/>
      <c r="P137" s="440" t="s">
        <v>2303</v>
      </c>
      <c r="Q137" s="441"/>
      <c r="R137" s="383" t="s">
        <v>332</v>
      </c>
      <c r="S137" s="442" t="s">
        <v>1794</v>
      </c>
      <c r="T137" s="443" t="s">
        <v>1548</v>
      </c>
      <c r="U137" s="444"/>
      <c r="V137" s="445"/>
      <c r="W137" s="406"/>
      <c r="X137" s="406"/>
      <c r="Y137" s="423"/>
      <c r="Z137" s="446" t="s">
        <v>660</v>
      </c>
      <c r="AA137" s="434" t="s">
        <v>243</v>
      </c>
      <c r="AB137" s="447"/>
      <c r="AC137" s="426">
        <f t="shared" si="9"/>
        <v>0</v>
      </c>
      <c r="AD137" s="426">
        <f t="shared" si="10"/>
        <v>0</v>
      </c>
      <c r="AE137" s="426">
        <f t="shared" si="11"/>
        <v>0</v>
      </c>
      <c r="AF137" s="427"/>
      <c r="AG137" s="428"/>
      <c r="AH137" s="427"/>
    </row>
    <row r="138" ht="15" customHeight="1" spans="1:34">
      <c r="A138" s="406">
        <f t="shared" si="8"/>
        <v>137</v>
      </c>
      <c r="B138" s="434" t="s">
        <v>1677</v>
      </c>
      <c r="C138" s="435"/>
      <c r="D138" s="436" t="s">
        <v>2307</v>
      </c>
      <c r="E138" s="406"/>
      <c r="F138" s="437" t="s">
        <v>2308</v>
      </c>
      <c r="G138" s="436" t="s">
        <v>2173</v>
      </c>
      <c r="H138" s="436" t="s">
        <v>2309</v>
      </c>
      <c r="I138" s="427" t="s">
        <v>2310</v>
      </c>
      <c r="J138" s="435"/>
      <c r="K138" s="438"/>
      <c r="L138" s="435"/>
      <c r="M138" s="414" t="s">
        <v>1710</v>
      </c>
      <c r="N138" s="438"/>
      <c r="O138" s="439"/>
      <c r="P138" s="440" t="s">
        <v>2307</v>
      </c>
      <c r="Q138" s="441"/>
      <c r="R138" s="383" t="s">
        <v>332</v>
      </c>
      <c r="S138" s="442" t="s">
        <v>2193</v>
      </c>
      <c r="T138" s="443" t="s">
        <v>1546</v>
      </c>
      <c r="U138" s="444"/>
      <c r="V138" s="445"/>
      <c r="W138" s="406"/>
      <c r="X138" s="406"/>
      <c r="Y138" s="423"/>
      <c r="Z138" s="446" t="s">
        <v>249</v>
      </c>
      <c r="AA138" s="434" t="s">
        <v>252</v>
      </c>
      <c r="AB138" s="447"/>
      <c r="AC138" s="426">
        <f t="shared" si="9"/>
        <v>0</v>
      </c>
      <c r="AD138" s="426">
        <f t="shared" si="10"/>
        <v>0</v>
      </c>
      <c r="AE138" s="426">
        <f t="shared" si="11"/>
        <v>0</v>
      </c>
      <c r="AF138" s="427"/>
      <c r="AG138" s="428"/>
      <c r="AH138" s="427"/>
    </row>
    <row r="139" ht="15" customHeight="1" spans="1:34">
      <c r="A139" s="406">
        <f t="shared" si="8"/>
        <v>138</v>
      </c>
      <c r="B139" s="434" t="s">
        <v>1721</v>
      </c>
      <c r="C139" s="435"/>
      <c r="D139" s="436" t="s">
        <v>2311</v>
      </c>
      <c r="E139" s="406"/>
      <c r="F139" s="437"/>
      <c r="G139" s="436" t="s">
        <v>2312</v>
      </c>
      <c r="H139" s="436" t="s">
        <v>2313</v>
      </c>
      <c r="I139" s="427" t="s">
        <v>2314</v>
      </c>
      <c r="J139" s="435"/>
      <c r="K139" s="438"/>
      <c r="L139" s="435"/>
      <c r="M139" s="414" t="s">
        <v>1710</v>
      </c>
      <c r="N139" s="438"/>
      <c r="O139" s="439"/>
      <c r="P139" s="440" t="s">
        <v>2311</v>
      </c>
      <c r="Q139" s="441"/>
      <c r="R139" s="383" t="s">
        <v>332</v>
      </c>
      <c r="S139" s="442" t="s">
        <v>663</v>
      </c>
      <c r="T139" s="443" t="s">
        <v>2315</v>
      </c>
      <c r="U139" s="444"/>
      <c r="V139" s="445"/>
      <c r="W139" s="406"/>
      <c r="X139" s="406"/>
      <c r="Y139" s="423"/>
      <c r="Z139" s="446" t="s">
        <v>1787</v>
      </c>
      <c r="AA139" s="434" t="s">
        <v>196</v>
      </c>
      <c r="AB139" s="447" t="s">
        <v>1126</v>
      </c>
      <c r="AC139" s="426">
        <f t="shared" si="9"/>
        <v>0</v>
      </c>
      <c r="AD139" s="426">
        <f t="shared" si="10"/>
        <v>0</v>
      </c>
      <c r="AE139" s="426">
        <f t="shared" si="11"/>
        <v>0</v>
      </c>
      <c r="AF139" s="427"/>
      <c r="AG139" s="428"/>
      <c r="AH139" s="427"/>
    </row>
    <row r="140" ht="15" customHeight="1" spans="1:34">
      <c r="A140" s="406">
        <f t="shared" si="8"/>
        <v>139</v>
      </c>
      <c r="B140" s="434" t="s">
        <v>1721</v>
      </c>
      <c r="C140" s="435"/>
      <c r="D140" s="503" t="s">
        <v>1552</v>
      </c>
      <c r="E140" s="406"/>
      <c r="F140" s="437"/>
      <c r="G140" s="436" t="s">
        <v>1797</v>
      </c>
      <c r="H140" s="436" t="s">
        <v>2316</v>
      </c>
      <c r="I140" s="427" t="s">
        <v>2317</v>
      </c>
      <c r="J140" s="435"/>
      <c r="K140" s="438"/>
      <c r="L140" s="435"/>
      <c r="M140" s="414"/>
      <c r="N140" s="438"/>
      <c r="O140" s="439"/>
      <c r="P140" s="440" t="s">
        <v>1552</v>
      </c>
      <c r="Q140" s="441"/>
      <c r="R140" s="383" t="s">
        <v>332</v>
      </c>
      <c r="S140" s="442" t="s">
        <v>663</v>
      </c>
      <c r="T140" s="443" t="s">
        <v>1551</v>
      </c>
      <c r="U140" s="444"/>
      <c r="V140" s="445"/>
      <c r="W140" s="406"/>
      <c r="X140" s="406"/>
      <c r="Y140" s="423"/>
      <c r="Z140" s="446" t="s">
        <v>660</v>
      </c>
      <c r="AA140" s="434" t="s">
        <v>243</v>
      </c>
      <c r="AB140" s="447"/>
      <c r="AC140" s="426">
        <f t="shared" si="9"/>
        <v>0</v>
      </c>
      <c r="AD140" s="426">
        <f t="shared" si="10"/>
        <v>0</v>
      </c>
      <c r="AE140" s="426">
        <f t="shared" si="11"/>
        <v>0</v>
      </c>
      <c r="AF140" s="427"/>
      <c r="AG140" s="428"/>
      <c r="AH140" s="427"/>
    </row>
    <row r="141" ht="15" customHeight="1" spans="1:34">
      <c r="A141" s="406">
        <f t="shared" si="8"/>
        <v>140</v>
      </c>
      <c r="B141" s="434" t="s">
        <v>1677</v>
      </c>
      <c r="C141" s="435"/>
      <c r="D141" s="436" t="s">
        <v>2318</v>
      </c>
      <c r="E141" s="406"/>
      <c r="F141" s="437"/>
      <c r="G141" s="436" t="s">
        <v>1791</v>
      </c>
      <c r="H141" s="436" t="s">
        <v>2319</v>
      </c>
      <c r="I141" s="427" t="s">
        <v>2320</v>
      </c>
      <c r="J141" s="435"/>
      <c r="K141" s="438"/>
      <c r="L141" s="435"/>
      <c r="M141" s="414"/>
      <c r="N141" s="438"/>
      <c r="O141" s="439"/>
      <c r="P141" s="440" t="s">
        <v>2318</v>
      </c>
      <c r="Q141" s="441"/>
      <c r="R141" s="383" t="s">
        <v>327</v>
      </c>
      <c r="S141" s="442" t="s">
        <v>681</v>
      </c>
      <c r="T141" s="443" t="s">
        <v>2321</v>
      </c>
      <c r="U141" s="444"/>
      <c r="V141" s="445"/>
      <c r="W141" s="406"/>
      <c r="X141" s="406"/>
      <c r="Y141" s="423"/>
      <c r="Z141" s="446" t="s">
        <v>207</v>
      </c>
      <c r="AA141" s="434" t="s">
        <v>208</v>
      </c>
      <c r="AB141" s="447"/>
      <c r="AC141" s="426">
        <f t="shared" si="9"/>
        <v>0</v>
      </c>
      <c r="AD141" s="426">
        <f t="shared" si="10"/>
        <v>0</v>
      </c>
      <c r="AE141" s="426">
        <f t="shared" si="11"/>
        <v>0</v>
      </c>
      <c r="AF141" s="427"/>
      <c r="AG141" s="428"/>
      <c r="AH141" s="427"/>
    </row>
    <row r="142" ht="15" customHeight="1" spans="1:34">
      <c r="A142" s="406">
        <f t="shared" si="8"/>
        <v>141</v>
      </c>
      <c r="B142" s="515" t="s">
        <v>1721</v>
      </c>
      <c r="C142" s="516"/>
      <c r="D142" s="517" t="s">
        <v>1555</v>
      </c>
      <c r="E142" s="518"/>
      <c r="F142" s="519" t="s">
        <v>2322</v>
      </c>
      <c r="G142" s="517" t="s">
        <v>1777</v>
      </c>
      <c r="H142" s="517" t="s">
        <v>2323</v>
      </c>
      <c r="I142" s="520" t="s">
        <v>2324</v>
      </c>
      <c r="J142" s="516"/>
      <c r="K142" s="521"/>
      <c r="L142" s="516"/>
      <c r="M142" s="522"/>
      <c r="N142" s="521"/>
      <c r="O142" s="523"/>
      <c r="P142" s="524" t="s">
        <v>1555</v>
      </c>
      <c r="Q142" s="525"/>
      <c r="R142" s="526" t="s">
        <v>332</v>
      </c>
      <c r="S142" s="527" t="s">
        <v>663</v>
      </c>
      <c r="T142" s="528" t="s">
        <v>1554</v>
      </c>
      <c r="U142" s="444"/>
      <c r="V142" s="529"/>
      <c r="W142" s="518"/>
      <c r="X142" s="518"/>
      <c r="Y142" s="423"/>
      <c r="Z142" s="530" t="s">
        <v>263</v>
      </c>
      <c r="AA142" s="515" t="s">
        <v>264</v>
      </c>
      <c r="AB142" s="531"/>
      <c r="AC142" s="426">
        <f t="shared" si="9"/>
        <v>0</v>
      </c>
      <c r="AD142" s="426">
        <f t="shared" si="10"/>
        <v>0</v>
      </c>
      <c r="AE142" s="426">
        <f t="shared" si="11"/>
        <v>0</v>
      </c>
      <c r="AF142" s="427"/>
      <c r="AG142" s="428"/>
      <c r="AH142" s="427"/>
    </row>
    <row r="143" ht="15" customHeight="1" spans="1:34">
      <c r="A143" s="406">
        <f t="shared" si="8"/>
        <v>142</v>
      </c>
      <c r="B143" s="434" t="s">
        <v>1677</v>
      </c>
      <c r="C143" s="435"/>
      <c r="D143" s="436" t="s">
        <v>2325</v>
      </c>
      <c r="E143" s="406"/>
      <c r="F143" s="437"/>
      <c r="G143" s="436" t="s">
        <v>1854</v>
      </c>
      <c r="H143" s="436" t="s">
        <v>2326</v>
      </c>
      <c r="I143" s="427" t="s">
        <v>2327</v>
      </c>
      <c r="J143" s="435"/>
      <c r="K143" s="438"/>
      <c r="L143" s="435"/>
      <c r="M143" s="414"/>
      <c r="N143" s="438"/>
      <c r="O143" s="439"/>
      <c r="P143" s="440" t="s">
        <v>2325</v>
      </c>
      <c r="Q143" s="441"/>
      <c r="R143" s="383" t="s">
        <v>332</v>
      </c>
      <c r="S143" s="442" t="s">
        <v>663</v>
      </c>
      <c r="T143" s="443" t="s">
        <v>2328</v>
      </c>
      <c r="U143" s="444"/>
      <c r="V143" s="445"/>
      <c r="W143" s="406"/>
      <c r="X143" s="406"/>
      <c r="Y143" s="423"/>
      <c r="Z143" s="446" t="s">
        <v>207</v>
      </c>
      <c r="AA143" s="434" t="s">
        <v>208</v>
      </c>
      <c r="AB143" s="447"/>
      <c r="AC143" s="426">
        <f t="shared" si="9"/>
        <v>0</v>
      </c>
      <c r="AD143" s="426">
        <f t="shared" si="10"/>
        <v>0</v>
      </c>
      <c r="AE143" s="426">
        <f t="shared" si="11"/>
        <v>0</v>
      </c>
      <c r="AF143" s="427"/>
      <c r="AG143" s="428"/>
      <c r="AH143" s="427"/>
    </row>
    <row r="144" ht="15" customHeight="1" spans="1:34">
      <c r="A144" s="406">
        <f t="shared" si="8"/>
        <v>143</v>
      </c>
      <c r="B144" s="434" t="s">
        <v>1677</v>
      </c>
      <c r="C144" s="435"/>
      <c r="D144" s="436" t="s">
        <v>2329</v>
      </c>
      <c r="E144" s="406"/>
      <c r="F144" s="437"/>
      <c r="G144" s="436" t="s">
        <v>2330</v>
      </c>
      <c r="H144" s="436" t="s">
        <v>2331</v>
      </c>
      <c r="I144" s="427" t="s">
        <v>2332</v>
      </c>
      <c r="J144" s="435"/>
      <c r="K144" s="438"/>
      <c r="L144" s="435"/>
      <c r="M144" s="414"/>
      <c r="N144" s="438"/>
      <c r="O144" s="439"/>
      <c r="P144" s="440" t="s">
        <v>2329</v>
      </c>
      <c r="Q144" s="441"/>
      <c r="R144" s="383" t="s">
        <v>332</v>
      </c>
      <c r="S144" s="442" t="s">
        <v>712</v>
      </c>
      <c r="T144" s="443" t="s">
        <v>2333</v>
      </c>
      <c r="U144" s="444"/>
      <c r="V144" s="445"/>
      <c r="W144" s="406"/>
      <c r="X144" s="406"/>
      <c r="Y144" s="423"/>
      <c r="Z144" s="446" t="s">
        <v>207</v>
      </c>
      <c r="AA144" s="434" t="s">
        <v>208</v>
      </c>
      <c r="AB144" s="447"/>
      <c r="AC144" s="426">
        <f t="shared" si="9"/>
        <v>0</v>
      </c>
      <c r="AD144" s="426">
        <f t="shared" si="10"/>
        <v>0</v>
      </c>
      <c r="AE144" s="426">
        <f t="shared" si="11"/>
        <v>0</v>
      </c>
      <c r="AF144" s="427"/>
      <c r="AG144" s="428"/>
      <c r="AH144" s="427"/>
    </row>
    <row r="145" ht="15" customHeight="1" spans="1:34">
      <c r="A145" s="406">
        <f t="shared" si="8"/>
        <v>144</v>
      </c>
      <c r="B145" s="434" t="s">
        <v>1677</v>
      </c>
      <c r="C145" s="435"/>
      <c r="D145" s="436" t="s">
        <v>2334</v>
      </c>
      <c r="E145" s="406"/>
      <c r="F145" s="437" t="s">
        <v>2335</v>
      </c>
      <c r="G145" s="436" t="s">
        <v>2080</v>
      </c>
      <c r="H145" s="436" t="s">
        <v>2336</v>
      </c>
      <c r="I145" s="427" t="s">
        <v>2337</v>
      </c>
      <c r="J145" s="435"/>
      <c r="K145" s="438"/>
      <c r="L145" s="435"/>
      <c r="M145" s="414" t="s">
        <v>1688</v>
      </c>
      <c r="N145" s="438"/>
      <c r="O145" s="439"/>
      <c r="P145" s="440" t="s">
        <v>2334</v>
      </c>
      <c r="Q145" s="441"/>
      <c r="R145" s="383" t="s">
        <v>332</v>
      </c>
      <c r="S145" s="442" t="s">
        <v>681</v>
      </c>
      <c r="T145" s="443" t="s">
        <v>2338</v>
      </c>
      <c r="U145" s="444"/>
      <c r="V145" s="445"/>
      <c r="W145" s="406"/>
      <c r="X145" s="406"/>
      <c r="Y145" s="423"/>
      <c r="Z145" s="446" t="s">
        <v>1765</v>
      </c>
      <c r="AA145" s="434" t="s">
        <v>178</v>
      </c>
      <c r="AB145" s="447" t="s">
        <v>1112</v>
      </c>
      <c r="AC145" s="426">
        <f t="shared" si="9"/>
        <v>0</v>
      </c>
      <c r="AD145" s="426">
        <f t="shared" si="10"/>
        <v>0</v>
      </c>
      <c r="AE145" s="426">
        <f t="shared" si="11"/>
        <v>0</v>
      </c>
      <c r="AF145" s="427"/>
      <c r="AG145" s="428"/>
      <c r="AH145" s="427"/>
    </row>
    <row r="146" ht="15" customHeight="1" spans="1:34">
      <c r="A146" s="406">
        <f t="shared" si="8"/>
        <v>145</v>
      </c>
      <c r="B146" s="434" t="s">
        <v>1677</v>
      </c>
      <c r="C146" s="435"/>
      <c r="D146" s="436" t="s">
        <v>1557</v>
      </c>
      <c r="E146" s="406"/>
      <c r="F146" s="437"/>
      <c r="G146" s="436" t="s">
        <v>2339</v>
      </c>
      <c r="H146" s="436" t="s">
        <v>2340</v>
      </c>
      <c r="I146" s="427" t="s">
        <v>2341</v>
      </c>
      <c r="J146" s="435"/>
      <c r="K146" s="438"/>
      <c r="L146" s="435"/>
      <c r="M146" s="414"/>
      <c r="N146" s="438"/>
      <c r="O146" s="439"/>
      <c r="P146" s="440" t="s">
        <v>1557</v>
      </c>
      <c r="Q146" s="441"/>
      <c r="R146" s="383" t="s">
        <v>332</v>
      </c>
      <c r="S146" s="442" t="s">
        <v>663</v>
      </c>
      <c r="T146" s="443" t="s">
        <v>1556</v>
      </c>
      <c r="U146" s="444"/>
      <c r="V146" s="445"/>
      <c r="W146" s="406"/>
      <c r="X146" s="406"/>
      <c r="Y146" s="423"/>
      <c r="Z146" s="446" t="s">
        <v>249</v>
      </c>
      <c r="AA146" s="434" t="s">
        <v>250</v>
      </c>
      <c r="AB146" s="447"/>
      <c r="AC146" s="426">
        <f t="shared" si="9"/>
        <v>0</v>
      </c>
      <c r="AD146" s="426">
        <f t="shared" si="10"/>
        <v>0</v>
      </c>
      <c r="AE146" s="426">
        <f t="shared" si="11"/>
        <v>0</v>
      </c>
      <c r="AF146" s="427"/>
      <c r="AG146" s="428"/>
      <c r="AH146" s="427"/>
    </row>
    <row r="147" ht="15" customHeight="1" spans="1:34">
      <c r="A147" s="406">
        <f t="shared" si="8"/>
        <v>146</v>
      </c>
      <c r="B147" s="434" t="s">
        <v>1677</v>
      </c>
      <c r="C147" s="435"/>
      <c r="D147" s="436" t="s">
        <v>2342</v>
      </c>
      <c r="E147" s="406"/>
      <c r="F147" s="437"/>
      <c r="G147" s="436" t="s">
        <v>1972</v>
      </c>
      <c r="H147" s="436" t="s">
        <v>2343</v>
      </c>
      <c r="I147" s="427" t="s">
        <v>2344</v>
      </c>
      <c r="J147" s="435"/>
      <c r="K147" s="438"/>
      <c r="L147" s="435"/>
      <c r="M147" s="414" t="s">
        <v>1688</v>
      </c>
      <c r="N147" s="438"/>
      <c r="O147" s="439"/>
      <c r="P147" s="440" t="s">
        <v>2342</v>
      </c>
      <c r="Q147" s="441"/>
      <c r="R147" s="383" t="s">
        <v>327</v>
      </c>
      <c r="S147" s="442" t="s">
        <v>712</v>
      </c>
      <c r="T147" s="443" t="s">
        <v>2345</v>
      </c>
      <c r="U147" s="444"/>
      <c r="V147" s="445"/>
      <c r="W147" s="406"/>
      <c r="X147" s="406"/>
      <c r="Y147" s="423"/>
      <c r="Z147" s="446" t="s">
        <v>1765</v>
      </c>
      <c r="AA147" s="434" t="s">
        <v>176</v>
      </c>
      <c r="AB147" s="447" t="s">
        <v>1112</v>
      </c>
      <c r="AC147" s="426">
        <f t="shared" si="9"/>
        <v>0</v>
      </c>
      <c r="AD147" s="426">
        <f t="shared" si="10"/>
        <v>0</v>
      </c>
      <c r="AE147" s="426">
        <f t="shared" si="11"/>
        <v>0</v>
      </c>
      <c r="AF147" s="427"/>
      <c r="AG147" s="428"/>
      <c r="AH147" s="427"/>
    </row>
    <row r="148" ht="15" customHeight="1" spans="1:34">
      <c r="A148" s="406">
        <f t="shared" si="8"/>
        <v>147</v>
      </c>
      <c r="B148" s="434" t="s">
        <v>1677</v>
      </c>
      <c r="C148" s="435"/>
      <c r="D148" s="436" t="s">
        <v>2346</v>
      </c>
      <c r="E148" s="406"/>
      <c r="F148" s="437"/>
      <c r="G148" s="436" t="s">
        <v>2097</v>
      </c>
      <c r="H148" s="436" t="s">
        <v>2347</v>
      </c>
      <c r="I148" s="427" t="s">
        <v>2348</v>
      </c>
      <c r="J148" s="435"/>
      <c r="K148" s="438"/>
      <c r="L148" s="435"/>
      <c r="M148" s="414"/>
      <c r="N148" s="438"/>
      <c r="O148" s="439"/>
      <c r="P148" s="440" t="s">
        <v>2346</v>
      </c>
      <c r="Q148" s="441"/>
      <c r="R148" s="383" t="s">
        <v>332</v>
      </c>
      <c r="S148" s="442" t="s">
        <v>1794</v>
      </c>
      <c r="T148" s="443" t="s">
        <v>2349</v>
      </c>
      <c r="U148" s="444"/>
      <c r="V148" s="445"/>
      <c r="W148" s="406"/>
      <c r="X148" s="406"/>
      <c r="Y148" s="423"/>
      <c r="Z148" s="446" t="s">
        <v>207</v>
      </c>
      <c r="AA148" s="434" t="s">
        <v>208</v>
      </c>
      <c r="AB148" s="447"/>
      <c r="AC148" s="426">
        <f t="shared" si="9"/>
        <v>0</v>
      </c>
      <c r="AD148" s="426">
        <f t="shared" si="10"/>
        <v>0</v>
      </c>
      <c r="AE148" s="426">
        <f t="shared" si="11"/>
        <v>0</v>
      </c>
      <c r="AF148" s="427"/>
      <c r="AG148" s="428"/>
      <c r="AH148" s="427"/>
    </row>
    <row r="149" ht="15" customHeight="1" spans="1:34">
      <c r="A149" s="406">
        <f t="shared" si="8"/>
        <v>148</v>
      </c>
      <c r="B149" s="434" t="s">
        <v>1677</v>
      </c>
      <c r="C149" s="435"/>
      <c r="D149" s="436" t="s">
        <v>2350</v>
      </c>
      <c r="E149" s="406"/>
      <c r="F149" s="437"/>
      <c r="G149" s="436" t="s">
        <v>1907</v>
      </c>
      <c r="H149" s="436" t="s">
        <v>2351</v>
      </c>
      <c r="I149" s="427" t="s">
        <v>2352</v>
      </c>
      <c r="J149" s="435"/>
      <c r="K149" s="438"/>
      <c r="L149" s="435"/>
      <c r="M149" s="414"/>
      <c r="N149" s="438"/>
      <c r="O149" s="439"/>
      <c r="P149" s="440" t="s">
        <v>2350</v>
      </c>
      <c r="Q149" s="441"/>
      <c r="R149" s="383" t="s">
        <v>332</v>
      </c>
      <c r="S149" s="442" t="s">
        <v>712</v>
      </c>
      <c r="T149" s="443" t="s">
        <v>2353</v>
      </c>
      <c r="U149" s="444"/>
      <c r="V149" s="445"/>
      <c r="W149" s="406"/>
      <c r="X149" s="406"/>
      <c r="Y149" s="423"/>
      <c r="Z149" s="446" t="s">
        <v>207</v>
      </c>
      <c r="AA149" s="434" t="s">
        <v>208</v>
      </c>
      <c r="AB149" s="447"/>
      <c r="AC149" s="426">
        <f t="shared" si="9"/>
        <v>0</v>
      </c>
      <c r="AD149" s="426">
        <f t="shared" si="10"/>
        <v>0</v>
      </c>
      <c r="AE149" s="426">
        <f t="shared" si="11"/>
        <v>0</v>
      </c>
      <c r="AF149" s="427"/>
      <c r="AG149" s="428"/>
      <c r="AH149" s="427"/>
    </row>
    <row r="150" ht="15" customHeight="1" spans="1:34">
      <c r="A150" s="406">
        <f t="shared" si="8"/>
        <v>149</v>
      </c>
      <c r="B150" s="434" t="s">
        <v>1677</v>
      </c>
      <c r="C150" s="435"/>
      <c r="D150" s="436" t="s">
        <v>259</v>
      </c>
      <c r="E150" s="406"/>
      <c r="F150" s="437"/>
      <c r="G150" s="436" t="s">
        <v>1694</v>
      </c>
      <c r="H150" s="436" t="s">
        <v>2354</v>
      </c>
      <c r="I150" s="427" t="s">
        <v>2355</v>
      </c>
      <c r="J150" s="435"/>
      <c r="K150" s="438"/>
      <c r="L150" s="435"/>
      <c r="M150" s="414" t="s">
        <v>1710</v>
      </c>
      <c r="N150" s="438"/>
      <c r="O150" s="439"/>
      <c r="P150" s="440" t="s">
        <v>259</v>
      </c>
      <c r="Q150" s="441"/>
      <c r="R150" s="383" t="s">
        <v>332</v>
      </c>
      <c r="S150" s="442" t="s">
        <v>663</v>
      </c>
      <c r="T150" s="443" t="s">
        <v>2356</v>
      </c>
      <c r="U150" s="444"/>
      <c r="V150" s="445"/>
      <c r="W150" s="406"/>
      <c r="X150" s="406"/>
      <c r="Y150" s="423"/>
      <c r="Z150" s="446" t="s">
        <v>985</v>
      </c>
      <c r="AA150" s="434" t="s">
        <v>192</v>
      </c>
      <c r="AB150" s="531" t="s">
        <v>1126</v>
      </c>
      <c r="AC150" s="426">
        <f t="shared" si="9"/>
        <v>0</v>
      </c>
      <c r="AD150" s="426">
        <f t="shared" si="10"/>
        <v>0</v>
      </c>
      <c r="AE150" s="426">
        <f t="shared" si="11"/>
        <v>0</v>
      </c>
      <c r="AF150" s="427"/>
      <c r="AG150" s="428"/>
      <c r="AH150" s="427"/>
    </row>
    <row r="151" ht="15" customHeight="1" spans="1:34">
      <c r="A151" s="406">
        <f t="shared" si="8"/>
        <v>150</v>
      </c>
      <c r="B151" s="434" t="s">
        <v>1677</v>
      </c>
      <c r="C151" s="435"/>
      <c r="D151" s="436" t="s">
        <v>2357</v>
      </c>
      <c r="E151" s="406"/>
      <c r="F151" s="437"/>
      <c r="G151" s="436" t="s">
        <v>1770</v>
      </c>
      <c r="H151" s="436" t="s">
        <v>2358</v>
      </c>
      <c r="I151" s="427" t="s">
        <v>2359</v>
      </c>
      <c r="J151" s="435"/>
      <c r="K151" s="438"/>
      <c r="L151" s="435"/>
      <c r="M151" s="414" t="s">
        <v>2360</v>
      </c>
      <c r="N151" s="438"/>
      <c r="O151" s="439"/>
      <c r="P151" s="440" t="s">
        <v>2357</v>
      </c>
      <c r="Q151" s="441"/>
      <c r="R151" s="383" t="s">
        <v>332</v>
      </c>
      <c r="S151" s="442" t="s">
        <v>663</v>
      </c>
      <c r="T151" s="443" t="s">
        <v>2361</v>
      </c>
      <c r="U151" s="444"/>
      <c r="V151" s="445"/>
      <c r="W151" s="406"/>
      <c r="X151" s="406"/>
      <c r="Y151" s="423"/>
      <c r="Z151" s="446" t="s">
        <v>455</v>
      </c>
      <c r="AA151" s="434" t="s">
        <v>195</v>
      </c>
      <c r="AB151" s="447"/>
      <c r="AC151" s="426">
        <f t="shared" si="9"/>
        <v>0</v>
      </c>
      <c r="AD151" s="426">
        <f t="shared" si="10"/>
        <v>0</v>
      </c>
      <c r="AE151" s="426">
        <f t="shared" si="11"/>
        <v>0</v>
      </c>
      <c r="AF151" s="427"/>
      <c r="AG151" s="428"/>
      <c r="AH151" s="427"/>
    </row>
    <row r="152" ht="15" customHeight="1" spans="1:34">
      <c r="A152" s="406">
        <f t="shared" si="8"/>
        <v>151</v>
      </c>
      <c r="B152" s="434" t="s">
        <v>1677</v>
      </c>
      <c r="C152" s="435"/>
      <c r="D152" s="436" t="s">
        <v>2362</v>
      </c>
      <c r="E152" s="406"/>
      <c r="F152" s="437"/>
      <c r="G152" s="436" t="s">
        <v>1694</v>
      </c>
      <c r="H152" s="436" t="s">
        <v>2363</v>
      </c>
      <c r="I152" s="427" t="s">
        <v>2364</v>
      </c>
      <c r="J152" s="435"/>
      <c r="K152" s="438"/>
      <c r="L152" s="435"/>
      <c r="M152" s="414"/>
      <c r="N152" s="438"/>
      <c r="O152" s="439"/>
      <c r="P152" s="440" t="s">
        <v>2362</v>
      </c>
      <c r="Q152" s="441"/>
      <c r="R152" s="383" t="s">
        <v>327</v>
      </c>
      <c r="S152" s="442" t="s">
        <v>1999</v>
      </c>
      <c r="T152" s="443" t="s">
        <v>1042</v>
      </c>
      <c r="U152" s="444"/>
      <c r="V152" s="445"/>
      <c r="W152" s="406"/>
      <c r="X152" s="406"/>
      <c r="Y152" s="423"/>
      <c r="Z152" s="446" t="s">
        <v>455</v>
      </c>
      <c r="AA152" s="434" t="s">
        <v>199</v>
      </c>
      <c r="AB152" s="447"/>
      <c r="AC152" s="426">
        <f t="shared" si="9"/>
        <v>0</v>
      </c>
      <c r="AD152" s="426">
        <f t="shared" si="10"/>
        <v>0</v>
      </c>
      <c r="AE152" s="426">
        <f t="shared" si="11"/>
        <v>0</v>
      </c>
      <c r="AF152" s="427"/>
      <c r="AG152" s="428"/>
      <c r="AH152" s="427"/>
    </row>
    <row r="153" ht="15" customHeight="1" spans="1:34">
      <c r="A153" s="406">
        <f t="shared" si="8"/>
        <v>152</v>
      </c>
      <c r="B153" s="434" t="s">
        <v>1677</v>
      </c>
      <c r="C153" s="435"/>
      <c r="D153" s="436" t="s">
        <v>2365</v>
      </c>
      <c r="E153" s="406"/>
      <c r="F153" s="437"/>
      <c r="G153" s="436" t="s">
        <v>2262</v>
      </c>
      <c r="H153" s="436" t="s">
        <v>2366</v>
      </c>
      <c r="I153" s="427" t="s">
        <v>2367</v>
      </c>
      <c r="J153" s="435"/>
      <c r="K153" s="438"/>
      <c r="L153" s="435"/>
      <c r="M153" s="414"/>
      <c r="N153" s="438"/>
      <c r="O153" s="439"/>
      <c r="P153" s="440" t="s">
        <v>2365</v>
      </c>
      <c r="Q153" s="441"/>
      <c r="R153" s="383" t="s">
        <v>332</v>
      </c>
      <c r="S153" s="442" t="s">
        <v>1794</v>
      </c>
      <c r="T153" s="443" t="s">
        <v>2368</v>
      </c>
      <c r="U153" s="444"/>
      <c r="V153" s="445"/>
      <c r="W153" s="406"/>
      <c r="X153" s="406"/>
      <c r="Y153" s="423"/>
      <c r="Z153" s="446" t="s">
        <v>985</v>
      </c>
      <c r="AA153" s="434" t="s">
        <v>189</v>
      </c>
      <c r="AB153" s="447"/>
      <c r="AC153" s="426">
        <f t="shared" si="9"/>
        <v>0</v>
      </c>
      <c r="AD153" s="426">
        <f t="shared" si="10"/>
        <v>0</v>
      </c>
      <c r="AE153" s="426">
        <f t="shared" si="11"/>
        <v>0</v>
      </c>
      <c r="AF153" s="427"/>
      <c r="AG153" s="428"/>
      <c r="AH153" s="427"/>
    </row>
    <row r="154" ht="15" customHeight="1" spans="1:34">
      <c r="A154" s="406">
        <f t="shared" si="8"/>
        <v>153</v>
      </c>
      <c r="B154" s="434" t="s">
        <v>1677</v>
      </c>
      <c r="C154" s="435"/>
      <c r="D154" s="436" t="s">
        <v>2369</v>
      </c>
      <c r="E154" s="406"/>
      <c r="F154" s="437"/>
      <c r="G154" s="436" t="s">
        <v>1868</v>
      </c>
      <c r="H154" s="436" t="s">
        <v>2370</v>
      </c>
      <c r="I154" s="427" t="s">
        <v>2371</v>
      </c>
      <c r="J154" s="435"/>
      <c r="K154" s="438"/>
      <c r="L154" s="435"/>
      <c r="M154" s="414" t="s">
        <v>1688</v>
      </c>
      <c r="N154" s="438"/>
      <c r="O154" s="439"/>
      <c r="P154" s="440" t="s">
        <v>2369</v>
      </c>
      <c r="Q154" s="441"/>
      <c r="R154" s="383" t="s">
        <v>332</v>
      </c>
      <c r="S154" s="442" t="s">
        <v>2062</v>
      </c>
      <c r="T154" s="443" t="s">
        <v>2372</v>
      </c>
      <c r="U154" s="444"/>
      <c r="V154" s="445"/>
      <c r="W154" s="406"/>
      <c r="X154" s="406"/>
      <c r="Y154" s="423"/>
      <c r="Z154" s="446" t="s">
        <v>985</v>
      </c>
      <c r="AA154" s="434" t="s">
        <v>187</v>
      </c>
      <c r="AB154" s="447"/>
      <c r="AC154" s="426">
        <f t="shared" si="9"/>
        <v>0</v>
      </c>
      <c r="AD154" s="426">
        <f t="shared" si="10"/>
        <v>0</v>
      </c>
      <c r="AE154" s="426">
        <f t="shared" si="11"/>
        <v>0</v>
      </c>
      <c r="AF154" s="427"/>
      <c r="AG154" s="428"/>
      <c r="AH154" s="427"/>
    </row>
    <row r="155" ht="15" customHeight="1" spans="1:34">
      <c r="A155" s="406">
        <f t="shared" si="8"/>
        <v>154</v>
      </c>
      <c r="B155" s="434" t="s">
        <v>1721</v>
      </c>
      <c r="C155" s="435"/>
      <c r="D155" s="436" t="s">
        <v>2373</v>
      </c>
      <c r="E155" s="406"/>
      <c r="F155" s="437"/>
      <c r="G155" s="436" t="s">
        <v>1730</v>
      </c>
      <c r="H155" s="436" t="s">
        <v>2374</v>
      </c>
      <c r="I155" s="427" t="s">
        <v>2375</v>
      </c>
      <c r="J155" s="435"/>
      <c r="K155" s="438"/>
      <c r="L155" s="435"/>
      <c r="M155" s="498" t="s">
        <v>1710</v>
      </c>
      <c r="N155" s="438"/>
      <c r="O155" s="439"/>
      <c r="P155" s="440" t="s">
        <v>2373</v>
      </c>
      <c r="Q155" s="441"/>
      <c r="R155" s="383" t="s">
        <v>332</v>
      </c>
      <c r="S155" s="442" t="s">
        <v>663</v>
      </c>
      <c r="T155" s="443" t="s">
        <v>1041</v>
      </c>
      <c r="U155" s="444"/>
      <c r="V155" s="445"/>
      <c r="W155" s="406"/>
      <c r="X155" s="406"/>
      <c r="Y155" s="423"/>
      <c r="Z155" s="446" t="s">
        <v>985</v>
      </c>
      <c r="AA155" s="434" t="s">
        <v>192</v>
      </c>
      <c r="AB155" s="531"/>
      <c r="AC155" s="426">
        <f t="shared" si="9"/>
        <v>0</v>
      </c>
      <c r="AD155" s="426">
        <f t="shared" si="10"/>
        <v>0</v>
      </c>
      <c r="AE155" s="426">
        <f t="shared" si="11"/>
        <v>0</v>
      </c>
      <c r="AF155" s="427"/>
      <c r="AG155" s="428"/>
      <c r="AH155" s="427"/>
    </row>
    <row r="156" ht="15" customHeight="1" spans="1:34">
      <c r="A156" s="406">
        <f t="shared" si="8"/>
        <v>155</v>
      </c>
      <c r="B156" s="434" t="s">
        <v>1677</v>
      </c>
      <c r="C156" s="435"/>
      <c r="D156" s="436" t="s">
        <v>2376</v>
      </c>
      <c r="E156" s="406"/>
      <c r="F156" s="437"/>
      <c r="G156" s="436" t="s">
        <v>1770</v>
      </c>
      <c r="H156" s="436" t="s">
        <v>2377</v>
      </c>
      <c r="I156" s="427" t="s">
        <v>2378</v>
      </c>
      <c r="J156" s="435"/>
      <c r="K156" s="438"/>
      <c r="L156" s="435"/>
      <c r="M156" s="414" t="s">
        <v>1710</v>
      </c>
      <c r="N156" s="438"/>
      <c r="O156" s="439"/>
      <c r="P156" s="440" t="s">
        <v>2376</v>
      </c>
      <c r="Q156" s="441"/>
      <c r="R156" s="383" t="s">
        <v>332</v>
      </c>
      <c r="S156" s="442" t="s">
        <v>712</v>
      </c>
      <c r="T156" s="443" t="s">
        <v>2379</v>
      </c>
      <c r="U156" s="444"/>
      <c r="V156" s="445"/>
      <c r="W156" s="406"/>
      <c r="X156" s="406"/>
      <c r="Y156" s="423"/>
      <c r="Z156" s="446" t="s">
        <v>1765</v>
      </c>
      <c r="AA156" s="434" t="s">
        <v>183</v>
      </c>
      <c r="AB156" s="447" t="s">
        <v>1112</v>
      </c>
      <c r="AC156" s="426">
        <f t="shared" si="9"/>
        <v>0</v>
      </c>
      <c r="AD156" s="426">
        <f t="shared" si="10"/>
        <v>0</v>
      </c>
      <c r="AE156" s="426">
        <f t="shared" si="11"/>
        <v>0</v>
      </c>
      <c r="AF156" s="427"/>
      <c r="AG156" s="428"/>
      <c r="AH156" s="427"/>
    </row>
    <row r="157" ht="15" customHeight="1" spans="1:34">
      <c r="A157" s="406">
        <f t="shared" si="8"/>
        <v>156</v>
      </c>
      <c r="B157" s="407" t="s">
        <v>1677</v>
      </c>
      <c r="C157" s="408"/>
      <c r="D157" s="409" t="s">
        <v>2380</v>
      </c>
      <c r="E157" s="410" t="s">
        <v>2381</v>
      </c>
      <c r="F157" s="411" t="s">
        <v>2382</v>
      </c>
      <c r="G157" s="409" t="s">
        <v>1907</v>
      </c>
      <c r="H157" s="409" t="s">
        <v>2383</v>
      </c>
      <c r="I157" s="412" t="s">
        <v>2384</v>
      </c>
      <c r="J157" s="408"/>
      <c r="K157" s="413"/>
      <c r="L157" s="408"/>
      <c r="M157" s="414"/>
      <c r="N157" s="413"/>
      <c r="O157" s="415"/>
      <c r="P157" s="416" t="s">
        <v>2380</v>
      </c>
      <c r="Q157" s="417" t="s">
        <v>2381</v>
      </c>
      <c r="R157" s="418" t="s">
        <v>332</v>
      </c>
      <c r="S157" s="419" t="s">
        <v>663</v>
      </c>
      <c r="T157" s="420" t="s">
        <v>1574</v>
      </c>
      <c r="U157" s="421"/>
      <c r="V157" s="422"/>
      <c r="W157" s="410"/>
      <c r="X157" s="410"/>
      <c r="Y157" s="423"/>
      <c r="Z157" s="424" t="s">
        <v>263</v>
      </c>
      <c r="AA157" s="407" t="s">
        <v>266</v>
      </c>
      <c r="AB157" s="425"/>
      <c r="AC157" s="426">
        <f t="shared" si="9"/>
        <v>0</v>
      </c>
      <c r="AD157" s="426">
        <f t="shared" si="10"/>
        <v>0</v>
      </c>
      <c r="AE157" s="426">
        <f t="shared" si="11"/>
        <v>0</v>
      </c>
      <c r="AF157" s="427"/>
      <c r="AG157" s="428"/>
      <c r="AH157" s="427"/>
    </row>
    <row r="158" ht="15" customHeight="1" spans="1:34">
      <c r="A158" s="406">
        <f t="shared" si="8"/>
        <v>157</v>
      </c>
      <c r="B158" s="500" t="s">
        <v>1721</v>
      </c>
      <c r="C158" s="435"/>
      <c r="D158" s="436" t="s">
        <v>1573</v>
      </c>
      <c r="E158" s="406"/>
      <c r="F158" s="437"/>
      <c r="G158" s="436" t="s">
        <v>1946</v>
      </c>
      <c r="H158" s="436" t="s">
        <v>2385</v>
      </c>
      <c r="I158" s="427" t="s">
        <v>2386</v>
      </c>
      <c r="J158" s="532"/>
      <c r="K158" s="438"/>
      <c r="L158" s="532"/>
      <c r="M158" s="414"/>
      <c r="N158" s="438"/>
      <c r="O158" s="439"/>
      <c r="P158" s="440" t="s">
        <v>1573</v>
      </c>
      <c r="Q158" s="441"/>
      <c r="R158" s="383" t="s">
        <v>332</v>
      </c>
      <c r="S158" s="442" t="s">
        <v>681</v>
      </c>
      <c r="T158" s="443" t="s">
        <v>2387</v>
      </c>
      <c r="U158" s="444"/>
      <c r="V158" s="445"/>
      <c r="W158" s="406"/>
      <c r="X158" s="406"/>
      <c r="Y158" s="423"/>
      <c r="Z158" s="446" t="s">
        <v>207</v>
      </c>
      <c r="AA158" s="434" t="s">
        <v>208</v>
      </c>
      <c r="AB158" s="447"/>
      <c r="AC158" s="426">
        <f t="shared" si="9"/>
        <v>0</v>
      </c>
      <c r="AD158" s="426">
        <f t="shared" si="10"/>
        <v>0</v>
      </c>
      <c r="AE158" s="426">
        <f t="shared" si="11"/>
        <v>0</v>
      </c>
      <c r="AF158" s="427"/>
      <c r="AG158" s="428"/>
      <c r="AH158" s="427"/>
    </row>
    <row r="159" ht="15" customHeight="1" spans="1:34">
      <c r="A159" s="406">
        <f t="shared" si="8"/>
        <v>158</v>
      </c>
      <c r="B159" s="500" t="s">
        <v>1677</v>
      </c>
      <c r="C159" s="435"/>
      <c r="D159" s="436" t="s">
        <v>711</v>
      </c>
      <c r="E159" s="406"/>
      <c r="F159" s="437"/>
      <c r="G159" s="436" t="s">
        <v>1907</v>
      </c>
      <c r="H159" s="436" t="s">
        <v>2388</v>
      </c>
      <c r="I159" s="427" t="s">
        <v>2389</v>
      </c>
      <c r="J159" s="532"/>
      <c r="K159" s="438"/>
      <c r="L159" s="532"/>
      <c r="M159" s="414" t="s">
        <v>1780</v>
      </c>
      <c r="N159" s="438"/>
      <c r="O159" s="439"/>
      <c r="P159" s="440" t="s">
        <v>711</v>
      </c>
      <c r="Q159" s="441"/>
      <c r="R159" s="418" t="s">
        <v>332</v>
      </c>
      <c r="S159" s="442" t="s">
        <v>712</v>
      </c>
      <c r="T159" s="443" t="s">
        <v>713</v>
      </c>
      <c r="U159" s="444"/>
      <c r="V159" s="445"/>
      <c r="W159" s="406"/>
      <c r="X159" s="406"/>
      <c r="Y159" s="423"/>
      <c r="Z159" s="446" t="s">
        <v>667</v>
      </c>
      <c r="AA159" s="434" t="s">
        <v>258</v>
      </c>
      <c r="AB159" s="447"/>
      <c r="AC159" s="426">
        <f t="shared" si="9"/>
        <v>0</v>
      </c>
      <c r="AD159" s="426">
        <f t="shared" si="10"/>
        <v>0</v>
      </c>
      <c r="AE159" s="426">
        <f t="shared" si="11"/>
        <v>0</v>
      </c>
      <c r="AF159" s="427"/>
      <c r="AG159" s="428"/>
      <c r="AH159" s="427"/>
    </row>
    <row r="160" ht="15" customHeight="1" spans="1:34">
      <c r="A160" s="406">
        <f t="shared" si="8"/>
        <v>159</v>
      </c>
      <c r="B160" s="500" t="s">
        <v>1677</v>
      </c>
      <c r="C160" s="435"/>
      <c r="D160" s="436" t="s">
        <v>1579</v>
      </c>
      <c r="E160" s="406"/>
      <c r="F160" s="437" t="s">
        <v>2390</v>
      </c>
      <c r="G160" s="436" t="s">
        <v>2206</v>
      </c>
      <c r="H160" s="436" t="s">
        <v>2391</v>
      </c>
      <c r="I160" s="427" t="s">
        <v>2392</v>
      </c>
      <c r="J160" s="435"/>
      <c r="K160" s="438"/>
      <c r="L160" s="435"/>
      <c r="M160" s="414" t="s">
        <v>1688</v>
      </c>
      <c r="N160" s="438"/>
      <c r="O160" s="439"/>
      <c r="P160" s="440" t="s">
        <v>1579</v>
      </c>
      <c r="Q160" s="441"/>
      <c r="R160" s="383" t="s">
        <v>332</v>
      </c>
      <c r="S160" s="442" t="s">
        <v>663</v>
      </c>
      <c r="T160" s="443" t="s">
        <v>1578</v>
      </c>
      <c r="U160" s="444"/>
      <c r="V160" s="445"/>
      <c r="W160" s="406"/>
      <c r="X160" s="406"/>
      <c r="Y160" s="423"/>
      <c r="Z160" s="446" t="s">
        <v>263</v>
      </c>
      <c r="AA160" s="434" t="s">
        <v>264</v>
      </c>
      <c r="AB160" s="447"/>
      <c r="AC160" s="426">
        <f t="shared" si="9"/>
        <v>0</v>
      </c>
      <c r="AD160" s="426">
        <f t="shared" si="10"/>
        <v>0</v>
      </c>
      <c r="AE160" s="426">
        <f t="shared" si="11"/>
        <v>0</v>
      </c>
      <c r="AF160" s="427"/>
      <c r="AG160" s="428"/>
      <c r="AH160" s="427"/>
    </row>
    <row r="161" ht="15" customHeight="1" spans="1:34">
      <c r="A161" s="406">
        <f t="shared" si="8"/>
        <v>160</v>
      </c>
      <c r="B161" s="500" t="s">
        <v>1677</v>
      </c>
      <c r="C161" s="435"/>
      <c r="D161" s="436" t="s">
        <v>2393</v>
      </c>
      <c r="E161" s="406"/>
      <c r="F161" s="437"/>
      <c r="G161" s="436" t="s">
        <v>2085</v>
      </c>
      <c r="H161" s="436" t="s">
        <v>2394</v>
      </c>
      <c r="I161" s="427" t="s">
        <v>2395</v>
      </c>
      <c r="J161" s="435"/>
      <c r="K161" s="438"/>
      <c r="L161" s="435"/>
      <c r="M161" s="414" t="s">
        <v>1688</v>
      </c>
      <c r="N161" s="438"/>
      <c r="O161" s="439"/>
      <c r="P161" s="440" t="s">
        <v>2393</v>
      </c>
      <c r="Q161" s="441"/>
      <c r="R161" s="383" t="s">
        <v>332</v>
      </c>
      <c r="S161" s="442" t="s">
        <v>663</v>
      </c>
      <c r="T161" s="443" t="s">
        <v>2396</v>
      </c>
      <c r="U161" s="444"/>
      <c r="V161" s="445"/>
      <c r="W161" s="406"/>
      <c r="X161" s="406"/>
      <c r="Y161" s="423"/>
      <c r="Z161" s="446" t="s">
        <v>455</v>
      </c>
      <c r="AA161" s="434" t="s">
        <v>201</v>
      </c>
      <c r="AB161" s="447"/>
      <c r="AC161" s="426">
        <f t="shared" si="9"/>
        <v>0</v>
      </c>
      <c r="AD161" s="426">
        <f t="shared" si="10"/>
        <v>0</v>
      </c>
      <c r="AE161" s="426">
        <f t="shared" si="11"/>
        <v>0</v>
      </c>
      <c r="AF161" s="427"/>
      <c r="AG161" s="428"/>
      <c r="AH161" s="427"/>
    </row>
    <row r="162" ht="15" customHeight="1" spans="1:34">
      <c r="A162" s="406">
        <f t="shared" si="8"/>
        <v>161</v>
      </c>
      <c r="B162" s="500" t="s">
        <v>1677</v>
      </c>
      <c r="C162" s="435"/>
      <c r="D162" s="436" t="s">
        <v>2397</v>
      </c>
      <c r="E162" s="406"/>
      <c r="F162" s="437"/>
      <c r="G162" s="436" t="s">
        <v>1868</v>
      </c>
      <c r="H162" s="436" t="s">
        <v>2398</v>
      </c>
      <c r="I162" s="427" t="s">
        <v>2399</v>
      </c>
      <c r="J162" s="532"/>
      <c r="K162" s="438"/>
      <c r="L162" s="532"/>
      <c r="M162" s="414" t="s">
        <v>1710</v>
      </c>
      <c r="N162" s="438"/>
      <c r="O162" s="439"/>
      <c r="P162" s="440" t="s">
        <v>2397</v>
      </c>
      <c r="Q162" s="441"/>
      <c r="R162" s="418" t="s">
        <v>332</v>
      </c>
      <c r="S162" s="419" t="s">
        <v>663</v>
      </c>
      <c r="T162" s="443" t="s">
        <v>2400</v>
      </c>
      <c r="U162" s="444"/>
      <c r="V162" s="445"/>
      <c r="W162" s="406"/>
      <c r="X162" s="406"/>
      <c r="Y162" s="423"/>
      <c r="Z162" s="446" t="s">
        <v>455</v>
      </c>
      <c r="AA162" s="434" t="s">
        <v>195</v>
      </c>
      <c r="AB162" s="447"/>
      <c r="AC162" s="426">
        <f t="shared" si="9"/>
        <v>0</v>
      </c>
      <c r="AD162" s="426">
        <f t="shared" si="10"/>
        <v>0</v>
      </c>
      <c r="AE162" s="426">
        <f t="shared" si="11"/>
        <v>0</v>
      </c>
      <c r="AF162" s="427"/>
      <c r="AG162" s="428"/>
      <c r="AH162" s="427"/>
    </row>
    <row r="163" ht="15" customHeight="1" spans="1:34">
      <c r="A163" s="406">
        <f t="shared" si="8"/>
        <v>162</v>
      </c>
      <c r="B163" s="500" t="s">
        <v>1677</v>
      </c>
      <c r="C163" s="435"/>
      <c r="D163" s="436" t="s">
        <v>2401</v>
      </c>
      <c r="E163" s="406"/>
      <c r="F163" s="437"/>
      <c r="G163" s="436" t="s">
        <v>1770</v>
      </c>
      <c r="H163" s="436" t="s">
        <v>2402</v>
      </c>
      <c r="I163" s="427" t="s">
        <v>2403</v>
      </c>
      <c r="J163" s="532"/>
      <c r="K163" s="438"/>
      <c r="L163" s="532"/>
      <c r="M163" s="414" t="s">
        <v>1688</v>
      </c>
      <c r="N163" s="438"/>
      <c r="O163" s="439"/>
      <c r="P163" s="440" t="s">
        <v>2401</v>
      </c>
      <c r="Q163" s="441"/>
      <c r="R163" s="418" t="s">
        <v>332</v>
      </c>
      <c r="S163" s="442" t="s">
        <v>663</v>
      </c>
      <c r="T163" s="443" t="s">
        <v>2404</v>
      </c>
      <c r="U163" s="444"/>
      <c r="V163" s="445"/>
      <c r="W163" s="406"/>
      <c r="X163" s="406"/>
      <c r="Y163" s="423"/>
      <c r="Z163" s="446" t="s">
        <v>455</v>
      </c>
      <c r="AA163" s="434" t="s">
        <v>195</v>
      </c>
      <c r="AB163" s="447"/>
      <c r="AC163" s="426">
        <f t="shared" si="9"/>
        <v>0</v>
      </c>
      <c r="AD163" s="426">
        <f t="shared" si="10"/>
        <v>0</v>
      </c>
      <c r="AE163" s="426">
        <f t="shared" si="11"/>
        <v>0</v>
      </c>
      <c r="AF163" s="427"/>
      <c r="AG163" s="428"/>
      <c r="AH163" s="427"/>
    </row>
    <row r="164" ht="15" customHeight="1" spans="1:34">
      <c r="A164" s="406">
        <f t="shared" si="8"/>
        <v>163</v>
      </c>
      <c r="B164" s="434" t="s">
        <v>1677</v>
      </c>
      <c r="C164" s="435"/>
      <c r="D164" s="436" t="s">
        <v>2405</v>
      </c>
      <c r="E164" s="406"/>
      <c r="F164" s="437"/>
      <c r="G164" s="436" t="s">
        <v>1933</v>
      </c>
      <c r="H164" s="436" t="s">
        <v>2406</v>
      </c>
      <c r="I164" s="427" t="s">
        <v>2407</v>
      </c>
      <c r="J164" s="532"/>
      <c r="K164" s="438"/>
      <c r="L164" s="532"/>
      <c r="M164" s="414" t="s">
        <v>1710</v>
      </c>
      <c r="N164" s="438"/>
      <c r="O164" s="439"/>
      <c r="P164" s="440" t="s">
        <v>2405</v>
      </c>
      <c r="Q164" s="441"/>
      <c r="R164" s="383" t="s">
        <v>332</v>
      </c>
      <c r="S164" s="442" t="s">
        <v>2408</v>
      </c>
      <c r="T164" s="443" t="s">
        <v>1033</v>
      </c>
      <c r="U164" s="444"/>
      <c r="V164" s="445"/>
      <c r="W164" s="406"/>
      <c r="X164" s="406"/>
      <c r="Y164" s="423"/>
      <c r="Z164" s="446" t="s">
        <v>985</v>
      </c>
      <c r="AA164" s="434" t="s">
        <v>192</v>
      </c>
      <c r="AB164" s="447" t="s">
        <v>1126</v>
      </c>
      <c r="AC164" s="426">
        <f t="shared" si="9"/>
        <v>0</v>
      </c>
      <c r="AD164" s="426">
        <f t="shared" si="10"/>
        <v>0</v>
      </c>
      <c r="AE164" s="426">
        <f t="shared" si="11"/>
        <v>0</v>
      </c>
      <c r="AF164" s="427"/>
      <c r="AG164" s="428"/>
      <c r="AH164" s="427"/>
    </row>
    <row r="165" ht="15" customHeight="1" spans="1:34">
      <c r="A165" s="406">
        <f t="shared" si="8"/>
        <v>164</v>
      </c>
      <c r="B165" s="500" t="s">
        <v>1721</v>
      </c>
      <c r="C165" s="435"/>
      <c r="D165" s="436" t="s">
        <v>2409</v>
      </c>
      <c r="E165" s="406"/>
      <c r="F165" s="437"/>
      <c r="G165" s="436" t="s">
        <v>2410</v>
      </c>
      <c r="H165" s="436" t="s">
        <v>2411</v>
      </c>
      <c r="I165" s="427" t="s">
        <v>2412</v>
      </c>
      <c r="J165" s="435"/>
      <c r="K165" s="438"/>
      <c r="L165" s="435"/>
      <c r="M165" s="414"/>
      <c r="N165" s="438"/>
      <c r="O165" s="439"/>
      <c r="P165" s="440" t="s">
        <v>2409</v>
      </c>
      <c r="Q165" s="441"/>
      <c r="R165" s="383" t="s">
        <v>332</v>
      </c>
      <c r="S165" s="442" t="s">
        <v>681</v>
      </c>
      <c r="T165" s="443" t="s">
        <v>2413</v>
      </c>
      <c r="U165" s="444"/>
      <c r="V165" s="445"/>
      <c r="W165" s="406"/>
      <c r="X165" s="406"/>
      <c r="Y165" s="423"/>
      <c r="Z165" s="446" t="s">
        <v>207</v>
      </c>
      <c r="AA165" s="434" t="s">
        <v>208</v>
      </c>
      <c r="AB165" s="447"/>
      <c r="AC165" s="426">
        <f t="shared" si="9"/>
        <v>0</v>
      </c>
      <c r="AD165" s="426">
        <f t="shared" si="10"/>
        <v>0</v>
      </c>
      <c r="AE165" s="426">
        <f t="shared" si="11"/>
        <v>0</v>
      </c>
      <c r="AF165" s="427"/>
      <c r="AG165" s="428"/>
      <c r="AH165" s="427"/>
    </row>
    <row r="166" ht="15" customHeight="1" spans="1:34">
      <c r="A166" s="406">
        <f t="shared" si="8"/>
        <v>165</v>
      </c>
      <c r="B166" s="434" t="s">
        <v>1677</v>
      </c>
      <c r="C166" s="435"/>
      <c r="D166" s="436" t="s">
        <v>2414</v>
      </c>
      <c r="E166" s="406"/>
      <c r="F166" s="437" t="s">
        <v>2415</v>
      </c>
      <c r="G166" s="436" t="s">
        <v>2416</v>
      </c>
      <c r="H166" s="436" t="s">
        <v>2417</v>
      </c>
      <c r="I166" s="427" t="s">
        <v>2418</v>
      </c>
      <c r="J166" s="532"/>
      <c r="K166" s="438"/>
      <c r="L166" s="532"/>
      <c r="M166" s="414" t="s">
        <v>1710</v>
      </c>
      <c r="N166" s="438"/>
      <c r="O166" s="439"/>
      <c r="P166" s="440" t="s">
        <v>2414</v>
      </c>
      <c r="Q166" s="441"/>
      <c r="R166" s="383" t="s">
        <v>332</v>
      </c>
      <c r="S166" s="442" t="s">
        <v>663</v>
      </c>
      <c r="T166" s="443" t="s">
        <v>2419</v>
      </c>
      <c r="U166" s="444"/>
      <c r="V166" s="445"/>
      <c r="W166" s="406"/>
      <c r="X166" s="406"/>
      <c r="Y166" s="423"/>
      <c r="Z166" s="446" t="s">
        <v>1765</v>
      </c>
      <c r="AA166" s="434" t="s">
        <v>178</v>
      </c>
      <c r="AB166" s="447" t="s">
        <v>1112</v>
      </c>
      <c r="AC166" s="426">
        <f t="shared" si="9"/>
        <v>0</v>
      </c>
      <c r="AD166" s="426">
        <f t="shared" si="10"/>
        <v>0</v>
      </c>
      <c r="AE166" s="426">
        <f t="shared" si="11"/>
        <v>0</v>
      </c>
      <c r="AF166" s="427"/>
      <c r="AG166" s="428"/>
      <c r="AH166" s="427"/>
    </row>
    <row r="167" ht="15" customHeight="1" spans="1:34">
      <c r="A167" s="406">
        <f t="shared" si="8"/>
        <v>166</v>
      </c>
      <c r="B167" s="515" t="s">
        <v>1677</v>
      </c>
      <c r="C167" s="516"/>
      <c r="D167" s="517" t="s">
        <v>2420</v>
      </c>
      <c r="E167" s="518"/>
      <c r="F167" s="519" t="s">
        <v>2421</v>
      </c>
      <c r="G167" s="517" t="s">
        <v>1791</v>
      </c>
      <c r="H167" s="517" t="s">
        <v>2422</v>
      </c>
      <c r="I167" s="520" t="s">
        <v>2423</v>
      </c>
      <c r="J167" s="533"/>
      <c r="K167" s="521"/>
      <c r="L167" s="533"/>
      <c r="M167" s="522" t="s">
        <v>1688</v>
      </c>
      <c r="N167" s="521"/>
      <c r="O167" s="523"/>
      <c r="P167" s="524" t="s">
        <v>2420</v>
      </c>
      <c r="Q167" s="525"/>
      <c r="R167" s="526" t="s">
        <v>332</v>
      </c>
      <c r="S167" s="527" t="s">
        <v>712</v>
      </c>
      <c r="T167" s="528" t="s">
        <v>2424</v>
      </c>
      <c r="U167" s="534"/>
      <c r="V167" s="529"/>
      <c r="W167" s="518"/>
      <c r="X167" s="518"/>
      <c r="Y167" s="423"/>
      <c r="Z167" s="530" t="s">
        <v>1765</v>
      </c>
      <c r="AA167" s="515" t="s">
        <v>179</v>
      </c>
      <c r="AB167" s="531" t="s">
        <v>1112</v>
      </c>
      <c r="AC167" s="426">
        <f t="shared" si="9"/>
        <v>0</v>
      </c>
      <c r="AD167" s="426">
        <f t="shared" si="10"/>
        <v>0</v>
      </c>
      <c r="AE167" s="426">
        <f t="shared" si="11"/>
        <v>0</v>
      </c>
      <c r="AF167" s="427"/>
      <c r="AG167" s="428"/>
      <c r="AH167" s="427"/>
    </row>
    <row r="168" ht="15" customHeight="1" spans="1:34">
      <c r="A168" s="406">
        <f t="shared" si="8"/>
        <v>167</v>
      </c>
      <c r="B168" s="500" t="s">
        <v>1677</v>
      </c>
      <c r="C168" s="435"/>
      <c r="D168" s="436" t="s">
        <v>2425</v>
      </c>
      <c r="E168" s="406"/>
      <c r="F168" s="437" t="s">
        <v>2426</v>
      </c>
      <c r="G168" s="436" t="s">
        <v>1854</v>
      </c>
      <c r="H168" s="436" t="s">
        <v>2427</v>
      </c>
      <c r="I168" s="437" t="s">
        <v>2428</v>
      </c>
      <c r="J168" s="435"/>
      <c r="K168" s="438"/>
      <c r="L168" s="435"/>
      <c r="M168" s="414" t="s">
        <v>1739</v>
      </c>
      <c r="N168" s="438"/>
      <c r="O168" s="439"/>
      <c r="P168" s="440" t="s">
        <v>2425</v>
      </c>
      <c r="Q168" s="441"/>
      <c r="R168" s="383" t="s">
        <v>332</v>
      </c>
      <c r="S168" s="442" t="s">
        <v>681</v>
      </c>
      <c r="T168" s="443" t="s">
        <v>2429</v>
      </c>
      <c r="U168" s="444"/>
      <c r="V168" s="445"/>
      <c r="W168" s="406"/>
      <c r="X168" s="406"/>
      <c r="Y168" s="423"/>
      <c r="Z168" s="446" t="s">
        <v>1017</v>
      </c>
      <c r="AA168" s="434" t="s">
        <v>171</v>
      </c>
      <c r="AB168" s="447" t="s">
        <v>1112</v>
      </c>
      <c r="AC168" s="426">
        <f t="shared" si="9"/>
        <v>0</v>
      </c>
      <c r="AD168" s="426">
        <f t="shared" si="10"/>
        <v>0</v>
      </c>
      <c r="AE168" s="426">
        <f t="shared" si="11"/>
        <v>0</v>
      </c>
      <c r="AF168" s="427"/>
      <c r="AG168" s="428"/>
      <c r="AH168" s="427"/>
    </row>
    <row r="169" ht="15" customHeight="1" spans="1:34">
      <c r="A169" s="406">
        <f t="shared" si="8"/>
        <v>168</v>
      </c>
      <c r="B169" s="500" t="s">
        <v>1677</v>
      </c>
      <c r="C169" s="435"/>
      <c r="D169" s="436" t="s">
        <v>2430</v>
      </c>
      <c r="E169" s="406"/>
      <c r="F169" s="437"/>
      <c r="G169" s="436" t="s">
        <v>2431</v>
      </c>
      <c r="H169" s="436" t="s">
        <v>2432</v>
      </c>
      <c r="I169" s="427" t="s">
        <v>2433</v>
      </c>
      <c r="J169" s="532"/>
      <c r="K169" s="438"/>
      <c r="L169" s="532"/>
      <c r="M169" s="414" t="s">
        <v>1688</v>
      </c>
      <c r="N169" s="438"/>
      <c r="O169" s="439"/>
      <c r="P169" s="440" t="s">
        <v>2430</v>
      </c>
      <c r="Q169" s="441"/>
      <c r="R169" s="383" t="s">
        <v>332</v>
      </c>
      <c r="S169" s="442" t="s">
        <v>663</v>
      </c>
      <c r="T169" s="443" t="s">
        <v>2434</v>
      </c>
      <c r="U169" s="444"/>
      <c r="V169" s="445"/>
      <c r="W169" s="406"/>
      <c r="X169" s="406"/>
      <c r="Y169" s="423"/>
      <c r="Z169" s="446" t="s">
        <v>985</v>
      </c>
      <c r="AA169" s="434" t="s">
        <v>189</v>
      </c>
      <c r="AB169" s="447" t="s">
        <v>1126</v>
      </c>
      <c r="AC169" s="426">
        <f t="shared" si="9"/>
        <v>0</v>
      </c>
      <c r="AD169" s="426">
        <f t="shared" si="10"/>
        <v>0</v>
      </c>
      <c r="AE169" s="426">
        <f t="shared" si="11"/>
        <v>0</v>
      </c>
      <c r="AF169" s="427"/>
      <c r="AG169" s="428"/>
      <c r="AH169" s="427"/>
    </row>
    <row r="170" ht="15" customHeight="1" spans="1:34">
      <c r="A170" s="406">
        <f t="shared" si="8"/>
        <v>169</v>
      </c>
      <c r="B170" s="500" t="s">
        <v>1677</v>
      </c>
      <c r="C170" s="435"/>
      <c r="D170" s="436" t="s">
        <v>2435</v>
      </c>
      <c r="E170" s="406"/>
      <c r="F170" s="437"/>
      <c r="G170" s="436" t="s">
        <v>2006</v>
      </c>
      <c r="H170" s="436" t="s">
        <v>2436</v>
      </c>
      <c r="I170" s="427" t="s">
        <v>2437</v>
      </c>
      <c r="J170" s="532"/>
      <c r="K170" s="438"/>
      <c r="L170" s="532"/>
      <c r="M170" s="414"/>
      <c r="N170" s="438"/>
      <c r="O170" s="439"/>
      <c r="P170" s="436" t="s">
        <v>2435</v>
      </c>
      <c r="Q170" s="441"/>
      <c r="R170" s="383" t="s">
        <v>332</v>
      </c>
      <c r="S170" s="442" t="s">
        <v>663</v>
      </c>
      <c r="T170" s="443" t="s">
        <v>2438</v>
      </c>
      <c r="U170" s="444"/>
      <c r="V170" s="445"/>
      <c r="W170" s="406"/>
      <c r="X170" s="406"/>
      <c r="Y170" s="423"/>
      <c r="Z170" s="446" t="s">
        <v>455</v>
      </c>
      <c r="AA170" s="434" t="s">
        <v>204</v>
      </c>
      <c r="AB170" s="447"/>
      <c r="AC170" s="426">
        <f t="shared" si="9"/>
        <v>0</v>
      </c>
      <c r="AD170" s="426">
        <f t="shared" si="10"/>
        <v>0</v>
      </c>
      <c r="AE170" s="426">
        <f t="shared" si="11"/>
        <v>0</v>
      </c>
      <c r="AF170" s="427"/>
      <c r="AG170" s="459"/>
      <c r="AH170" s="427"/>
    </row>
    <row r="171" ht="15" customHeight="1" spans="1:34">
      <c r="A171" s="406">
        <f t="shared" si="8"/>
        <v>170</v>
      </c>
      <c r="B171" s="500" t="s">
        <v>1721</v>
      </c>
      <c r="C171" s="435"/>
      <c r="D171" s="436" t="s">
        <v>2439</v>
      </c>
      <c r="E171" s="406"/>
      <c r="F171" s="437"/>
      <c r="G171" s="436" t="s">
        <v>2440</v>
      </c>
      <c r="H171" s="436" t="s">
        <v>2441</v>
      </c>
      <c r="I171" s="427" t="s">
        <v>2442</v>
      </c>
      <c r="J171" s="435"/>
      <c r="K171" s="438"/>
      <c r="L171" s="435"/>
      <c r="M171" s="414" t="s">
        <v>1710</v>
      </c>
      <c r="N171" s="438"/>
      <c r="O171" s="439"/>
      <c r="P171" s="440" t="s">
        <v>2439</v>
      </c>
      <c r="Q171" s="441"/>
      <c r="R171" s="383" t="s">
        <v>332</v>
      </c>
      <c r="S171" s="442" t="s">
        <v>681</v>
      </c>
      <c r="T171" s="443" t="s">
        <v>2443</v>
      </c>
      <c r="U171" s="444"/>
      <c r="V171" s="445"/>
      <c r="W171" s="406"/>
      <c r="X171" s="406"/>
      <c r="Y171" s="423"/>
      <c r="Z171" s="446" t="s">
        <v>985</v>
      </c>
      <c r="AA171" s="434" t="s">
        <v>190</v>
      </c>
      <c r="AB171" s="447" t="s">
        <v>1126</v>
      </c>
      <c r="AC171" s="426">
        <f t="shared" si="9"/>
        <v>0</v>
      </c>
      <c r="AD171" s="426">
        <f t="shared" si="10"/>
        <v>0</v>
      </c>
      <c r="AE171" s="426">
        <f t="shared" si="11"/>
        <v>0</v>
      </c>
      <c r="AF171" s="412"/>
      <c r="AG171" s="428"/>
      <c r="AH171" s="427"/>
    </row>
    <row r="172" ht="15" customHeight="1" spans="1:34">
      <c r="A172" s="406">
        <f t="shared" si="8"/>
        <v>171</v>
      </c>
      <c r="B172" s="500" t="s">
        <v>1677</v>
      </c>
      <c r="C172" s="435"/>
      <c r="D172" s="436" t="s">
        <v>2444</v>
      </c>
      <c r="E172" s="406"/>
      <c r="F172" s="437"/>
      <c r="G172" s="436" t="s">
        <v>1791</v>
      </c>
      <c r="H172" s="436" t="s">
        <v>2445</v>
      </c>
      <c r="I172" s="427" t="s">
        <v>2446</v>
      </c>
      <c r="J172" s="435"/>
      <c r="K172" s="438"/>
      <c r="L172" s="435"/>
      <c r="M172" s="414"/>
      <c r="N172" s="438"/>
      <c r="O172" s="439"/>
      <c r="P172" s="440" t="s">
        <v>2444</v>
      </c>
      <c r="Q172" s="441"/>
      <c r="R172" s="383" t="s">
        <v>332</v>
      </c>
      <c r="S172" s="442" t="s">
        <v>681</v>
      </c>
      <c r="T172" s="443" t="s">
        <v>2447</v>
      </c>
      <c r="U172" s="444"/>
      <c r="V172" s="445"/>
      <c r="W172" s="406"/>
      <c r="X172" s="406"/>
      <c r="Y172" s="423"/>
      <c r="Z172" s="446" t="s">
        <v>207</v>
      </c>
      <c r="AA172" s="434" t="s">
        <v>208</v>
      </c>
      <c r="AB172" s="447"/>
      <c r="AC172" s="426">
        <f t="shared" si="9"/>
        <v>0</v>
      </c>
      <c r="AD172" s="426">
        <f t="shared" si="10"/>
        <v>0</v>
      </c>
      <c r="AE172" s="426">
        <f t="shared" si="11"/>
        <v>0</v>
      </c>
      <c r="AF172" s="427"/>
      <c r="AG172" s="428"/>
      <c r="AH172" s="427"/>
    </row>
    <row r="173" ht="15" customHeight="1" spans="1:34">
      <c r="A173" s="406">
        <f t="shared" si="8"/>
        <v>172</v>
      </c>
      <c r="B173" s="500" t="s">
        <v>1677</v>
      </c>
      <c r="C173" s="435"/>
      <c r="D173" s="436" t="s">
        <v>2448</v>
      </c>
      <c r="E173" s="406"/>
      <c r="F173" s="437"/>
      <c r="G173" s="436" t="s">
        <v>1986</v>
      </c>
      <c r="H173" s="436" t="s">
        <v>2449</v>
      </c>
      <c r="I173" s="427" t="s">
        <v>2450</v>
      </c>
      <c r="J173" s="532"/>
      <c r="K173" s="438"/>
      <c r="L173" s="532"/>
      <c r="M173" s="414"/>
      <c r="N173" s="438"/>
      <c r="O173" s="439"/>
      <c r="P173" s="440" t="s">
        <v>2448</v>
      </c>
      <c r="Q173" s="441"/>
      <c r="R173" s="383" t="s">
        <v>327</v>
      </c>
      <c r="S173" s="442" t="s">
        <v>681</v>
      </c>
      <c r="T173" s="443" t="s">
        <v>2451</v>
      </c>
      <c r="U173" s="444"/>
      <c r="V173" s="445"/>
      <c r="W173" s="406"/>
      <c r="X173" s="406"/>
      <c r="Y173" s="423"/>
      <c r="Z173" s="446" t="s">
        <v>207</v>
      </c>
      <c r="AA173" s="434" t="s">
        <v>208</v>
      </c>
      <c r="AB173" s="447"/>
      <c r="AC173" s="426">
        <f t="shared" si="9"/>
        <v>0</v>
      </c>
      <c r="AD173" s="426">
        <f t="shared" si="10"/>
        <v>0</v>
      </c>
      <c r="AE173" s="426">
        <f t="shared" si="11"/>
        <v>0</v>
      </c>
      <c r="AF173" s="427"/>
      <c r="AG173" s="428"/>
      <c r="AH173" s="427"/>
    </row>
    <row r="174" ht="15" customHeight="1" spans="1:34">
      <c r="A174" s="406">
        <f t="shared" si="8"/>
        <v>173</v>
      </c>
      <c r="B174" s="500" t="s">
        <v>1677</v>
      </c>
      <c r="C174" s="435"/>
      <c r="D174" s="436" t="s">
        <v>2452</v>
      </c>
      <c r="E174" s="406"/>
      <c r="F174" s="437"/>
      <c r="G174" s="436" t="s">
        <v>1986</v>
      </c>
      <c r="H174" s="436" t="s">
        <v>2453</v>
      </c>
      <c r="I174" s="427" t="s">
        <v>2454</v>
      </c>
      <c r="J174" s="532"/>
      <c r="K174" s="438"/>
      <c r="L174" s="532"/>
      <c r="M174" s="414"/>
      <c r="N174" s="438"/>
      <c r="O174" s="439"/>
      <c r="P174" s="440" t="s">
        <v>2452</v>
      </c>
      <c r="Q174" s="441"/>
      <c r="R174" s="383" t="s">
        <v>332</v>
      </c>
      <c r="S174" s="442" t="s">
        <v>681</v>
      </c>
      <c r="T174" s="443" t="s">
        <v>2455</v>
      </c>
      <c r="U174" s="444"/>
      <c r="V174" s="445"/>
      <c r="W174" s="406"/>
      <c r="X174" s="406"/>
      <c r="Y174" s="423"/>
      <c r="Z174" s="446" t="s">
        <v>207</v>
      </c>
      <c r="AA174" s="434" t="s">
        <v>208</v>
      </c>
      <c r="AB174" s="447"/>
      <c r="AC174" s="426">
        <f t="shared" si="9"/>
        <v>0</v>
      </c>
      <c r="AD174" s="426">
        <f t="shared" si="10"/>
        <v>0</v>
      </c>
      <c r="AE174" s="426">
        <f t="shared" si="11"/>
        <v>0</v>
      </c>
      <c r="AF174" s="427"/>
      <c r="AG174" s="428"/>
      <c r="AH174" s="427"/>
    </row>
    <row r="175" ht="15" customHeight="1" spans="1:34">
      <c r="A175" s="406">
        <f t="shared" si="8"/>
        <v>174</v>
      </c>
      <c r="B175" s="500" t="s">
        <v>1677</v>
      </c>
      <c r="C175" s="435"/>
      <c r="D175" s="436" t="s">
        <v>2456</v>
      </c>
      <c r="E175" s="406"/>
      <c r="F175" s="437"/>
      <c r="G175" s="436" t="s">
        <v>1854</v>
      </c>
      <c r="H175" s="436" t="s">
        <v>2457</v>
      </c>
      <c r="I175" s="427" t="s">
        <v>2458</v>
      </c>
      <c r="J175" s="532"/>
      <c r="K175" s="438"/>
      <c r="L175" s="532"/>
      <c r="M175" s="414" t="s">
        <v>1710</v>
      </c>
      <c r="N175" s="438"/>
      <c r="O175" s="439"/>
      <c r="P175" s="440" t="s">
        <v>2456</v>
      </c>
      <c r="Q175" s="441"/>
      <c r="R175" s="383" t="s">
        <v>332</v>
      </c>
      <c r="S175" s="442" t="s">
        <v>712</v>
      </c>
      <c r="T175" s="443" t="s">
        <v>2459</v>
      </c>
      <c r="U175" s="444"/>
      <c r="V175" s="445"/>
      <c r="W175" s="406"/>
      <c r="X175" s="406"/>
      <c r="Y175" s="423"/>
      <c r="Z175" s="446" t="s">
        <v>645</v>
      </c>
      <c r="AA175" s="434" t="s">
        <v>232</v>
      </c>
      <c r="AB175" s="447"/>
      <c r="AC175" s="426">
        <f t="shared" si="9"/>
        <v>0</v>
      </c>
      <c r="AD175" s="426">
        <f t="shared" si="10"/>
        <v>0</v>
      </c>
      <c r="AE175" s="426">
        <f t="shared" si="11"/>
        <v>0</v>
      </c>
      <c r="AF175" s="427"/>
      <c r="AG175" s="428"/>
      <c r="AH175" s="427"/>
    </row>
    <row r="176" ht="15" customHeight="1" spans="1:34">
      <c r="A176" s="406">
        <f t="shared" si="8"/>
        <v>175</v>
      </c>
      <c r="B176" s="500" t="s">
        <v>1677</v>
      </c>
      <c r="C176" s="435"/>
      <c r="D176" s="436" t="s">
        <v>2460</v>
      </c>
      <c r="E176" s="406"/>
      <c r="F176" s="437"/>
      <c r="G176" s="436" t="s">
        <v>1694</v>
      </c>
      <c r="H176" s="436" t="s">
        <v>2461</v>
      </c>
      <c r="I176" s="427" t="s">
        <v>2462</v>
      </c>
      <c r="J176" s="435"/>
      <c r="K176" s="438"/>
      <c r="L176" s="435"/>
      <c r="M176" s="414" t="s">
        <v>1710</v>
      </c>
      <c r="N176" s="438"/>
      <c r="O176" s="439"/>
      <c r="P176" s="440" t="s">
        <v>2460</v>
      </c>
      <c r="Q176" s="441"/>
      <c r="R176" s="383" t="s">
        <v>332</v>
      </c>
      <c r="S176" s="442" t="s">
        <v>681</v>
      </c>
      <c r="T176" s="443" t="s">
        <v>2463</v>
      </c>
      <c r="U176" s="444"/>
      <c r="V176" s="445"/>
      <c r="W176" s="406"/>
      <c r="X176" s="406"/>
      <c r="Y176" s="423"/>
      <c r="Z176" s="446" t="s">
        <v>1765</v>
      </c>
      <c r="AA176" s="434" t="s">
        <v>177</v>
      </c>
      <c r="AB176" s="447" t="s">
        <v>1112</v>
      </c>
      <c r="AC176" s="426">
        <f t="shared" si="9"/>
        <v>0</v>
      </c>
      <c r="AD176" s="426">
        <f t="shared" si="10"/>
        <v>0</v>
      </c>
      <c r="AE176" s="426">
        <f t="shared" si="11"/>
        <v>0</v>
      </c>
      <c r="AF176" s="427"/>
      <c r="AG176" s="428"/>
      <c r="AH176" s="427"/>
    </row>
    <row r="177" ht="15" customHeight="1" spans="1:34">
      <c r="A177" s="406">
        <f t="shared" si="8"/>
        <v>176</v>
      </c>
      <c r="B177" s="500" t="s">
        <v>1677</v>
      </c>
      <c r="C177" s="435"/>
      <c r="D177" s="436" t="s">
        <v>2464</v>
      </c>
      <c r="E177" s="406"/>
      <c r="F177" s="437"/>
      <c r="G177" s="436" t="s">
        <v>1933</v>
      </c>
      <c r="H177" s="436" t="s">
        <v>2465</v>
      </c>
      <c r="I177" s="427" t="s">
        <v>2466</v>
      </c>
      <c r="J177" s="532"/>
      <c r="K177" s="438"/>
      <c r="L177" s="532"/>
      <c r="M177" s="414" t="s">
        <v>1688</v>
      </c>
      <c r="N177" s="438"/>
      <c r="O177" s="439"/>
      <c r="P177" s="440" t="s">
        <v>2464</v>
      </c>
      <c r="Q177" s="441"/>
      <c r="R177" s="383" t="s">
        <v>332</v>
      </c>
      <c r="S177" s="442" t="s">
        <v>663</v>
      </c>
      <c r="T177" s="443" t="s">
        <v>2467</v>
      </c>
      <c r="U177" s="444"/>
      <c r="V177" s="445"/>
      <c r="W177" s="406"/>
      <c r="X177" s="406"/>
      <c r="Y177" s="423"/>
      <c r="Z177" s="446" t="s">
        <v>985</v>
      </c>
      <c r="AA177" s="434" t="s">
        <v>190</v>
      </c>
      <c r="AB177" s="447" t="s">
        <v>1126</v>
      </c>
      <c r="AC177" s="426">
        <f t="shared" si="9"/>
        <v>0</v>
      </c>
      <c r="AD177" s="426">
        <f t="shared" si="10"/>
        <v>0</v>
      </c>
      <c r="AE177" s="426">
        <f t="shared" si="11"/>
        <v>0</v>
      </c>
      <c r="AF177" s="427"/>
      <c r="AG177" s="428"/>
      <c r="AH177" s="427"/>
    </row>
    <row r="178" ht="15" customHeight="1" spans="1:34">
      <c r="A178" s="406">
        <f t="shared" si="8"/>
        <v>177</v>
      </c>
      <c r="B178" s="434" t="s">
        <v>1677</v>
      </c>
      <c r="C178" s="435"/>
      <c r="D178" s="436" t="s">
        <v>2468</v>
      </c>
      <c r="E178" s="406"/>
      <c r="F178" s="437"/>
      <c r="G178" s="436" t="s">
        <v>1791</v>
      </c>
      <c r="H178" s="436" t="s">
        <v>2469</v>
      </c>
      <c r="I178" s="427" t="s">
        <v>2470</v>
      </c>
      <c r="J178" s="532"/>
      <c r="K178" s="438"/>
      <c r="L178" s="532"/>
      <c r="M178" s="414"/>
      <c r="N178" s="438"/>
      <c r="O178" s="439"/>
      <c r="P178" s="440" t="s">
        <v>2468</v>
      </c>
      <c r="Q178" s="441"/>
      <c r="R178" s="383" t="s">
        <v>332</v>
      </c>
      <c r="S178" s="442" t="s">
        <v>663</v>
      </c>
      <c r="T178" s="443" t="s">
        <v>1598</v>
      </c>
      <c r="U178" s="444"/>
      <c r="V178" s="445"/>
      <c r="W178" s="406"/>
      <c r="X178" s="406"/>
      <c r="Y178" s="423"/>
      <c r="Z178" s="446" t="s">
        <v>660</v>
      </c>
      <c r="AA178" s="434" t="s">
        <v>243</v>
      </c>
      <c r="AB178" s="447"/>
      <c r="AC178" s="426">
        <f t="shared" si="9"/>
        <v>0</v>
      </c>
      <c r="AD178" s="426">
        <f t="shared" si="10"/>
        <v>0</v>
      </c>
      <c r="AE178" s="426">
        <f t="shared" si="11"/>
        <v>0</v>
      </c>
      <c r="AF178" s="427"/>
      <c r="AG178" s="428"/>
      <c r="AH178" s="427"/>
    </row>
    <row r="179" ht="15" customHeight="1" spans="1:34">
      <c r="A179" s="406">
        <f t="shared" si="8"/>
        <v>178</v>
      </c>
      <c r="B179" s="434" t="s">
        <v>1677</v>
      </c>
      <c r="C179" s="435"/>
      <c r="D179" s="436" t="s">
        <v>2471</v>
      </c>
      <c r="E179" s="406"/>
      <c r="F179" s="437"/>
      <c r="G179" s="406" t="s">
        <v>1886</v>
      </c>
      <c r="H179" s="436" t="s">
        <v>2472</v>
      </c>
      <c r="I179" s="427" t="s">
        <v>2473</v>
      </c>
      <c r="J179" s="532"/>
      <c r="K179" s="438"/>
      <c r="L179" s="532"/>
      <c r="M179" s="414" t="s">
        <v>1710</v>
      </c>
      <c r="N179" s="438"/>
      <c r="O179" s="439"/>
      <c r="P179" s="440" t="s">
        <v>2471</v>
      </c>
      <c r="Q179" s="441"/>
      <c r="R179" s="383" t="s">
        <v>332</v>
      </c>
      <c r="S179" s="442" t="s">
        <v>681</v>
      </c>
      <c r="T179" s="443" t="s">
        <v>2474</v>
      </c>
      <c r="U179" s="444"/>
      <c r="V179" s="445"/>
      <c r="W179" s="406"/>
      <c r="X179" s="406"/>
      <c r="Y179" s="423"/>
      <c r="Z179" s="446" t="s">
        <v>667</v>
      </c>
      <c r="AA179" s="434" t="s">
        <v>257</v>
      </c>
      <c r="AB179" s="447"/>
      <c r="AC179" s="426">
        <f t="shared" si="9"/>
        <v>0</v>
      </c>
      <c r="AD179" s="426">
        <f t="shared" si="10"/>
        <v>0</v>
      </c>
      <c r="AE179" s="426">
        <f t="shared" si="11"/>
        <v>0</v>
      </c>
      <c r="AF179" s="427"/>
      <c r="AG179" s="428"/>
      <c r="AH179" s="427"/>
    </row>
    <row r="180" ht="15" customHeight="1" spans="1:34">
      <c r="A180" s="406">
        <f t="shared" si="8"/>
        <v>179</v>
      </c>
      <c r="B180" s="434" t="s">
        <v>1677</v>
      </c>
      <c r="C180" s="435"/>
      <c r="D180" s="436" t="s">
        <v>1606</v>
      </c>
      <c r="E180" s="406"/>
      <c r="F180" s="437"/>
      <c r="G180" s="436" t="s">
        <v>1730</v>
      </c>
      <c r="H180" s="436" t="s">
        <v>2475</v>
      </c>
      <c r="I180" s="427" t="s">
        <v>2476</v>
      </c>
      <c r="J180" s="532"/>
      <c r="K180" s="438"/>
      <c r="L180" s="532"/>
      <c r="M180" s="414" t="s">
        <v>1780</v>
      </c>
      <c r="N180" s="438"/>
      <c r="O180" s="439"/>
      <c r="P180" s="440" t="s">
        <v>1606</v>
      </c>
      <c r="Q180" s="441"/>
      <c r="R180" s="383" t="s">
        <v>332</v>
      </c>
      <c r="S180" s="442" t="s">
        <v>663</v>
      </c>
      <c r="T180" s="443" t="s">
        <v>1605</v>
      </c>
      <c r="U180" s="444"/>
      <c r="V180" s="445"/>
      <c r="W180" s="406"/>
      <c r="X180" s="406"/>
      <c r="Y180" s="423"/>
      <c r="Z180" s="446" t="s">
        <v>667</v>
      </c>
      <c r="AA180" s="434" t="s">
        <v>259</v>
      </c>
      <c r="AB180" s="447"/>
      <c r="AC180" s="426">
        <f t="shared" si="9"/>
        <v>0</v>
      </c>
      <c r="AD180" s="426">
        <f t="shared" si="10"/>
        <v>0</v>
      </c>
      <c r="AE180" s="426">
        <f t="shared" si="11"/>
        <v>0</v>
      </c>
      <c r="AF180" s="427"/>
      <c r="AG180" s="428"/>
      <c r="AH180" s="427"/>
    </row>
    <row r="181" ht="15" customHeight="1" spans="1:34">
      <c r="A181" s="406">
        <f t="shared" si="8"/>
        <v>180</v>
      </c>
      <c r="B181" s="500" t="s">
        <v>1677</v>
      </c>
      <c r="C181" s="435"/>
      <c r="D181" s="436" t="s">
        <v>2477</v>
      </c>
      <c r="E181" s="406"/>
      <c r="F181" s="437"/>
      <c r="G181" s="436" t="s">
        <v>2478</v>
      </c>
      <c r="H181" s="436" t="s">
        <v>2479</v>
      </c>
      <c r="I181" s="427" t="s">
        <v>2480</v>
      </c>
      <c r="J181" s="435"/>
      <c r="K181" s="438"/>
      <c r="L181" s="435"/>
      <c r="M181" s="414" t="s">
        <v>1739</v>
      </c>
      <c r="N181" s="438"/>
      <c r="O181" s="439"/>
      <c r="P181" s="440" t="s">
        <v>2477</v>
      </c>
      <c r="Q181" s="441"/>
      <c r="R181" s="383" t="s">
        <v>332</v>
      </c>
      <c r="S181" s="442" t="s">
        <v>663</v>
      </c>
      <c r="T181" s="443" t="s">
        <v>2481</v>
      </c>
      <c r="U181" s="444"/>
      <c r="V181" s="445"/>
      <c r="W181" s="406"/>
      <c r="X181" s="406"/>
      <c r="Y181" s="423"/>
      <c r="Z181" s="446" t="s">
        <v>1765</v>
      </c>
      <c r="AA181" s="434" t="s">
        <v>184</v>
      </c>
      <c r="AB181" s="447" t="s">
        <v>1112</v>
      </c>
      <c r="AC181" s="426">
        <f t="shared" si="9"/>
        <v>0</v>
      </c>
      <c r="AD181" s="426">
        <f t="shared" si="10"/>
        <v>0</v>
      </c>
      <c r="AE181" s="426">
        <f t="shared" si="11"/>
        <v>0</v>
      </c>
      <c r="AF181" s="427"/>
      <c r="AG181" s="428"/>
      <c r="AH181" s="427"/>
    </row>
    <row r="182" ht="15" customHeight="1" spans="1:34">
      <c r="A182" s="406">
        <f t="shared" si="8"/>
        <v>181</v>
      </c>
      <c r="B182" s="500" t="s">
        <v>1677</v>
      </c>
      <c r="C182" s="435"/>
      <c r="D182" s="436" t="s">
        <v>1617</v>
      </c>
      <c r="E182" s="406"/>
      <c r="F182" s="437"/>
      <c r="G182" s="436" t="s">
        <v>1777</v>
      </c>
      <c r="H182" s="436" t="s">
        <v>2482</v>
      </c>
      <c r="I182" s="427" t="s">
        <v>2483</v>
      </c>
      <c r="J182" s="532"/>
      <c r="K182" s="438"/>
      <c r="L182" s="532"/>
      <c r="M182" s="414" t="s">
        <v>1780</v>
      </c>
      <c r="N182" s="438"/>
      <c r="O182" s="439"/>
      <c r="P182" s="440" t="s">
        <v>1617</v>
      </c>
      <c r="Q182" s="441"/>
      <c r="R182" s="383" t="s">
        <v>332</v>
      </c>
      <c r="S182" s="442" t="s">
        <v>663</v>
      </c>
      <c r="T182" s="443" t="s">
        <v>1616</v>
      </c>
      <c r="U182" s="444"/>
      <c r="V182" s="445"/>
      <c r="W182" s="406"/>
      <c r="X182" s="406"/>
      <c r="Y182" s="423"/>
      <c r="Z182" s="446" t="s">
        <v>667</v>
      </c>
      <c r="AA182" s="434" t="s">
        <v>257</v>
      </c>
      <c r="AB182" s="447"/>
      <c r="AC182" s="426">
        <f t="shared" si="9"/>
        <v>0</v>
      </c>
      <c r="AD182" s="426">
        <f t="shared" si="10"/>
        <v>0</v>
      </c>
      <c r="AE182" s="426">
        <f t="shared" si="11"/>
        <v>0</v>
      </c>
      <c r="AF182" s="427"/>
      <c r="AG182" s="428"/>
      <c r="AH182" s="427"/>
    </row>
    <row r="183" ht="15" customHeight="1" spans="1:34">
      <c r="A183" s="406">
        <f t="shared" si="8"/>
        <v>182</v>
      </c>
      <c r="B183" s="500" t="s">
        <v>1677</v>
      </c>
      <c r="C183" s="435"/>
      <c r="D183" s="436" t="s">
        <v>2484</v>
      </c>
      <c r="E183" s="406"/>
      <c r="F183" s="437"/>
      <c r="G183" s="436" t="s">
        <v>1791</v>
      </c>
      <c r="H183" s="436" t="s">
        <v>2485</v>
      </c>
      <c r="I183" s="427" t="s">
        <v>2486</v>
      </c>
      <c r="J183" s="532"/>
      <c r="K183" s="438"/>
      <c r="L183" s="532"/>
      <c r="M183" s="414" t="s">
        <v>1780</v>
      </c>
      <c r="N183" s="438"/>
      <c r="O183" s="439"/>
      <c r="P183" s="440" t="s">
        <v>2484</v>
      </c>
      <c r="Q183" s="441"/>
      <c r="R183" s="383" t="s">
        <v>332</v>
      </c>
      <c r="S183" s="442" t="s">
        <v>712</v>
      </c>
      <c r="T183" s="443" t="s">
        <v>2487</v>
      </c>
      <c r="U183" s="444"/>
      <c r="V183" s="445"/>
      <c r="W183" s="406"/>
      <c r="X183" s="406"/>
      <c r="Y183" s="423"/>
      <c r="Z183" s="446" t="s">
        <v>667</v>
      </c>
      <c r="AA183" s="434" t="s">
        <v>256</v>
      </c>
      <c r="AB183" s="447"/>
      <c r="AC183" s="426">
        <f t="shared" si="9"/>
        <v>0</v>
      </c>
      <c r="AD183" s="426">
        <f t="shared" si="10"/>
        <v>0</v>
      </c>
      <c r="AE183" s="426">
        <f t="shared" si="11"/>
        <v>0</v>
      </c>
      <c r="AF183" s="427"/>
      <c r="AG183" s="428"/>
      <c r="AH183" s="427"/>
    </row>
    <row r="184" ht="15" customHeight="1" spans="1:34">
      <c r="A184" s="406">
        <f t="shared" si="8"/>
        <v>183</v>
      </c>
      <c r="B184" s="500" t="s">
        <v>1677</v>
      </c>
      <c r="C184" s="435"/>
      <c r="D184" s="436" t="s">
        <v>2488</v>
      </c>
      <c r="E184" s="406"/>
      <c r="F184" s="437"/>
      <c r="G184" s="436" t="s">
        <v>2055</v>
      </c>
      <c r="H184" s="436" t="s">
        <v>2489</v>
      </c>
      <c r="I184" s="427" t="s">
        <v>2490</v>
      </c>
      <c r="J184" s="435"/>
      <c r="K184" s="438"/>
      <c r="L184" s="435"/>
      <c r="M184" s="414" t="s">
        <v>1739</v>
      </c>
      <c r="N184" s="438"/>
      <c r="O184" s="439"/>
      <c r="P184" s="440" t="s">
        <v>2488</v>
      </c>
      <c r="Q184" s="441"/>
      <c r="R184" s="383" t="s">
        <v>332</v>
      </c>
      <c r="S184" s="442" t="s">
        <v>663</v>
      </c>
      <c r="T184" s="443" t="s">
        <v>2491</v>
      </c>
      <c r="U184" s="444"/>
      <c r="V184" s="445"/>
      <c r="W184" s="406"/>
      <c r="X184" s="406"/>
      <c r="Y184" s="423"/>
      <c r="Z184" s="446" t="s">
        <v>1017</v>
      </c>
      <c r="AA184" s="434" t="s">
        <v>172</v>
      </c>
      <c r="AB184" s="447" t="s">
        <v>1112</v>
      </c>
      <c r="AC184" s="426">
        <f t="shared" si="9"/>
        <v>0</v>
      </c>
      <c r="AD184" s="426">
        <f t="shared" si="10"/>
        <v>0</v>
      </c>
      <c r="AE184" s="426">
        <f t="shared" si="11"/>
        <v>0</v>
      </c>
      <c r="AF184" s="427"/>
      <c r="AG184" s="428"/>
      <c r="AH184" s="427"/>
    </row>
    <row r="185" ht="15" customHeight="1" spans="1:34">
      <c r="A185" s="406">
        <f t="shared" si="8"/>
        <v>184</v>
      </c>
      <c r="B185" s="434" t="s">
        <v>1721</v>
      </c>
      <c r="C185" s="435"/>
      <c r="D185" s="436" t="s">
        <v>2492</v>
      </c>
      <c r="E185" s="406"/>
      <c r="F185" s="437"/>
      <c r="G185" s="436" t="s">
        <v>1694</v>
      </c>
      <c r="H185" s="436" t="s">
        <v>2493</v>
      </c>
      <c r="I185" s="427" t="s">
        <v>2494</v>
      </c>
      <c r="J185" s="532"/>
      <c r="K185" s="438"/>
      <c r="L185" s="532"/>
      <c r="M185" s="414" t="s">
        <v>1710</v>
      </c>
      <c r="N185" s="438"/>
      <c r="O185" s="439"/>
      <c r="P185" s="440" t="s">
        <v>2492</v>
      </c>
      <c r="Q185" s="441"/>
      <c r="R185" s="383" t="s">
        <v>332</v>
      </c>
      <c r="S185" s="442" t="s">
        <v>2180</v>
      </c>
      <c r="T185" s="443" t="s">
        <v>984</v>
      </c>
      <c r="U185" s="444"/>
      <c r="V185" s="445"/>
      <c r="W185" s="406"/>
      <c r="X185" s="406"/>
      <c r="Y185" s="423"/>
      <c r="Z185" s="446" t="s">
        <v>1787</v>
      </c>
      <c r="AA185" s="434" t="s">
        <v>199</v>
      </c>
      <c r="AB185" s="447" t="s">
        <v>1126</v>
      </c>
      <c r="AC185" s="426">
        <f t="shared" si="9"/>
        <v>0</v>
      </c>
      <c r="AD185" s="426">
        <f t="shared" si="10"/>
        <v>0</v>
      </c>
      <c r="AE185" s="426">
        <f t="shared" si="11"/>
        <v>0</v>
      </c>
      <c r="AF185" s="427"/>
      <c r="AG185" s="428"/>
      <c r="AH185" s="427"/>
    </row>
    <row r="186" ht="15" customHeight="1" spans="1:34">
      <c r="A186" s="406">
        <f t="shared" si="8"/>
        <v>185</v>
      </c>
      <c r="B186" s="500" t="s">
        <v>1677</v>
      </c>
      <c r="C186" s="435"/>
      <c r="D186" s="436" t="s">
        <v>2495</v>
      </c>
      <c r="E186" s="406"/>
      <c r="F186" s="437"/>
      <c r="G186" s="436" t="s">
        <v>1685</v>
      </c>
      <c r="H186" s="436" t="s">
        <v>2496</v>
      </c>
      <c r="I186" s="427" t="s">
        <v>2497</v>
      </c>
      <c r="J186" s="435"/>
      <c r="K186" s="438"/>
      <c r="L186" s="435"/>
      <c r="M186" s="414" t="s">
        <v>1710</v>
      </c>
      <c r="N186" s="438"/>
      <c r="O186" s="439"/>
      <c r="P186" s="440" t="s">
        <v>2495</v>
      </c>
      <c r="Q186" s="441"/>
      <c r="R186" s="383" t="s">
        <v>332</v>
      </c>
      <c r="S186" s="442" t="s">
        <v>2180</v>
      </c>
      <c r="T186" s="443" t="s">
        <v>2498</v>
      </c>
      <c r="U186" s="444"/>
      <c r="V186" s="445"/>
      <c r="W186" s="406"/>
      <c r="X186" s="406"/>
      <c r="Y186" s="423"/>
      <c r="Z186" s="446" t="s">
        <v>985</v>
      </c>
      <c r="AA186" s="434" t="s">
        <v>190</v>
      </c>
      <c r="AB186" s="447" t="s">
        <v>1126</v>
      </c>
      <c r="AC186" s="426">
        <f t="shared" si="9"/>
        <v>0</v>
      </c>
      <c r="AD186" s="426">
        <f t="shared" si="10"/>
        <v>0</v>
      </c>
      <c r="AE186" s="426">
        <f t="shared" si="11"/>
        <v>0</v>
      </c>
      <c r="AF186" s="427"/>
      <c r="AG186" s="428"/>
      <c r="AH186" s="427"/>
    </row>
    <row r="187" ht="15" customHeight="1" spans="1:34">
      <c r="A187" s="406">
        <f t="shared" si="8"/>
        <v>186</v>
      </c>
      <c r="B187" s="500" t="s">
        <v>1677</v>
      </c>
      <c r="C187" s="435"/>
      <c r="D187" s="436" t="s">
        <v>2499</v>
      </c>
      <c r="E187" s="406"/>
      <c r="F187" s="437"/>
      <c r="G187" s="436" t="s">
        <v>1770</v>
      </c>
      <c r="H187" s="436" t="s">
        <v>2500</v>
      </c>
      <c r="I187" s="427" t="s">
        <v>2501</v>
      </c>
      <c r="J187" s="435"/>
      <c r="K187" s="438"/>
      <c r="L187" s="435"/>
      <c r="M187" s="414"/>
      <c r="N187" s="438"/>
      <c r="O187" s="439"/>
      <c r="P187" s="440" t="s">
        <v>2499</v>
      </c>
      <c r="Q187" s="441"/>
      <c r="R187" s="383" t="s">
        <v>332</v>
      </c>
      <c r="S187" s="442" t="s">
        <v>663</v>
      </c>
      <c r="T187" s="443" t="s">
        <v>2502</v>
      </c>
      <c r="U187" s="444"/>
      <c r="V187" s="445"/>
      <c r="W187" s="406"/>
      <c r="X187" s="406"/>
      <c r="Y187" s="423"/>
      <c r="Z187" s="446" t="s">
        <v>1765</v>
      </c>
      <c r="AA187" s="434" t="s">
        <v>183</v>
      </c>
      <c r="AB187" s="447"/>
      <c r="AC187" s="426">
        <f t="shared" si="9"/>
        <v>0</v>
      </c>
      <c r="AD187" s="426">
        <f t="shared" si="10"/>
        <v>0</v>
      </c>
      <c r="AE187" s="426">
        <f t="shared" si="11"/>
        <v>0</v>
      </c>
      <c r="AF187" s="427"/>
      <c r="AG187" s="428"/>
      <c r="AH187" s="427"/>
    </row>
    <row r="188" ht="15" customHeight="1" spans="1:34">
      <c r="A188" s="406">
        <f t="shared" si="8"/>
        <v>187</v>
      </c>
      <c r="B188" s="407" t="s">
        <v>2503</v>
      </c>
      <c r="C188" s="408"/>
      <c r="D188" s="409" t="s">
        <v>2504</v>
      </c>
      <c r="E188" s="410"/>
      <c r="F188" s="411"/>
      <c r="G188" s="409" t="s">
        <v>1678</v>
      </c>
      <c r="H188" s="409" t="s">
        <v>2505</v>
      </c>
      <c r="I188" s="412" t="s">
        <v>2506</v>
      </c>
      <c r="J188" s="408"/>
      <c r="K188" s="413"/>
      <c r="L188" s="408"/>
      <c r="M188" s="495" t="s">
        <v>1688</v>
      </c>
      <c r="N188" s="413">
        <f>K188+O188</f>
        <v>0</v>
      </c>
      <c r="O188" s="415"/>
      <c r="P188" s="416" t="str">
        <f t="shared" ref="P188:P223" si="12">D188</f>
        <v>吴志琴</v>
      </c>
      <c r="Q188" s="417">
        <f t="shared" ref="Q188:Q194" si="13">E188</f>
        <v>0</v>
      </c>
      <c r="R188" s="418"/>
      <c r="S188" s="419"/>
      <c r="T188" s="420"/>
      <c r="U188" s="421"/>
      <c r="V188" s="422"/>
      <c r="W188" s="410"/>
      <c r="X188" s="410"/>
      <c r="Y188" s="501">
        <f>V188-W188</f>
        <v>0</v>
      </c>
      <c r="Z188" s="424" t="s">
        <v>2507</v>
      </c>
      <c r="AA188" s="407" t="s">
        <v>2508</v>
      </c>
      <c r="AB188" s="425"/>
      <c r="AC188" s="426">
        <f t="shared" si="9"/>
        <v>0</v>
      </c>
      <c r="AD188" s="426">
        <f t="shared" si="10"/>
        <v>0</v>
      </c>
      <c r="AE188" s="426">
        <f t="shared" si="11"/>
        <v>0</v>
      </c>
      <c r="AF188" s="427"/>
      <c r="AG188" s="428"/>
      <c r="AH188" s="427" t="s">
        <v>892</v>
      </c>
    </row>
    <row r="189" ht="15" customHeight="1" spans="1:34">
      <c r="A189" s="406">
        <f t="shared" si="8"/>
        <v>188</v>
      </c>
      <c r="B189" s="407" t="s">
        <v>2503</v>
      </c>
      <c r="C189" s="408"/>
      <c r="D189" s="409" t="s">
        <v>2509</v>
      </c>
      <c r="E189" s="410"/>
      <c r="F189" s="411"/>
      <c r="G189" s="409" t="s">
        <v>2510</v>
      </c>
      <c r="H189" s="409" t="s">
        <v>2511</v>
      </c>
      <c r="I189" s="412" t="s">
        <v>2512</v>
      </c>
      <c r="J189" s="408"/>
      <c r="K189" s="413"/>
      <c r="L189" s="408"/>
      <c r="M189" s="495" t="s">
        <v>1688</v>
      </c>
      <c r="N189" s="413">
        <f>K189+O189</f>
        <v>0</v>
      </c>
      <c r="O189" s="415"/>
      <c r="P189" s="416" t="str">
        <f t="shared" si="12"/>
        <v>董旭磊</v>
      </c>
      <c r="Q189" s="417">
        <f t="shared" si="13"/>
        <v>0</v>
      </c>
      <c r="R189" s="418"/>
      <c r="S189" s="419"/>
      <c r="T189" s="420"/>
      <c r="U189" s="421"/>
      <c r="V189" s="422"/>
      <c r="W189" s="410"/>
      <c r="X189" s="410"/>
      <c r="Y189" s="501">
        <f>V189-W189</f>
        <v>0</v>
      </c>
      <c r="Z189" s="424" t="s">
        <v>2507</v>
      </c>
      <c r="AA189" s="407" t="s">
        <v>2513</v>
      </c>
      <c r="AB189" s="425"/>
      <c r="AC189" s="426">
        <f t="shared" si="9"/>
        <v>0</v>
      </c>
      <c r="AD189" s="426">
        <f t="shared" si="10"/>
        <v>0</v>
      </c>
      <c r="AE189" s="426">
        <f t="shared" si="11"/>
        <v>0</v>
      </c>
      <c r="AF189" s="427"/>
      <c r="AG189" s="459"/>
      <c r="AH189" s="427" t="s">
        <v>892</v>
      </c>
    </row>
    <row r="190" ht="15" customHeight="1" spans="1:34">
      <c r="A190" s="406">
        <f t="shared" si="8"/>
        <v>189</v>
      </c>
      <c r="B190" s="500" t="s">
        <v>1677</v>
      </c>
      <c r="C190" s="435"/>
      <c r="D190" s="436" t="s">
        <v>2514</v>
      </c>
      <c r="E190" s="406"/>
      <c r="F190" s="437"/>
      <c r="G190" s="436" t="s">
        <v>2515</v>
      </c>
      <c r="H190" s="436" t="s">
        <v>2516</v>
      </c>
      <c r="I190" s="427" t="s">
        <v>2517</v>
      </c>
      <c r="J190" s="532"/>
      <c r="K190" s="438"/>
      <c r="L190" s="532"/>
      <c r="M190" s="414" t="s">
        <v>1688</v>
      </c>
      <c r="N190" s="438"/>
      <c r="O190" s="439"/>
      <c r="P190" s="440" t="str">
        <f t="shared" si="12"/>
        <v>徐静</v>
      </c>
      <c r="Q190" s="441">
        <f t="shared" si="13"/>
        <v>0</v>
      </c>
      <c r="R190" s="383" t="s">
        <v>767</v>
      </c>
      <c r="S190" s="442"/>
      <c r="T190" s="443" t="s">
        <v>2518</v>
      </c>
      <c r="U190" s="444"/>
      <c r="V190" s="445"/>
      <c r="W190" s="406"/>
      <c r="X190" s="406"/>
      <c r="Y190" s="423"/>
      <c r="Z190" s="446" t="s">
        <v>2519</v>
      </c>
      <c r="AA190" s="434" t="s">
        <v>2520</v>
      </c>
      <c r="AB190" s="447" t="s">
        <v>1112</v>
      </c>
      <c r="AC190" s="426">
        <f t="shared" si="9"/>
        <v>0</v>
      </c>
      <c r="AD190" s="426">
        <f t="shared" si="10"/>
        <v>0</v>
      </c>
      <c r="AE190" s="426">
        <f t="shared" si="11"/>
        <v>0</v>
      </c>
      <c r="AF190" s="412"/>
      <c r="AG190" s="428"/>
      <c r="AH190" s="427" t="s">
        <v>892</v>
      </c>
    </row>
    <row r="191" ht="15" customHeight="1" spans="1:34">
      <c r="A191" s="406">
        <f t="shared" si="8"/>
        <v>190</v>
      </c>
      <c r="B191" s="500" t="s">
        <v>1721</v>
      </c>
      <c r="C191" s="435"/>
      <c r="D191" s="436" t="s">
        <v>2521</v>
      </c>
      <c r="E191" s="406"/>
      <c r="F191" s="437"/>
      <c r="G191" s="436" t="s">
        <v>2065</v>
      </c>
      <c r="H191" s="436" t="s">
        <v>2522</v>
      </c>
      <c r="I191" s="427" t="s">
        <v>2523</v>
      </c>
      <c r="J191" s="435"/>
      <c r="K191" s="438"/>
      <c r="L191" s="435"/>
      <c r="M191" s="414" t="s">
        <v>1710</v>
      </c>
      <c r="N191" s="438">
        <f>K191+O191</f>
        <v>0</v>
      </c>
      <c r="O191" s="439"/>
      <c r="P191" s="440" t="str">
        <f t="shared" si="12"/>
        <v>王天鑫</v>
      </c>
      <c r="Q191" s="441">
        <f t="shared" si="13"/>
        <v>0</v>
      </c>
      <c r="R191" s="383" t="s">
        <v>742</v>
      </c>
      <c r="S191" s="442" t="s">
        <v>2524</v>
      </c>
      <c r="T191" s="442" t="s">
        <v>2525</v>
      </c>
      <c r="U191" s="444"/>
      <c r="V191" s="445"/>
      <c r="W191" s="406"/>
      <c r="X191" s="406"/>
      <c r="Y191" s="423">
        <f>V191-W191</f>
        <v>0</v>
      </c>
      <c r="Z191" s="446" t="s">
        <v>2507</v>
      </c>
      <c r="AA191" s="434" t="s">
        <v>2526</v>
      </c>
      <c r="AB191" s="447"/>
      <c r="AC191" s="426">
        <f t="shared" si="9"/>
        <v>0</v>
      </c>
      <c r="AD191" s="426">
        <f t="shared" si="10"/>
        <v>0</v>
      </c>
      <c r="AE191" s="426">
        <f t="shared" si="11"/>
        <v>0</v>
      </c>
      <c r="AF191" s="427"/>
      <c r="AG191" s="428"/>
      <c r="AH191" s="427" t="s">
        <v>892</v>
      </c>
    </row>
    <row r="192" ht="15" customHeight="1" spans="1:34">
      <c r="A192" s="406">
        <f t="shared" si="8"/>
        <v>191</v>
      </c>
      <c r="B192" s="500" t="s">
        <v>1677</v>
      </c>
      <c r="C192" s="435"/>
      <c r="D192" s="436" t="s">
        <v>2527</v>
      </c>
      <c r="E192" s="406"/>
      <c r="F192" s="437"/>
      <c r="G192" s="436" t="s">
        <v>2528</v>
      </c>
      <c r="H192" s="436" t="s">
        <v>2529</v>
      </c>
      <c r="I192" s="427" t="s">
        <v>2530</v>
      </c>
      <c r="J192" s="535"/>
      <c r="K192" s="497"/>
      <c r="L192" s="535"/>
      <c r="M192" s="498" t="s">
        <v>1688</v>
      </c>
      <c r="N192" s="497">
        <f>K192+O192</f>
        <v>0</v>
      </c>
      <c r="O192" s="499"/>
      <c r="P192" s="440" t="str">
        <f t="shared" si="12"/>
        <v>罗臣</v>
      </c>
      <c r="Q192" s="441">
        <f t="shared" si="13"/>
        <v>0</v>
      </c>
      <c r="R192" s="383" t="s">
        <v>742</v>
      </c>
      <c r="S192" s="442" t="s">
        <v>2524</v>
      </c>
      <c r="T192" s="443" t="s">
        <v>2531</v>
      </c>
      <c r="U192" s="444"/>
      <c r="V192" s="445"/>
      <c r="W192" s="406"/>
      <c r="X192" s="406"/>
      <c r="Y192" s="423">
        <f>V192-W192</f>
        <v>0</v>
      </c>
      <c r="Z192" s="446" t="s">
        <v>2507</v>
      </c>
      <c r="AA192" s="434" t="s">
        <v>2532</v>
      </c>
      <c r="AB192" s="447"/>
      <c r="AC192" s="426">
        <f t="shared" si="9"/>
        <v>0</v>
      </c>
      <c r="AD192" s="426">
        <f t="shared" si="10"/>
        <v>0</v>
      </c>
      <c r="AE192" s="426">
        <f t="shared" si="11"/>
        <v>0</v>
      </c>
      <c r="AF192" s="427"/>
      <c r="AG192" s="459"/>
      <c r="AH192" s="427" t="s">
        <v>892</v>
      </c>
    </row>
    <row r="193" ht="15" customHeight="1" spans="1:34">
      <c r="A193" s="406">
        <f t="shared" si="8"/>
        <v>192</v>
      </c>
      <c r="B193" s="500" t="s">
        <v>1677</v>
      </c>
      <c r="C193" s="435"/>
      <c r="D193" s="436" t="s">
        <v>190</v>
      </c>
      <c r="E193" s="406"/>
      <c r="F193" s="437"/>
      <c r="G193" s="436" t="s">
        <v>2035</v>
      </c>
      <c r="H193" s="436" t="s">
        <v>2533</v>
      </c>
      <c r="I193" s="427" t="s">
        <v>2534</v>
      </c>
      <c r="J193" s="532"/>
      <c r="K193" s="438"/>
      <c r="L193" s="532"/>
      <c r="M193" s="414" t="s">
        <v>1710</v>
      </c>
      <c r="N193" s="438"/>
      <c r="O193" s="439"/>
      <c r="P193" s="440" t="str">
        <f t="shared" si="12"/>
        <v>陈林</v>
      </c>
      <c r="Q193" s="441">
        <f t="shared" si="13"/>
        <v>0</v>
      </c>
      <c r="R193" s="383" t="s">
        <v>767</v>
      </c>
      <c r="S193" s="442" t="s">
        <v>2535</v>
      </c>
      <c r="T193" s="443" t="s">
        <v>2536</v>
      </c>
      <c r="U193" s="444"/>
      <c r="V193" s="445"/>
      <c r="W193" s="406"/>
      <c r="X193" s="406"/>
      <c r="Y193" s="423"/>
      <c r="Z193" s="446" t="s">
        <v>2519</v>
      </c>
      <c r="AA193" s="434" t="s">
        <v>2537</v>
      </c>
      <c r="AB193" s="447" t="s">
        <v>1112</v>
      </c>
      <c r="AC193" s="426">
        <f t="shared" si="9"/>
        <v>0</v>
      </c>
      <c r="AD193" s="426">
        <f t="shared" si="10"/>
        <v>0</v>
      </c>
      <c r="AE193" s="426">
        <f t="shared" si="11"/>
        <v>0</v>
      </c>
      <c r="AF193" s="412"/>
      <c r="AG193" s="428"/>
      <c r="AH193" s="427" t="s">
        <v>892</v>
      </c>
    </row>
    <row r="194" ht="15" customHeight="1" spans="1:34">
      <c r="A194" s="406">
        <f t="shared" ref="A194:A253" si="14">ROW()-1</f>
        <v>193</v>
      </c>
      <c r="B194" s="500" t="s">
        <v>1721</v>
      </c>
      <c r="C194" s="435"/>
      <c r="D194" s="436" t="s">
        <v>2538</v>
      </c>
      <c r="E194" s="406"/>
      <c r="F194" s="437"/>
      <c r="G194" s="436" t="s">
        <v>2539</v>
      </c>
      <c r="H194" s="436" t="s">
        <v>2540</v>
      </c>
      <c r="I194" s="427" t="s">
        <v>2541</v>
      </c>
      <c r="J194" s="532"/>
      <c r="K194" s="438"/>
      <c r="L194" s="532"/>
      <c r="M194" s="498" t="s">
        <v>1688</v>
      </c>
      <c r="N194" s="438"/>
      <c r="O194" s="439"/>
      <c r="P194" s="440" t="str">
        <f t="shared" si="12"/>
        <v>张荣</v>
      </c>
      <c r="Q194" s="441">
        <f t="shared" si="13"/>
        <v>0</v>
      </c>
      <c r="R194" s="383" t="s">
        <v>767</v>
      </c>
      <c r="S194" s="442" t="s">
        <v>2535</v>
      </c>
      <c r="T194" s="443" t="s">
        <v>2542</v>
      </c>
      <c r="U194" s="444"/>
      <c r="V194" s="445"/>
      <c r="W194" s="406"/>
      <c r="X194" s="406"/>
      <c r="Y194" s="423"/>
      <c r="Z194" s="446" t="s">
        <v>2519</v>
      </c>
      <c r="AA194" s="434" t="s">
        <v>2543</v>
      </c>
      <c r="AB194" s="447" t="s">
        <v>1112</v>
      </c>
      <c r="AC194" s="426">
        <f t="shared" ref="AC194:AC253" si="15">Y194*0.14</f>
        <v>0</v>
      </c>
      <c r="AD194" s="426">
        <f t="shared" ref="AD194:AD253" si="16">IF(O194&gt;=1000,O194*0.14,IF(O194&gt;=500,100,0))</f>
        <v>0</v>
      </c>
      <c r="AE194" s="426">
        <f t="shared" ref="AE194:AE253" si="17">SUM(AC194:AD194)</f>
        <v>0</v>
      </c>
      <c r="AF194" s="427"/>
      <c r="AG194" s="428"/>
      <c r="AH194" s="427" t="s">
        <v>892</v>
      </c>
    </row>
    <row r="195" ht="15" customHeight="1" spans="1:34">
      <c r="A195" s="406">
        <f t="shared" si="14"/>
        <v>194</v>
      </c>
      <c r="B195" s="500" t="s">
        <v>1677</v>
      </c>
      <c r="C195" s="435"/>
      <c r="D195" s="436" t="s">
        <v>2544</v>
      </c>
      <c r="E195" s="406"/>
      <c r="F195" s="437"/>
      <c r="G195" s="436" t="s">
        <v>2545</v>
      </c>
      <c r="H195" s="436" t="s">
        <v>2546</v>
      </c>
      <c r="I195" s="427" t="s">
        <v>2547</v>
      </c>
      <c r="J195" s="532"/>
      <c r="K195" s="438"/>
      <c r="L195" s="532"/>
      <c r="M195" s="414" t="s">
        <v>1710</v>
      </c>
      <c r="N195" s="438">
        <f>K195+O195</f>
        <v>0</v>
      </c>
      <c r="O195" s="439"/>
      <c r="P195" s="440" t="str">
        <f t="shared" si="12"/>
        <v>王建学</v>
      </c>
      <c r="Q195" s="441"/>
      <c r="R195" s="383" t="s">
        <v>742</v>
      </c>
      <c r="S195" s="442" t="s">
        <v>2535</v>
      </c>
      <c r="T195" s="443" t="s">
        <v>2548</v>
      </c>
      <c r="U195" s="444"/>
      <c r="V195" s="445"/>
      <c r="W195" s="406"/>
      <c r="X195" s="406"/>
      <c r="Y195" s="423">
        <f>V195-W195</f>
        <v>0</v>
      </c>
      <c r="Z195" s="446" t="s">
        <v>2549</v>
      </c>
      <c r="AA195" s="434" t="s">
        <v>2550</v>
      </c>
      <c r="AB195" s="447" t="s">
        <v>1126</v>
      </c>
      <c r="AC195" s="426">
        <f t="shared" si="15"/>
        <v>0</v>
      </c>
      <c r="AD195" s="426">
        <f t="shared" si="16"/>
        <v>0</v>
      </c>
      <c r="AE195" s="426">
        <f t="shared" si="17"/>
        <v>0</v>
      </c>
      <c r="AF195" s="427"/>
      <c r="AG195" s="428"/>
      <c r="AH195" s="427" t="s">
        <v>892</v>
      </c>
    </row>
    <row r="196" ht="15" customHeight="1" spans="1:34">
      <c r="A196" s="406">
        <f t="shared" si="14"/>
        <v>195</v>
      </c>
      <c r="B196" s="500" t="s">
        <v>1677</v>
      </c>
      <c r="C196" s="435"/>
      <c r="D196" s="436" t="s">
        <v>2551</v>
      </c>
      <c r="E196" s="406"/>
      <c r="F196" s="437"/>
      <c r="G196" s="436" t="s">
        <v>1685</v>
      </c>
      <c r="H196" s="436" t="s">
        <v>2552</v>
      </c>
      <c r="I196" s="427" t="s">
        <v>2553</v>
      </c>
      <c r="J196" s="532"/>
      <c r="K196" s="438"/>
      <c r="L196" s="532"/>
      <c r="M196" s="414" t="s">
        <v>1710</v>
      </c>
      <c r="N196" s="438"/>
      <c r="O196" s="439"/>
      <c r="P196" s="440" t="str">
        <f t="shared" si="12"/>
        <v>银伟祁</v>
      </c>
      <c r="Q196" s="441">
        <f t="shared" ref="Q196:Q201" si="18">E196</f>
        <v>0</v>
      </c>
      <c r="R196" s="383" t="s">
        <v>767</v>
      </c>
      <c r="S196" s="442" t="s">
        <v>147</v>
      </c>
      <c r="T196" s="443" t="s">
        <v>2554</v>
      </c>
      <c r="U196" s="444"/>
      <c r="V196" s="445"/>
      <c r="W196" s="406"/>
      <c r="X196" s="406"/>
      <c r="Y196" s="423"/>
      <c r="Z196" s="446" t="s">
        <v>2519</v>
      </c>
      <c r="AA196" s="434" t="s">
        <v>2555</v>
      </c>
      <c r="AB196" s="447" t="s">
        <v>1112</v>
      </c>
      <c r="AC196" s="426">
        <f t="shared" si="15"/>
        <v>0</v>
      </c>
      <c r="AD196" s="426">
        <f t="shared" si="16"/>
        <v>0</v>
      </c>
      <c r="AE196" s="426">
        <f t="shared" si="17"/>
        <v>0</v>
      </c>
      <c r="AF196" s="427"/>
      <c r="AG196" s="459"/>
      <c r="AH196" s="427" t="s">
        <v>892</v>
      </c>
    </row>
    <row r="197" ht="15" customHeight="1" spans="1:34">
      <c r="A197" s="406">
        <f t="shared" si="14"/>
        <v>196</v>
      </c>
      <c r="B197" s="500" t="s">
        <v>1721</v>
      </c>
      <c r="C197" s="435"/>
      <c r="D197" s="436" t="s">
        <v>2556</v>
      </c>
      <c r="E197" s="406"/>
      <c r="F197" s="437" t="s">
        <v>2557</v>
      </c>
      <c r="G197" s="436" t="s">
        <v>2558</v>
      </c>
      <c r="H197" s="436" t="s">
        <v>2559</v>
      </c>
      <c r="I197" s="427" t="s">
        <v>2560</v>
      </c>
      <c r="J197" s="435"/>
      <c r="K197" s="438"/>
      <c r="L197" s="435"/>
      <c r="M197" s="414" t="s">
        <v>1710</v>
      </c>
      <c r="N197" s="438"/>
      <c r="O197" s="439"/>
      <c r="P197" s="440" t="str">
        <f t="shared" si="12"/>
        <v>袁晓玲</v>
      </c>
      <c r="Q197" s="441">
        <f t="shared" si="18"/>
        <v>0</v>
      </c>
      <c r="R197" s="383" t="s">
        <v>742</v>
      </c>
      <c r="S197" s="442" t="s">
        <v>2535</v>
      </c>
      <c r="T197" s="443" t="s">
        <v>2561</v>
      </c>
      <c r="U197" s="444"/>
      <c r="V197" s="445"/>
      <c r="W197" s="406"/>
      <c r="X197" s="406"/>
      <c r="Y197" s="423">
        <f>V197-W197</f>
        <v>0</v>
      </c>
      <c r="Z197" s="446" t="s">
        <v>2549</v>
      </c>
      <c r="AA197" s="434" t="s">
        <v>2513</v>
      </c>
      <c r="AB197" s="447" t="s">
        <v>1126</v>
      </c>
      <c r="AC197" s="426">
        <f t="shared" si="15"/>
        <v>0</v>
      </c>
      <c r="AD197" s="426">
        <f t="shared" si="16"/>
        <v>0</v>
      </c>
      <c r="AE197" s="426">
        <f t="shared" si="17"/>
        <v>0</v>
      </c>
      <c r="AF197" s="412"/>
      <c r="AG197" s="428"/>
      <c r="AH197" s="427" t="s">
        <v>892</v>
      </c>
    </row>
    <row r="198" ht="15" customHeight="1" spans="1:34">
      <c r="A198" s="406">
        <f t="shared" si="14"/>
        <v>197</v>
      </c>
      <c r="B198" s="500" t="s">
        <v>1677</v>
      </c>
      <c r="C198" s="435"/>
      <c r="D198" s="436" t="s">
        <v>2562</v>
      </c>
      <c r="E198" s="406"/>
      <c r="F198" s="437" t="s">
        <v>2563</v>
      </c>
      <c r="G198" s="436" t="s">
        <v>2564</v>
      </c>
      <c r="H198" s="436" t="s">
        <v>2565</v>
      </c>
      <c r="I198" s="427" t="s">
        <v>2566</v>
      </c>
      <c r="J198" s="435"/>
      <c r="K198" s="438"/>
      <c r="L198" s="435"/>
      <c r="M198" s="414" t="s">
        <v>1710</v>
      </c>
      <c r="N198" s="438"/>
      <c r="O198" s="439"/>
      <c r="P198" s="440" t="str">
        <f t="shared" si="12"/>
        <v>王磊</v>
      </c>
      <c r="Q198" s="441">
        <f t="shared" si="18"/>
        <v>0</v>
      </c>
      <c r="R198" s="383" t="s">
        <v>742</v>
      </c>
      <c r="S198" s="442" t="s">
        <v>2535</v>
      </c>
      <c r="T198" s="443" t="s">
        <v>2567</v>
      </c>
      <c r="U198" s="444"/>
      <c r="V198" s="445"/>
      <c r="W198" s="406"/>
      <c r="X198" s="406"/>
      <c r="Y198" s="423">
        <f>V198-W198</f>
        <v>0</v>
      </c>
      <c r="Z198" s="446" t="s">
        <v>2549</v>
      </c>
      <c r="AA198" s="434" t="s">
        <v>2568</v>
      </c>
      <c r="AB198" s="447" t="s">
        <v>1126</v>
      </c>
      <c r="AC198" s="426">
        <f t="shared" si="15"/>
        <v>0</v>
      </c>
      <c r="AD198" s="426">
        <f t="shared" si="16"/>
        <v>0</v>
      </c>
      <c r="AE198" s="426">
        <f t="shared" si="17"/>
        <v>0</v>
      </c>
      <c r="AF198" s="427"/>
      <c r="AG198" s="428"/>
      <c r="AH198" s="427" t="s">
        <v>892</v>
      </c>
    </row>
    <row r="199" ht="15" customHeight="1" spans="1:34">
      <c r="A199" s="406">
        <f t="shared" si="14"/>
        <v>198</v>
      </c>
      <c r="B199" s="500" t="s">
        <v>1677</v>
      </c>
      <c r="C199" s="435"/>
      <c r="D199" s="436" t="s">
        <v>2569</v>
      </c>
      <c r="E199" s="406"/>
      <c r="F199" s="437"/>
      <c r="G199" s="436" t="s">
        <v>2570</v>
      </c>
      <c r="H199" s="436" t="s">
        <v>2571</v>
      </c>
      <c r="I199" s="427" t="s">
        <v>2572</v>
      </c>
      <c r="J199" s="435"/>
      <c r="K199" s="438"/>
      <c r="L199" s="435"/>
      <c r="M199" s="414" t="s">
        <v>1710</v>
      </c>
      <c r="N199" s="438"/>
      <c r="O199" s="439"/>
      <c r="P199" s="440" t="str">
        <f t="shared" si="12"/>
        <v>徐知友</v>
      </c>
      <c r="Q199" s="441">
        <f t="shared" si="18"/>
        <v>0</v>
      </c>
      <c r="R199" s="383" t="s">
        <v>742</v>
      </c>
      <c r="S199" s="442" t="s">
        <v>2573</v>
      </c>
      <c r="T199" s="443" t="s">
        <v>2574</v>
      </c>
      <c r="U199" s="444"/>
      <c r="V199" s="445"/>
      <c r="W199" s="406"/>
      <c r="X199" s="406"/>
      <c r="Y199" s="423">
        <f>V199-W199</f>
        <v>0</v>
      </c>
      <c r="Z199" s="446" t="s">
        <v>2549</v>
      </c>
      <c r="AA199" s="434" t="s">
        <v>2532</v>
      </c>
      <c r="AB199" s="447" t="s">
        <v>1126</v>
      </c>
      <c r="AC199" s="426">
        <f t="shared" si="15"/>
        <v>0</v>
      </c>
      <c r="AD199" s="426">
        <f t="shared" si="16"/>
        <v>0</v>
      </c>
      <c r="AE199" s="426">
        <f t="shared" si="17"/>
        <v>0</v>
      </c>
      <c r="AF199" s="427"/>
      <c r="AG199" s="428"/>
      <c r="AH199" s="427" t="s">
        <v>892</v>
      </c>
    </row>
    <row r="200" ht="15" customHeight="1" spans="1:34">
      <c r="A200" s="406">
        <f t="shared" si="14"/>
        <v>199</v>
      </c>
      <c r="B200" s="500" t="s">
        <v>1677</v>
      </c>
      <c r="C200" s="435"/>
      <c r="D200" s="436" t="s">
        <v>2575</v>
      </c>
      <c r="E200" s="406"/>
      <c r="F200" s="437"/>
      <c r="G200" s="436" t="s">
        <v>1946</v>
      </c>
      <c r="H200" s="436" t="s">
        <v>2576</v>
      </c>
      <c r="I200" s="427" t="s">
        <v>2577</v>
      </c>
      <c r="J200" s="532"/>
      <c r="K200" s="438"/>
      <c r="L200" s="532"/>
      <c r="M200" s="414" t="s">
        <v>1688</v>
      </c>
      <c r="N200" s="438">
        <f>K200+O200</f>
        <v>0</v>
      </c>
      <c r="O200" s="439"/>
      <c r="P200" s="440" t="str">
        <f t="shared" si="12"/>
        <v>程媛</v>
      </c>
      <c r="Q200" s="441">
        <f t="shared" si="18"/>
        <v>0</v>
      </c>
      <c r="R200" s="383" t="s">
        <v>742</v>
      </c>
      <c r="S200" s="442" t="s">
        <v>2535</v>
      </c>
      <c r="T200" s="443" t="s">
        <v>2578</v>
      </c>
      <c r="U200" s="444"/>
      <c r="V200" s="445"/>
      <c r="W200" s="406"/>
      <c r="X200" s="406"/>
      <c r="Y200" s="423">
        <f>V200-W200</f>
        <v>0</v>
      </c>
      <c r="Z200" s="446" t="s">
        <v>2549</v>
      </c>
      <c r="AA200" s="434" t="s">
        <v>2508</v>
      </c>
      <c r="AB200" s="447" t="s">
        <v>1126</v>
      </c>
      <c r="AC200" s="426">
        <f t="shared" si="15"/>
        <v>0</v>
      </c>
      <c r="AD200" s="426">
        <f t="shared" si="16"/>
        <v>0</v>
      </c>
      <c r="AE200" s="426">
        <f t="shared" si="17"/>
        <v>0</v>
      </c>
      <c r="AF200" s="427"/>
      <c r="AG200" s="428"/>
      <c r="AH200" s="427" t="s">
        <v>892</v>
      </c>
    </row>
    <row r="201" ht="15" customHeight="1" spans="1:34">
      <c r="A201" s="406">
        <f t="shared" si="14"/>
        <v>200</v>
      </c>
      <c r="B201" s="500" t="s">
        <v>1677</v>
      </c>
      <c r="C201" s="435"/>
      <c r="D201" s="436" t="s">
        <v>2579</v>
      </c>
      <c r="E201" s="406"/>
      <c r="F201" s="437"/>
      <c r="G201" s="436" t="s">
        <v>2016</v>
      </c>
      <c r="H201" s="436" t="s">
        <v>2580</v>
      </c>
      <c r="I201" s="427" t="s">
        <v>2581</v>
      </c>
      <c r="J201" s="532"/>
      <c r="K201" s="438"/>
      <c r="L201" s="532"/>
      <c r="M201" s="414" t="s">
        <v>1710</v>
      </c>
      <c r="N201" s="438"/>
      <c r="O201" s="439"/>
      <c r="P201" s="440" t="str">
        <f t="shared" si="12"/>
        <v>李菊才</v>
      </c>
      <c r="Q201" s="441">
        <f t="shared" si="18"/>
        <v>0</v>
      </c>
      <c r="R201" s="383" t="s">
        <v>767</v>
      </c>
      <c r="S201" s="442" t="s">
        <v>2535</v>
      </c>
      <c r="T201" s="443" t="s">
        <v>2582</v>
      </c>
      <c r="U201" s="444"/>
      <c r="V201" s="445"/>
      <c r="W201" s="406"/>
      <c r="X201" s="406"/>
      <c r="Y201" s="423"/>
      <c r="Z201" s="446" t="s">
        <v>2519</v>
      </c>
      <c r="AA201" s="434" t="s">
        <v>2583</v>
      </c>
      <c r="AB201" s="447" t="s">
        <v>1112</v>
      </c>
      <c r="AC201" s="426">
        <f t="shared" si="15"/>
        <v>0</v>
      </c>
      <c r="AD201" s="426">
        <f t="shared" si="16"/>
        <v>0</v>
      </c>
      <c r="AE201" s="426">
        <f t="shared" si="17"/>
        <v>0</v>
      </c>
      <c r="AF201" s="427"/>
      <c r="AG201" s="428"/>
      <c r="AH201" s="427" t="s">
        <v>892</v>
      </c>
    </row>
    <row r="202" ht="15" customHeight="1" spans="1:34">
      <c r="A202" s="406">
        <f t="shared" si="14"/>
        <v>201</v>
      </c>
      <c r="B202" s="500" t="s">
        <v>1677</v>
      </c>
      <c r="C202" s="435"/>
      <c r="D202" s="436" t="s">
        <v>2584</v>
      </c>
      <c r="E202" s="406"/>
      <c r="F202" s="437"/>
      <c r="G202" s="436" t="s">
        <v>2585</v>
      </c>
      <c r="H202" s="436" t="s">
        <v>2586</v>
      </c>
      <c r="I202" s="427" t="s">
        <v>2587</v>
      </c>
      <c r="J202" s="435"/>
      <c r="K202" s="438"/>
      <c r="L202" s="435"/>
      <c r="M202" s="414" t="s">
        <v>1710</v>
      </c>
      <c r="N202" s="438"/>
      <c r="O202" s="439"/>
      <c r="P202" s="440" t="str">
        <f t="shared" si="12"/>
        <v>黄国军</v>
      </c>
      <c r="Q202" s="441"/>
      <c r="R202" s="383" t="s">
        <v>742</v>
      </c>
      <c r="S202" s="442" t="s">
        <v>2535</v>
      </c>
      <c r="T202" s="443" t="s">
        <v>2588</v>
      </c>
      <c r="U202" s="444"/>
      <c r="V202" s="445"/>
      <c r="W202" s="406"/>
      <c r="X202" s="406"/>
      <c r="Y202" s="423">
        <f>V202-W202</f>
        <v>0</v>
      </c>
      <c r="Z202" s="446" t="s">
        <v>2589</v>
      </c>
      <c r="AA202" s="434" t="s">
        <v>2526</v>
      </c>
      <c r="AB202" s="447" t="s">
        <v>1126</v>
      </c>
      <c r="AC202" s="426">
        <f t="shared" si="15"/>
        <v>0</v>
      </c>
      <c r="AD202" s="426">
        <f t="shared" si="16"/>
        <v>0</v>
      </c>
      <c r="AE202" s="426">
        <f t="shared" si="17"/>
        <v>0</v>
      </c>
      <c r="AF202" s="427"/>
      <c r="AG202" s="428"/>
      <c r="AH202" s="427" t="s">
        <v>892</v>
      </c>
    </row>
    <row r="203" ht="15" customHeight="1" spans="1:34">
      <c r="A203" s="406">
        <f t="shared" si="14"/>
        <v>202</v>
      </c>
      <c r="B203" s="434" t="s">
        <v>1677</v>
      </c>
      <c r="C203" s="435"/>
      <c r="D203" s="436" t="s">
        <v>1527</v>
      </c>
      <c r="E203" s="406"/>
      <c r="F203" s="437" t="s">
        <v>2590</v>
      </c>
      <c r="G203" s="436" t="s">
        <v>2591</v>
      </c>
      <c r="H203" s="436" t="s">
        <v>2592</v>
      </c>
      <c r="I203" s="427" t="s">
        <v>2593</v>
      </c>
      <c r="J203" s="532"/>
      <c r="K203" s="438"/>
      <c r="L203" s="532"/>
      <c r="M203" s="414" t="s">
        <v>1710</v>
      </c>
      <c r="N203" s="438"/>
      <c r="O203" s="439"/>
      <c r="P203" s="440" t="str">
        <f t="shared" si="12"/>
        <v>赵晶</v>
      </c>
      <c r="Q203" s="441">
        <f t="shared" ref="Q203:Q253" si="19">E203</f>
        <v>0</v>
      </c>
      <c r="R203" s="383" t="s">
        <v>332</v>
      </c>
      <c r="S203" s="442" t="s">
        <v>1452</v>
      </c>
      <c r="T203" s="443" t="s">
        <v>2594</v>
      </c>
      <c r="U203" s="444"/>
      <c r="V203" s="445"/>
      <c r="W203" s="406"/>
      <c r="X203" s="406"/>
      <c r="Y203" s="423">
        <f t="shared" ref="Y203:Y233" si="20">IFERROR(V203-W203,0)</f>
        <v>0</v>
      </c>
      <c r="Z203" s="446" t="s">
        <v>2595</v>
      </c>
      <c r="AA203" s="434" t="s">
        <v>2596</v>
      </c>
      <c r="AB203" s="447" t="s">
        <v>1112</v>
      </c>
      <c r="AC203" s="426">
        <f t="shared" si="15"/>
        <v>0</v>
      </c>
      <c r="AD203" s="426">
        <f t="shared" si="16"/>
        <v>0</v>
      </c>
      <c r="AE203" s="426">
        <f t="shared" si="17"/>
        <v>0</v>
      </c>
      <c r="AF203" s="427"/>
      <c r="AG203" s="428"/>
      <c r="AH203" s="427" t="s">
        <v>892</v>
      </c>
    </row>
    <row r="204" spans="1:34">
      <c r="A204" s="406">
        <f t="shared" si="14"/>
        <v>203</v>
      </c>
      <c r="B204" s="500" t="s">
        <v>1677</v>
      </c>
      <c r="C204" s="435"/>
      <c r="D204" s="436" t="s">
        <v>2597</v>
      </c>
      <c r="E204" s="406"/>
      <c r="F204" s="437"/>
      <c r="G204" s="436" t="s">
        <v>2598</v>
      </c>
      <c r="H204" s="436" t="s">
        <v>2599</v>
      </c>
      <c r="I204" s="427" t="s">
        <v>2600</v>
      </c>
      <c r="J204" s="532"/>
      <c r="K204" s="438"/>
      <c r="L204" s="532"/>
      <c r="M204" s="414"/>
      <c r="N204" s="438"/>
      <c r="O204" s="439"/>
      <c r="P204" s="440" t="str">
        <f t="shared" si="12"/>
        <v>杜波</v>
      </c>
      <c r="Q204" s="441">
        <f t="shared" si="19"/>
        <v>0</v>
      </c>
      <c r="R204" s="383" t="s">
        <v>327</v>
      </c>
      <c r="S204" s="442" t="s">
        <v>1457</v>
      </c>
      <c r="T204" s="443" t="s">
        <v>2601</v>
      </c>
      <c r="U204" s="444"/>
      <c r="V204" s="445"/>
      <c r="W204" s="406"/>
      <c r="X204" s="406"/>
      <c r="Y204" s="423">
        <f t="shared" si="20"/>
        <v>0</v>
      </c>
      <c r="Z204" s="446" t="s">
        <v>2602</v>
      </c>
      <c r="AA204" s="434" t="s">
        <v>2603</v>
      </c>
      <c r="AB204" s="447"/>
      <c r="AC204" s="426">
        <f t="shared" si="15"/>
        <v>0</v>
      </c>
      <c r="AD204" s="426">
        <f t="shared" si="16"/>
        <v>0</v>
      </c>
      <c r="AE204" s="426">
        <f t="shared" si="17"/>
        <v>0</v>
      </c>
      <c r="AF204" s="427"/>
      <c r="AG204" s="428"/>
      <c r="AH204" s="427" t="s">
        <v>892</v>
      </c>
    </row>
    <row r="205" spans="1:34">
      <c r="A205" s="406">
        <f t="shared" si="14"/>
        <v>204</v>
      </c>
      <c r="B205" s="434" t="s">
        <v>1721</v>
      </c>
      <c r="C205" s="435"/>
      <c r="D205" s="436" t="s">
        <v>2604</v>
      </c>
      <c r="E205" s="406"/>
      <c r="F205" s="437" t="s">
        <v>2605</v>
      </c>
      <c r="G205" s="436" t="s">
        <v>1777</v>
      </c>
      <c r="H205" s="436" t="s">
        <v>2606</v>
      </c>
      <c r="I205" s="427" t="s">
        <v>2607</v>
      </c>
      <c r="J205" s="532"/>
      <c r="K205" s="438"/>
      <c r="L205" s="532"/>
      <c r="M205" s="414"/>
      <c r="N205" s="438"/>
      <c r="O205" s="439"/>
      <c r="P205" s="440" t="str">
        <f t="shared" si="12"/>
        <v>张奎</v>
      </c>
      <c r="Q205" s="441">
        <f t="shared" si="19"/>
        <v>0</v>
      </c>
      <c r="R205" s="383" t="s">
        <v>332</v>
      </c>
      <c r="S205" s="442" t="s">
        <v>1452</v>
      </c>
      <c r="T205" s="443" t="s">
        <v>2608</v>
      </c>
      <c r="U205" s="444"/>
      <c r="V205" s="445"/>
      <c r="W205" s="406"/>
      <c r="X205" s="406"/>
      <c r="Y205" s="423">
        <f t="shared" si="20"/>
        <v>0</v>
      </c>
      <c r="Z205" s="446" t="s">
        <v>2609</v>
      </c>
      <c r="AA205" s="434" t="s">
        <v>2610</v>
      </c>
      <c r="AB205" s="447"/>
      <c r="AC205" s="426">
        <f t="shared" si="15"/>
        <v>0</v>
      </c>
      <c r="AD205" s="426">
        <f t="shared" si="16"/>
        <v>0</v>
      </c>
      <c r="AE205" s="426">
        <f t="shared" si="17"/>
        <v>0</v>
      </c>
      <c r="AF205" s="427"/>
      <c r="AG205" s="428"/>
      <c r="AH205" s="427" t="s">
        <v>892</v>
      </c>
    </row>
    <row r="206" spans="1:34">
      <c r="A206" s="406">
        <f t="shared" si="14"/>
        <v>205</v>
      </c>
      <c r="B206" s="434" t="s">
        <v>1677</v>
      </c>
      <c r="C206" s="435"/>
      <c r="D206" s="436" t="s">
        <v>2611</v>
      </c>
      <c r="E206" s="406"/>
      <c r="F206" s="437" t="s">
        <v>2612</v>
      </c>
      <c r="G206" s="436" t="s">
        <v>1783</v>
      </c>
      <c r="H206" s="436" t="s">
        <v>2613</v>
      </c>
      <c r="I206" s="427" t="s">
        <v>2614</v>
      </c>
      <c r="J206" s="532"/>
      <c r="K206" s="438"/>
      <c r="L206" s="532"/>
      <c r="M206" s="414" t="s">
        <v>1710</v>
      </c>
      <c r="N206" s="438"/>
      <c r="O206" s="439"/>
      <c r="P206" s="440" t="str">
        <f t="shared" si="12"/>
        <v>李智雄</v>
      </c>
      <c r="Q206" s="441">
        <f t="shared" si="19"/>
        <v>0</v>
      </c>
      <c r="R206" s="383" t="s">
        <v>332</v>
      </c>
      <c r="S206" s="442" t="s">
        <v>1452</v>
      </c>
      <c r="T206" s="443" t="s">
        <v>2615</v>
      </c>
      <c r="U206" s="444"/>
      <c r="V206" s="445"/>
      <c r="W206" s="406"/>
      <c r="X206" s="406"/>
      <c r="Y206" s="423">
        <f t="shared" si="20"/>
        <v>0</v>
      </c>
      <c r="Z206" s="446" t="s">
        <v>2609</v>
      </c>
      <c r="AA206" s="434" t="s">
        <v>2610</v>
      </c>
      <c r="AB206" s="447" t="s">
        <v>1112</v>
      </c>
      <c r="AC206" s="426">
        <f t="shared" si="15"/>
        <v>0</v>
      </c>
      <c r="AD206" s="426">
        <f t="shared" si="16"/>
        <v>0</v>
      </c>
      <c r="AE206" s="426">
        <f t="shared" si="17"/>
        <v>0</v>
      </c>
      <c r="AF206" s="427"/>
      <c r="AG206" s="428"/>
      <c r="AH206" s="427" t="s">
        <v>892</v>
      </c>
    </row>
    <row r="207" spans="1:34">
      <c r="A207" s="406">
        <f t="shared" si="14"/>
        <v>206</v>
      </c>
      <c r="B207" s="434" t="s">
        <v>1677</v>
      </c>
      <c r="C207" s="435"/>
      <c r="D207" s="436" t="s">
        <v>2616</v>
      </c>
      <c r="E207" s="406"/>
      <c r="F207" s="437" t="s">
        <v>2617</v>
      </c>
      <c r="G207" s="436" t="s">
        <v>1707</v>
      </c>
      <c r="H207" s="436" t="s">
        <v>2618</v>
      </c>
      <c r="I207" s="427" t="s">
        <v>2619</v>
      </c>
      <c r="J207" s="532"/>
      <c r="K207" s="438"/>
      <c r="L207" s="532"/>
      <c r="M207" s="414"/>
      <c r="N207" s="438"/>
      <c r="O207" s="439"/>
      <c r="P207" s="440" t="str">
        <f t="shared" si="12"/>
        <v>王炟丹</v>
      </c>
      <c r="Q207" s="441">
        <f t="shared" si="19"/>
        <v>0</v>
      </c>
      <c r="R207" s="383" t="s">
        <v>332</v>
      </c>
      <c r="S207" s="442" t="s">
        <v>2620</v>
      </c>
      <c r="T207" s="443" t="s">
        <v>2621</v>
      </c>
      <c r="U207" s="444"/>
      <c r="V207" s="445"/>
      <c r="W207" s="406"/>
      <c r="X207" s="406"/>
      <c r="Y207" s="423">
        <f t="shared" si="20"/>
        <v>0</v>
      </c>
      <c r="Z207" s="446" t="s">
        <v>2609</v>
      </c>
      <c r="AA207" s="434" t="s">
        <v>2610</v>
      </c>
      <c r="AB207" s="447"/>
      <c r="AC207" s="426">
        <f t="shared" si="15"/>
        <v>0</v>
      </c>
      <c r="AD207" s="426">
        <f t="shared" si="16"/>
        <v>0</v>
      </c>
      <c r="AE207" s="426">
        <f t="shared" si="17"/>
        <v>0</v>
      </c>
      <c r="AF207" s="427"/>
      <c r="AG207" s="428"/>
      <c r="AH207" s="427" t="s">
        <v>892</v>
      </c>
    </row>
    <row r="208" spans="1:34">
      <c r="A208" s="406">
        <f t="shared" si="14"/>
        <v>207</v>
      </c>
      <c r="B208" s="434" t="s">
        <v>1677</v>
      </c>
      <c r="C208" s="435"/>
      <c r="D208" s="436" t="s">
        <v>2622</v>
      </c>
      <c r="E208" s="406"/>
      <c r="F208" s="437"/>
      <c r="G208" s="436" t="s">
        <v>2623</v>
      </c>
      <c r="H208" s="436" t="s">
        <v>2624</v>
      </c>
      <c r="I208" s="427" t="s">
        <v>2625</v>
      </c>
      <c r="J208" s="532"/>
      <c r="K208" s="438"/>
      <c r="L208" s="532"/>
      <c r="M208" s="414" t="s">
        <v>2626</v>
      </c>
      <c r="N208" s="438">
        <f>K208+O208</f>
        <v>0</v>
      </c>
      <c r="O208" s="439"/>
      <c r="P208" s="440" t="str">
        <f t="shared" si="12"/>
        <v>陈良清</v>
      </c>
      <c r="Q208" s="441">
        <f t="shared" si="19"/>
        <v>0</v>
      </c>
      <c r="R208" s="383" t="s">
        <v>332</v>
      </c>
      <c r="S208" s="442" t="s">
        <v>1457</v>
      </c>
      <c r="T208" s="443" t="s">
        <v>2627</v>
      </c>
      <c r="U208" s="444"/>
      <c r="V208" s="445"/>
      <c r="W208" s="406"/>
      <c r="X208" s="406"/>
      <c r="Y208" s="423">
        <f t="shared" si="20"/>
        <v>0</v>
      </c>
      <c r="Z208" s="446" t="s">
        <v>2602</v>
      </c>
      <c r="AA208" s="434" t="s">
        <v>2628</v>
      </c>
      <c r="AB208" s="447"/>
      <c r="AC208" s="426">
        <f t="shared" si="15"/>
        <v>0</v>
      </c>
      <c r="AD208" s="426">
        <f t="shared" si="16"/>
        <v>0</v>
      </c>
      <c r="AE208" s="426">
        <f t="shared" si="17"/>
        <v>0</v>
      </c>
      <c r="AF208" s="427"/>
      <c r="AG208" s="428"/>
      <c r="AH208" s="427" t="s">
        <v>892</v>
      </c>
    </row>
    <row r="209" spans="1:34">
      <c r="A209" s="406">
        <f t="shared" si="14"/>
        <v>208</v>
      </c>
      <c r="B209" s="434" t="s">
        <v>1677</v>
      </c>
      <c r="C209" s="435"/>
      <c r="D209" s="436" t="s">
        <v>775</v>
      </c>
      <c r="E209" s="406"/>
      <c r="F209" s="437"/>
      <c r="G209" s="436" t="s">
        <v>1770</v>
      </c>
      <c r="H209" s="436" t="s">
        <v>2629</v>
      </c>
      <c r="I209" s="427" t="s">
        <v>2630</v>
      </c>
      <c r="J209" s="532"/>
      <c r="K209" s="438"/>
      <c r="L209" s="532"/>
      <c r="M209" s="414" t="s">
        <v>2360</v>
      </c>
      <c r="N209" s="438">
        <f>K209+O209</f>
        <v>0</v>
      </c>
      <c r="O209" s="439"/>
      <c r="P209" s="440" t="str">
        <f t="shared" si="12"/>
        <v>王丹</v>
      </c>
      <c r="Q209" s="441">
        <f t="shared" si="19"/>
        <v>0</v>
      </c>
      <c r="R209" s="383" t="s">
        <v>332</v>
      </c>
      <c r="S209" s="442" t="s">
        <v>1452</v>
      </c>
      <c r="T209" s="443" t="s">
        <v>2631</v>
      </c>
      <c r="U209" s="444"/>
      <c r="V209" s="445"/>
      <c r="W209" s="406"/>
      <c r="X209" s="406"/>
      <c r="Y209" s="423">
        <f t="shared" si="20"/>
        <v>0</v>
      </c>
      <c r="Z209" s="446" t="s">
        <v>2632</v>
      </c>
      <c r="AA209" s="434" t="s">
        <v>2633</v>
      </c>
      <c r="AB209" s="447"/>
      <c r="AC209" s="426">
        <f t="shared" si="15"/>
        <v>0</v>
      </c>
      <c r="AD209" s="426">
        <f t="shared" si="16"/>
        <v>0</v>
      </c>
      <c r="AE209" s="426">
        <f t="shared" si="17"/>
        <v>0</v>
      </c>
      <c r="AF209" s="427"/>
      <c r="AG209" s="428"/>
      <c r="AH209" s="427" t="s">
        <v>892</v>
      </c>
    </row>
    <row r="210" spans="1:34">
      <c r="A210" s="406">
        <f t="shared" si="14"/>
        <v>209</v>
      </c>
      <c r="B210" s="434" t="s">
        <v>1677</v>
      </c>
      <c r="C210" s="435"/>
      <c r="D210" s="436" t="s">
        <v>2634</v>
      </c>
      <c r="E210" s="406"/>
      <c r="F210" s="437" t="s">
        <v>2635</v>
      </c>
      <c r="G210" s="436" t="s">
        <v>1809</v>
      </c>
      <c r="H210" s="436" t="s">
        <v>2636</v>
      </c>
      <c r="I210" s="427" t="s">
        <v>2637</v>
      </c>
      <c r="J210" s="532"/>
      <c r="K210" s="438"/>
      <c r="L210" s="532"/>
      <c r="M210" s="414" t="s">
        <v>2626</v>
      </c>
      <c r="N210" s="438"/>
      <c r="O210" s="439"/>
      <c r="P210" s="440" t="str">
        <f t="shared" si="12"/>
        <v>宋冬梅</v>
      </c>
      <c r="Q210" s="441">
        <f t="shared" si="19"/>
        <v>0</v>
      </c>
      <c r="R210" s="383" t="s">
        <v>332</v>
      </c>
      <c r="S210" s="442" t="s">
        <v>1452</v>
      </c>
      <c r="T210" s="443" t="s">
        <v>2638</v>
      </c>
      <c r="U210" s="444"/>
      <c r="V210" s="445"/>
      <c r="W210" s="406"/>
      <c r="X210" s="406"/>
      <c r="Y210" s="423">
        <f t="shared" si="20"/>
        <v>0</v>
      </c>
      <c r="Z210" s="446" t="s">
        <v>2609</v>
      </c>
      <c r="AA210" s="434" t="s">
        <v>2610</v>
      </c>
      <c r="AB210" s="447" t="s">
        <v>1112</v>
      </c>
      <c r="AC210" s="426">
        <f t="shared" si="15"/>
        <v>0</v>
      </c>
      <c r="AD210" s="426">
        <f t="shared" si="16"/>
        <v>0</v>
      </c>
      <c r="AE210" s="426">
        <f t="shared" si="17"/>
        <v>0</v>
      </c>
      <c r="AF210" s="427"/>
      <c r="AG210" s="428"/>
      <c r="AH210" s="427" t="s">
        <v>892</v>
      </c>
    </row>
    <row r="211" spans="1:34">
      <c r="A211" s="406">
        <f t="shared" si="14"/>
        <v>210</v>
      </c>
      <c r="B211" s="434" t="s">
        <v>1677</v>
      </c>
      <c r="C211" s="435"/>
      <c r="D211" s="436" t="s">
        <v>2639</v>
      </c>
      <c r="E211" s="406"/>
      <c r="F211" s="437" t="s">
        <v>2640</v>
      </c>
      <c r="G211" s="436" t="s">
        <v>1859</v>
      </c>
      <c r="H211" s="436" t="s">
        <v>2641</v>
      </c>
      <c r="I211" s="427" t="s">
        <v>2642</v>
      </c>
      <c r="J211" s="532"/>
      <c r="K211" s="438"/>
      <c r="L211" s="532"/>
      <c r="M211" s="414"/>
      <c r="N211" s="438"/>
      <c r="O211" s="439"/>
      <c r="P211" s="440" t="str">
        <f t="shared" si="12"/>
        <v>彭顺姣</v>
      </c>
      <c r="Q211" s="441">
        <f t="shared" si="19"/>
        <v>0</v>
      </c>
      <c r="R211" s="383" t="s">
        <v>332</v>
      </c>
      <c r="S211" s="442" t="s">
        <v>1452</v>
      </c>
      <c r="T211" s="443" t="s">
        <v>2643</v>
      </c>
      <c r="U211" s="444"/>
      <c r="V211" s="445"/>
      <c r="W211" s="406"/>
      <c r="X211" s="406"/>
      <c r="Y211" s="423">
        <f t="shared" si="20"/>
        <v>0</v>
      </c>
      <c r="Z211" s="446" t="s">
        <v>2609</v>
      </c>
      <c r="AA211" s="434" t="s">
        <v>2644</v>
      </c>
      <c r="AB211" s="447"/>
      <c r="AC211" s="426">
        <f t="shared" si="15"/>
        <v>0</v>
      </c>
      <c r="AD211" s="426">
        <f t="shared" si="16"/>
        <v>0</v>
      </c>
      <c r="AE211" s="426">
        <f t="shared" si="17"/>
        <v>0</v>
      </c>
      <c r="AF211" s="427"/>
      <c r="AG211" s="428"/>
      <c r="AH211" s="427" t="s">
        <v>892</v>
      </c>
    </row>
    <row r="212" spans="1:34">
      <c r="A212" s="406">
        <f t="shared" si="14"/>
        <v>211</v>
      </c>
      <c r="B212" s="434" t="s">
        <v>1677</v>
      </c>
      <c r="C212" s="435"/>
      <c r="D212" s="436" t="s">
        <v>2645</v>
      </c>
      <c r="E212" s="406"/>
      <c r="F212" s="437"/>
      <c r="G212" s="436" t="s">
        <v>2478</v>
      </c>
      <c r="H212" s="436" t="s">
        <v>2646</v>
      </c>
      <c r="I212" s="427" t="s">
        <v>2647</v>
      </c>
      <c r="J212" s="532"/>
      <c r="K212" s="438"/>
      <c r="L212" s="532"/>
      <c r="M212" s="414" t="s">
        <v>1710</v>
      </c>
      <c r="N212" s="438">
        <f>K212+O212</f>
        <v>0</v>
      </c>
      <c r="O212" s="439"/>
      <c r="P212" s="440" t="str">
        <f t="shared" si="12"/>
        <v>黄从安</v>
      </c>
      <c r="Q212" s="441">
        <f t="shared" si="19"/>
        <v>0</v>
      </c>
      <c r="R212" s="383" t="s">
        <v>332</v>
      </c>
      <c r="S212" s="442" t="s">
        <v>1452</v>
      </c>
      <c r="T212" s="443" t="s">
        <v>2648</v>
      </c>
      <c r="U212" s="444"/>
      <c r="V212" s="445"/>
      <c r="W212" s="406"/>
      <c r="X212" s="406"/>
      <c r="Y212" s="423">
        <f t="shared" si="20"/>
        <v>0</v>
      </c>
      <c r="Z212" s="446" t="s">
        <v>2649</v>
      </c>
      <c r="AA212" s="434" t="s">
        <v>2650</v>
      </c>
      <c r="AB212" s="447"/>
      <c r="AC212" s="426">
        <f t="shared" si="15"/>
        <v>0</v>
      </c>
      <c r="AD212" s="426">
        <f t="shared" si="16"/>
        <v>0</v>
      </c>
      <c r="AE212" s="426">
        <f t="shared" si="17"/>
        <v>0</v>
      </c>
      <c r="AF212" s="427"/>
      <c r="AG212" s="428"/>
      <c r="AH212" s="427" t="s">
        <v>892</v>
      </c>
    </row>
    <row r="213" spans="1:34">
      <c r="A213" s="406">
        <f t="shared" si="14"/>
        <v>212</v>
      </c>
      <c r="B213" s="434" t="s">
        <v>1677</v>
      </c>
      <c r="C213" s="435"/>
      <c r="D213" s="436" t="s">
        <v>2651</v>
      </c>
      <c r="E213" s="406"/>
      <c r="F213" s="437" t="s">
        <v>2652</v>
      </c>
      <c r="G213" s="436" t="s">
        <v>2410</v>
      </c>
      <c r="H213" s="436" t="s">
        <v>2653</v>
      </c>
      <c r="I213" s="427" t="s">
        <v>2654</v>
      </c>
      <c r="J213" s="532"/>
      <c r="K213" s="438"/>
      <c r="L213" s="532"/>
      <c r="M213" s="414" t="s">
        <v>1710</v>
      </c>
      <c r="N213" s="438"/>
      <c r="O213" s="439"/>
      <c r="P213" s="440" t="str">
        <f t="shared" si="12"/>
        <v>蒋承江</v>
      </c>
      <c r="Q213" s="441">
        <f t="shared" si="19"/>
        <v>0</v>
      </c>
      <c r="R213" s="383" t="s">
        <v>332</v>
      </c>
      <c r="S213" s="442" t="s">
        <v>1457</v>
      </c>
      <c r="T213" s="443" t="s">
        <v>2655</v>
      </c>
      <c r="U213" s="444"/>
      <c r="V213" s="445"/>
      <c r="W213" s="406"/>
      <c r="X213" s="406"/>
      <c r="Y213" s="423">
        <f t="shared" si="20"/>
        <v>0</v>
      </c>
      <c r="Z213" s="446" t="s">
        <v>2595</v>
      </c>
      <c r="AA213" s="434" t="s">
        <v>2596</v>
      </c>
      <c r="AB213" s="447" t="s">
        <v>1112</v>
      </c>
      <c r="AC213" s="426">
        <f t="shared" si="15"/>
        <v>0</v>
      </c>
      <c r="AD213" s="426">
        <f t="shared" si="16"/>
        <v>0</v>
      </c>
      <c r="AE213" s="426">
        <f t="shared" si="17"/>
        <v>0</v>
      </c>
      <c r="AF213" s="427"/>
      <c r="AG213" s="428"/>
      <c r="AH213" s="427" t="s">
        <v>892</v>
      </c>
    </row>
    <row r="214" spans="1:34">
      <c r="A214" s="406">
        <f t="shared" si="14"/>
        <v>213</v>
      </c>
      <c r="B214" s="434" t="s">
        <v>1677</v>
      </c>
      <c r="C214" s="435"/>
      <c r="D214" s="436" t="s">
        <v>2656</v>
      </c>
      <c r="E214" s="406"/>
      <c r="F214" s="437" t="s">
        <v>2657</v>
      </c>
      <c r="G214" s="436" t="s">
        <v>2658</v>
      </c>
      <c r="H214" s="436" t="s">
        <v>2659</v>
      </c>
      <c r="I214" s="427" t="s">
        <v>2660</v>
      </c>
      <c r="J214" s="532"/>
      <c r="K214" s="438"/>
      <c r="L214" s="532"/>
      <c r="M214" s="414"/>
      <c r="N214" s="438"/>
      <c r="O214" s="439"/>
      <c r="P214" s="440" t="str">
        <f t="shared" si="12"/>
        <v>刘云强</v>
      </c>
      <c r="Q214" s="441">
        <f t="shared" si="19"/>
        <v>0</v>
      </c>
      <c r="R214" s="383" t="s">
        <v>332</v>
      </c>
      <c r="S214" s="442" t="s">
        <v>2620</v>
      </c>
      <c r="T214" s="443" t="s">
        <v>2661</v>
      </c>
      <c r="U214" s="444"/>
      <c r="V214" s="445"/>
      <c r="W214" s="406"/>
      <c r="X214" s="406"/>
      <c r="Y214" s="423">
        <f t="shared" si="20"/>
        <v>0</v>
      </c>
      <c r="Z214" s="446" t="s">
        <v>2609</v>
      </c>
      <c r="AA214" s="434" t="s">
        <v>2662</v>
      </c>
      <c r="AB214" s="447"/>
      <c r="AC214" s="426">
        <f t="shared" si="15"/>
        <v>0</v>
      </c>
      <c r="AD214" s="426">
        <f t="shared" si="16"/>
        <v>0</v>
      </c>
      <c r="AE214" s="426">
        <f t="shared" si="17"/>
        <v>0</v>
      </c>
      <c r="AF214" s="427"/>
      <c r="AG214" s="428"/>
      <c r="AH214" s="427" t="s">
        <v>892</v>
      </c>
    </row>
    <row r="215" spans="1:34">
      <c r="A215" s="406">
        <f t="shared" si="14"/>
        <v>214</v>
      </c>
      <c r="B215" s="434" t="s">
        <v>1677</v>
      </c>
      <c r="C215" s="435"/>
      <c r="D215" s="436" t="s">
        <v>2663</v>
      </c>
      <c r="E215" s="406"/>
      <c r="F215" s="437" t="s">
        <v>2664</v>
      </c>
      <c r="G215" s="436" t="s">
        <v>2665</v>
      </c>
      <c r="H215" s="436" t="s">
        <v>2666</v>
      </c>
      <c r="I215" s="427" t="s">
        <v>2667</v>
      </c>
      <c r="J215" s="532"/>
      <c r="K215" s="438"/>
      <c r="L215" s="532"/>
      <c r="M215" s="414"/>
      <c r="N215" s="438"/>
      <c r="O215" s="439"/>
      <c r="P215" s="440" t="str">
        <f t="shared" si="12"/>
        <v>褚钢</v>
      </c>
      <c r="Q215" s="441">
        <f t="shared" si="19"/>
        <v>0</v>
      </c>
      <c r="R215" s="383" t="s">
        <v>332</v>
      </c>
      <c r="S215" s="442" t="s">
        <v>1452</v>
      </c>
      <c r="T215" s="443" t="s">
        <v>2668</v>
      </c>
      <c r="U215" s="444"/>
      <c r="V215" s="445"/>
      <c r="W215" s="406"/>
      <c r="X215" s="406"/>
      <c r="Y215" s="423">
        <f t="shared" si="20"/>
        <v>0</v>
      </c>
      <c r="Z215" s="446" t="s">
        <v>2609</v>
      </c>
      <c r="AA215" s="434" t="s">
        <v>2669</v>
      </c>
      <c r="AB215" s="447"/>
      <c r="AC215" s="426">
        <f t="shared" si="15"/>
        <v>0</v>
      </c>
      <c r="AD215" s="426">
        <f t="shared" si="16"/>
        <v>0</v>
      </c>
      <c r="AE215" s="426">
        <f t="shared" si="17"/>
        <v>0</v>
      </c>
      <c r="AF215" s="427"/>
      <c r="AG215" s="428"/>
      <c r="AH215" s="427" t="s">
        <v>892</v>
      </c>
    </row>
    <row r="216" spans="1:34">
      <c r="A216" s="406">
        <f t="shared" si="14"/>
        <v>215</v>
      </c>
      <c r="B216" s="434" t="s">
        <v>1677</v>
      </c>
      <c r="C216" s="435"/>
      <c r="D216" s="436" t="s">
        <v>2670</v>
      </c>
      <c r="E216" s="406"/>
      <c r="F216" s="437"/>
      <c r="G216" s="436" t="s">
        <v>1854</v>
      </c>
      <c r="H216" s="436" t="s">
        <v>2671</v>
      </c>
      <c r="I216" s="427" t="s">
        <v>2672</v>
      </c>
      <c r="J216" s="532"/>
      <c r="K216" s="438"/>
      <c r="L216" s="532"/>
      <c r="M216" s="414" t="s">
        <v>2626</v>
      </c>
      <c r="N216" s="438"/>
      <c r="O216" s="439"/>
      <c r="P216" s="440" t="str">
        <f t="shared" si="12"/>
        <v>吴远军</v>
      </c>
      <c r="Q216" s="441">
        <f t="shared" si="19"/>
        <v>0</v>
      </c>
      <c r="R216" s="383" t="s">
        <v>332</v>
      </c>
      <c r="S216" s="442" t="s">
        <v>1452</v>
      </c>
      <c r="T216" s="443" t="s">
        <v>2673</v>
      </c>
      <c r="U216" s="444"/>
      <c r="V216" s="445"/>
      <c r="W216" s="406"/>
      <c r="X216" s="406"/>
      <c r="Y216" s="423">
        <f t="shared" si="20"/>
        <v>0</v>
      </c>
      <c r="Z216" s="446" t="s">
        <v>2609</v>
      </c>
      <c r="AA216" s="434" t="s">
        <v>2674</v>
      </c>
      <c r="AB216" s="447" t="s">
        <v>1112</v>
      </c>
      <c r="AC216" s="426">
        <f t="shared" si="15"/>
        <v>0</v>
      </c>
      <c r="AD216" s="426">
        <f t="shared" si="16"/>
        <v>0</v>
      </c>
      <c r="AE216" s="426">
        <f t="shared" si="17"/>
        <v>0</v>
      </c>
      <c r="AF216" s="427"/>
      <c r="AG216" s="428"/>
      <c r="AH216" s="427" t="s">
        <v>892</v>
      </c>
    </row>
    <row r="217" spans="1:34">
      <c r="A217" s="406">
        <f t="shared" si="14"/>
        <v>216</v>
      </c>
      <c r="B217" s="434" t="s">
        <v>1677</v>
      </c>
      <c r="C217" s="435"/>
      <c r="D217" s="436" t="s">
        <v>2675</v>
      </c>
      <c r="E217" s="406"/>
      <c r="F217" s="437"/>
      <c r="G217" s="436" t="s">
        <v>2676</v>
      </c>
      <c r="H217" s="436" t="s">
        <v>2677</v>
      </c>
      <c r="I217" s="427" t="s">
        <v>2678</v>
      </c>
      <c r="J217" s="532"/>
      <c r="K217" s="438"/>
      <c r="L217" s="532"/>
      <c r="M217" s="414" t="s">
        <v>2626</v>
      </c>
      <c r="N217" s="438"/>
      <c r="O217" s="439"/>
      <c r="P217" s="440" t="str">
        <f t="shared" si="12"/>
        <v>彭富兰</v>
      </c>
      <c r="Q217" s="441">
        <f t="shared" si="19"/>
        <v>0</v>
      </c>
      <c r="R217" s="383" t="s">
        <v>332</v>
      </c>
      <c r="S217" s="442" t="s">
        <v>1341</v>
      </c>
      <c r="T217" s="443" t="s">
        <v>2679</v>
      </c>
      <c r="U217" s="444"/>
      <c r="V217" s="445"/>
      <c r="W217" s="406"/>
      <c r="X217" s="406"/>
      <c r="Y217" s="423">
        <f t="shared" si="20"/>
        <v>0</v>
      </c>
      <c r="Z217" s="446" t="s">
        <v>2609</v>
      </c>
      <c r="AA217" s="434" t="s">
        <v>2669</v>
      </c>
      <c r="AB217" s="447" t="s">
        <v>1112</v>
      </c>
      <c r="AC217" s="426">
        <f t="shared" si="15"/>
        <v>0</v>
      </c>
      <c r="AD217" s="426">
        <f t="shared" si="16"/>
        <v>0</v>
      </c>
      <c r="AE217" s="426">
        <f t="shared" si="17"/>
        <v>0</v>
      </c>
      <c r="AF217" s="427"/>
      <c r="AG217" s="428"/>
      <c r="AH217" s="427" t="s">
        <v>892</v>
      </c>
    </row>
    <row r="218" spans="1:34">
      <c r="A218" s="406">
        <f t="shared" si="14"/>
        <v>217</v>
      </c>
      <c r="B218" s="434" t="s">
        <v>1677</v>
      </c>
      <c r="C218" s="435"/>
      <c r="D218" s="436" t="s">
        <v>2680</v>
      </c>
      <c r="E218" s="406"/>
      <c r="F218" s="437" t="s">
        <v>2681</v>
      </c>
      <c r="G218" s="436" t="s">
        <v>2682</v>
      </c>
      <c r="H218" s="436" t="s">
        <v>2683</v>
      </c>
      <c r="I218" s="427" t="s">
        <v>2684</v>
      </c>
      <c r="J218" s="532"/>
      <c r="K218" s="438"/>
      <c r="L218" s="532"/>
      <c r="M218" s="414" t="s">
        <v>2626</v>
      </c>
      <c r="N218" s="438"/>
      <c r="O218" s="439"/>
      <c r="P218" s="440" t="str">
        <f t="shared" si="12"/>
        <v>李婷</v>
      </c>
      <c r="Q218" s="441">
        <f t="shared" si="19"/>
        <v>0</v>
      </c>
      <c r="R218" s="383" t="s">
        <v>332</v>
      </c>
      <c r="S218" s="442" t="s">
        <v>1341</v>
      </c>
      <c r="T218" s="443" t="s">
        <v>2661</v>
      </c>
      <c r="U218" s="444"/>
      <c r="V218" s="445"/>
      <c r="W218" s="406"/>
      <c r="X218" s="406"/>
      <c r="Y218" s="423">
        <f t="shared" si="20"/>
        <v>0</v>
      </c>
      <c r="Z218" s="446" t="s">
        <v>2609</v>
      </c>
      <c r="AA218" s="434" t="s">
        <v>2662</v>
      </c>
      <c r="AB218" s="447" t="s">
        <v>1112</v>
      </c>
      <c r="AC218" s="426">
        <f t="shared" si="15"/>
        <v>0</v>
      </c>
      <c r="AD218" s="426">
        <f t="shared" si="16"/>
        <v>0</v>
      </c>
      <c r="AE218" s="426">
        <f t="shared" si="17"/>
        <v>0</v>
      </c>
      <c r="AF218" s="427"/>
      <c r="AG218" s="428"/>
      <c r="AH218" s="427" t="s">
        <v>892</v>
      </c>
    </row>
    <row r="219" spans="1:34">
      <c r="A219" s="406">
        <f t="shared" si="14"/>
        <v>218</v>
      </c>
      <c r="B219" s="434" t="s">
        <v>1721</v>
      </c>
      <c r="C219" s="435"/>
      <c r="D219" s="436" t="s">
        <v>2685</v>
      </c>
      <c r="E219" s="406"/>
      <c r="F219" s="437" t="s">
        <v>2686</v>
      </c>
      <c r="G219" s="436" t="s">
        <v>1777</v>
      </c>
      <c r="H219" s="436" t="s">
        <v>2687</v>
      </c>
      <c r="I219" s="427" t="s">
        <v>2688</v>
      </c>
      <c r="J219" s="532"/>
      <c r="K219" s="438"/>
      <c r="L219" s="532"/>
      <c r="M219" s="414"/>
      <c r="N219" s="438"/>
      <c r="O219" s="439"/>
      <c r="P219" s="440" t="str">
        <f t="shared" si="12"/>
        <v>包映梅</v>
      </c>
      <c r="Q219" s="441">
        <f t="shared" si="19"/>
        <v>0</v>
      </c>
      <c r="R219" s="383" t="s">
        <v>332</v>
      </c>
      <c r="S219" s="442" t="s">
        <v>1457</v>
      </c>
      <c r="T219" s="443" t="s">
        <v>2689</v>
      </c>
      <c r="U219" s="444"/>
      <c r="V219" s="445"/>
      <c r="W219" s="406"/>
      <c r="X219" s="406"/>
      <c r="Y219" s="423">
        <f t="shared" si="20"/>
        <v>0</v>
      </c>
      <c r="Z219" s="446" t="s">
        <v>2609</v>
      </c>
      <c r="AA219" s="434" t="s">
        <v>2610</v>
      </c>
      <c r="AB219" s="447"/>
      <c r="AC219" s="426">
        <f t="shared" si="15"/>
        <v>0</v>
      </c>
      <c r="AD219" s="426">
        <f t="shared" si="16"/>
        <v>0</v>
      </c>
      <c r="AE219" s="426">
        <f t="shared" si="17"/>
        <v>0</v>
      </c>
      <c r="AF219" s="427"/>
      <c r="AG219" s="428"/>
      <c r="AH219" s="427" t="s">
        <v>892</v>
      </c>
    </row>
    <row r="220" spans="1:34">
      <c r="A220" s="406">
        <f t="shared" si="14"/>
        <v>219</v>
      </c>
      <c r="B220" s="434" t="s">
        <v>1677</v>
      </c>
      <c r="C220" s="435"/>
      <c r="D220" s="436" t="s">
        <v>2690</v>
      </c>
      <c r="E220" s="406"/>
      <c r="F220" s="437" t="s">
        <v>2691</v>
      </c>
      <c r="G220" s="436" t="s">
        <v>1838</v>
      </c>
      <c r="H220" s="436" t="s">
        <v>2692</v>
      </c>
      <c r="I220" s="427" t="s">
        <v>2693</v>
      </c>
      <c r="J220" s="532"/>
      <c r="K220" s="438"/>
      <c r="L220" s="532"/>
      <c r="M220" s="414"/>
      <c r="N220" s="438"/>
      <c r="O220" s="439"/>
      <c r="P220" s="440" t="str">
        <f t="shared" si="12"/>
        <v>贾娜</v>
      </c>
      <c r="Q220" s="441">
        <f t="shared" si="19"/>
        <v>0</v>
      </c>
      <c r="R220" s="383" t="s">
        <v>332</v>
      </c>
      <c r="S220" s="442" t="s">
        <v>1452</v>
      </c>
      <c r="T220" s="443" t="s">
        <v>2694</v>
      </c>
      <c r="U220" s="444"/>
      <c r="V220" s="445"/>
      <c r="W220" s="406"/>
      <c r="X220" s="406"/>
      <c r="Y220" s="423">
        <f t="shared" si="20"/>
        <v>0</v>
      </c>
      <c r="Z220" s="446" t="s">
        <v>2595</v>
      </c>
      <c r="AA220" s="434" t="s">
        <v>2596</v>
      </c>
      <c r="AB220" s="447"/>
      <c r="AC220" s="426">
        <f t="shared" si="15"/>
        <v>0</v>
      </c>
      <c r="AD220" s="426">
        <f t="shared" si="16"/>
        <v>0</v>
      </c>
      <c r="AE220" s="426">
        <f t="shared" si="17"/>
        <v>0</v>
      </c>
      <c r="AF220" s="427"/>
      <c r="AG220" s="428"/>
      <c r="AH220" s="427" t="s">
        <v>892</v>
      </c>
    </row>
    <row r="221" spans="1:34">
      <c r="A221" s="406">
        <f t="shared" si="14"/>
        <v>220</v>
      </c>
      <c r="B221" s="434" t="s">
        <v>1677</v>
      </c>
      <c r="C221" s="435"/>
      <c r="D221" s="436" t="s">
        <v>2695</v>
      </c>
      <c r="E221" s="406"/>
      <c r="F221" s="437"/>
      <c r="G221" s="436" t="s">
        <v>1791</v>
      </c>
      <c r="H221" s="436" t="s">
        <v>2696</v>
      </c>
      <c r="I221" s="427" t="s">
        <v>2697</v>
      </c>
      <c r="J221" s="532"/>
      <c r="K221" s="438"/>
      <c r="L221" s="532"/>
      <c r="M221" s="414" t="s">
        <v>2626</v>
      </c>
      <c r="N221" s="438">
        <f>K221+O221</f>
        <v>0</v>
      </c>
      <c r="O221" s="439"/>
      <c r="P221" s="440" t="str">
        <f t="shared" si="12"/>
        <v>李承新</v>
      </c>
      <c r="Q221" s="441">
        <f t="shared" si="19"/>
        <v>0</v>
      </c>
      <c r="R221" s="383" t="s">
        <v>327</v>
      </c>
      <c r="S221" s="442" t="s">
        <v>1341</v>
      </c>
      <c r="T221" s="443" t="s">
        <v>2698</v>
      </c>
      <c r="U221" s="444"/>
      <c r="V221" s="445"/>
      <c r="W221" s="406"/>
      <c r="X221" s="406"/>
      <c r="Y221" s="423">
        <f t="shared" si="20"/>
        <v>0</v>
      </c>
      <c r="Z221" s="446" t="s">
        <v>2602</v>
      </c>
      <c r="AA221" s="434" t="s">
        <v>2650</v>
      </c>
      <c r="AB221" s="447"/>
      <c r="AC221" s="426">
        <f t="shared" si="15"/>
        <v>0</v>
      </c>
      <c r="AD221" s="426">
        <f t="shared" si="16"/>
        <v>0</v>
      </c>
      <c r="AE221" s="426">
        <f t="shared" si="17"/>
        <v>0</v>
      </c>
      <c r="AF221" s="427"/>
      <c r="AG221" s="428"/>
      <c r="AH221" s="427" t="s">
        <v>892</v>
      </c>
    </row>
    <row r="222" spans="1:34">
      <c r="A222" s="406">
        <f t="shared" si="14"/>
        <v>221</v>
      </c>
      <c r="B222" s="434" t="s">
        <v>1677</v>
      </c>
      <c r="C222" s="435"/>
      <c r="D222" s="436" t="s">
        <v>2699</v>
      </c>
      <c r="E222" s="406"/>
      <c r="F222" s="437"/>
      <c r="G222" s="436" t="s">
        <v>2700</v>
      </c>
      <c r="H222" s="436" t="s">
        <v>2701</v>
      </c>
      <c r="I222" s="427" t="s">
        <v>2702</v>
      </c>
      <c r="J222" s="532"/>
      <c r="K222" s="438"/>
      <c r="L222" s="532"/>
      <c r="M222" s="414"/>
      <c r="N222" s="438"/>
      <c r="O222" s="439"/>
      <c r="P222" s="440" t="str">
        <f t="shared" si="12"/>
        <v>马彬其</v>
      </c>
      <c r="Q222" s="441">
        <f t="shared" si="19"/>
        <v>0</v>
      </c>
      <c r="R222" s="383" t="s">
        <v>332</v>
      </c>
      <c r="S222" s="442" t="s">
        <v>1452</v>
      </c>
      <c r="T222" s="443" t="s">
        <v>2703</v>
      </c>
      <c r="U222" s="444"/>
      <c r="V222" s="445"/>
      <c r="W222" s="406"/>
      <c r="X222" s="406"/>
      <c r="Y222" s="423">
        <f t="shared" si="20"/>
        <v>0</v>
      </c>
      <c r="Z222" s="446" t="s">
        <v>2609</v>
      </c>
      <c r="AA222" s="434" t="s">
        <v>2662</v>
      </c>
      <c r="AB222" s="447"/>
      <c r="AC222" s="426">
        <f t="shared" si="15"/>
        <v>0</v>
      </c>
      <c r="AD222" s="426">
        <f t="shared" si="16"/>
        <v>0</v>
      </c>
      <c r="AE222" s="426">
        <f t="shared" si="17"/>
        <v>0</v>
      </c>
      <c r="AF222" s="427"/>
      <c r="AG222" s="428"/>
      <c r="AH222" s="427" t="s">
        <v>892</v>
      </c>
    </row>
    <row r="223" spans="1:34">
      <c r="A223" s="406">
        <f t="shared" si="14"/>
        <v>222</v>
      </c>
      <c r="B223" s="434" t="s">
        <v>1677</v>
      </c>
      <c r="C223" s="435"/>
      <c r="D223" s="436" t="s">
        <v>2704</v>
      </c>
      <c r="E223" s="406"/>
      <c r="F223" s="437"/>
      <c r="G223" s="436" t="s">
        <v>2705</v>
      </c>
      <c r="H223" s="436" t="s">
        <v>2706</v>
      </c>
      <c r="I223" s="427" t="s">
        <v>2707</v>
      </c>
      <c r="J223" s="532"/>
      <c r="K223" s="438"/>
      <c r="L223" s="532"/>
      <c r="M223" s="414" t="s">
        <v>1710</v>
      </c>
      <c r="N223" s="438">
        <f>K223+O223</f>
        <v>0</v>
      </c>
      <c r="O223" s="439"/>
      <c r="P223" s="440" t="str">
        <f t="shared" si="12"/>
        <v>杜健生</v>
      </c>
      <c r="Q223" s="441">
        <f t="shared" si="19"/>
        <v>0</v>
      </c>
      <c r="R223" s="383" t="s">
        <v>327</v>
      </c>
      <c r="S223" s="442" t="s">
        <v>2708</v>
      </c>
      <c r="T223" s="443" t="s">
        <v>2709</v>
      </c>
      <c r="U223" s="444"/>
      <c r="V223" s="445"/>
      <c r="W223" s="406"/>
      <c r="X223" s="406"/>
      <c r="Y223" s="423">
        <f t="shared" si="20"/>
        <v>0</v>
      </c>
      <c r="Z223" s="446" t="s">
        <v>2649</v>
      </c>
      <c r="AA223" s="434" t="s">
        <v>2633</v>
      </c>
      <c r="AB223" s="447"/>
      <c r="AC223" s="426">
        <f t="shared" si="15"/>
        <v>0</v>
      </c>
      <c r="AD223" s="426">
        <f t="shared" si="16"/>
        <v>0</v>
      </c>
      <c r="AE223" s="426">
        <f t="shared" si="17"/>
        <v>0</v>
      </c>
      <c r="AF223" s="427"/>
      <c r="AG223" s="428"/>
      <c r="AH223" s="427" t="s">
        <v>892</v>
      </c>
    </row>
    <row r="224" spans="1:34">
      <c r="A224" s="406">
        <f t="shared" si="14"/>
        <v>223</v>
      </c>
      <c r="B224" s="434" t="s">
        <v>1677</v>
      </c>
      <c r="C224" s="435"/>
      <c r="D224" s="436" t="s">
        <v>2710</v>
      </c>
      <c r="E224" s="406"/>
      <c r="F224" s="437" t="s">
        <v>2711</v>
      </c>
      <c r="G224" s="436" t="s">
        <v>2712</v>
      </c>
      <c r="H224" s="436" t="s">
        <v>2713</v>
      </c>
      <c r="I224" s="427" t="s">
        <v>2714</v>
      </c>
      <c r="J224" s="532"/>
      <c r="K224" s="438"/>
      <c r="L224" s="532"/>
      <c r="M224" s="414" t="s">
        <v>2626</v>
      </c>
      <c r="N224" s="438">
        <f>K224+O224</f>
        <v>0</v>
      </c>
      <c r="O224" s="439"/>
      <c r="P224" s="440" t="s">
        <v>2715</v>
      </c>
      <c r="Q224" s="441">
        <f t="shared" si="19"/>
        <v>0</v>
      </c>
      <c r="R224" s="383" t="s">
        <v>327</v>
      </c>
      <c r="S224" s="442" t="s">
        <v>1457</v>
      </c>
      <c r="T224" s="443" t="s">
        <v>2716</v>
      </c>
      <c r="U224" s="444"/>
      <c r="V224" s="445"/>
      <c r="W224" s="406"/>
      <c r="X224" s="406"/>
      <c r="Y224" s="423">
        <f t="shared" si="20"/>
        <v>0</v>
      </c>
      <c r="Z224" s="446" t="s">
        <v>2602</v>
      </c>
      <c r="AA224" s="434" t="s">
        <v>2628</v>
      </c>
      <c r="AB224" s="447"/>
      <c r="AC224" s="426">
        <f t="shared" si="15"/>
        <v>0</v>
      </c>
      <c r="AD224" s="426">
        <f t="shared" si="16"/>
        <v>0</v>
      </c>
      <c r="AE224" s="426">
        <f t="shared" si="17"/>
        <v>0</v>
      </c>
      <c r="AF224" s="427"/>
      <c r="AG224" s="428"/>
      <c r="AH224" s="427" t="s">
        <v>892</v>
      </c>
    </row>
    <row r="225" spans="1:34">
      <c r="A225" s="406">
        <f t="shared" si="14"/>
        <v>224</v>
      </c>
      <c r="B225" s="434" t="s">
        <v>1677</v>
      </c>
      <c r="C225" s="435"/>
      <c r="D225" s="436" t="s">
        <v>1454</v>
      </c>
      <c r="E225" s="406"/>
      <c r="F225" s="437"/>
      <c r="G225" s="436" t="s">
        <v>2717</v>
      </c>
      <c r="H225" s="436" t="s">
        <v>2718</v>
      </c>
      <c r="I225" s="427" t="s">
        <v>2719</v>
      </c>
      <c r="J225" s="532"/>
      <c r="K225" s="438"/>
      <c r="L225" s="532"/>
      <c r="M225" s="414"/>
      <c r="N225" s="438"/>
      <c r="O225" s="439"/>
      <c r="P225" s="440" t="str">
        <f t="shared" ref="P225:P253" si="21">D225</f>
        <v>龚泽莉</v>
      </c>
      <c r="Q225" s="441">
        <f t="shared" si="19"/>
        <v>0</v>
      </c>
      <c r="R225" s="383" t="s">
        <v>327</v>
      </c>
      <c r="S225" s="442" t="s">
        <v>1452</v>
      </c>
      <c r="T225" s="443" t="s">
        <v>1453</v>
      </c>
      <c r="U225" s="444"/>
      <c r="V225" s="445"/>
      <c r="W225" s="406"/>
      <c r="X225" s="406"/>
      <c r="Y225" s="423">
        <f t="shared" si="20"/>
        <v>0</v>
      </c>
      <c r="Z225" s="446" t="s">
        <v>667</v>
      </c>
      <c r="AA225" s="434" t="s">
        <v>260</v>
      </c>
      <c r="AB225" s="447"/>
      <c r="AC225" s="426">
        <f t="shared" si="15"/>
        <v>0</v>
      </c>
      <c r="AD225" s="426">
        <f t="shared" si="16"/>
        <v>0</v>
      </c>
      <c r="AE225" s="426">
        <f t="shared" si="17"/>
        <v>0</v>
      </c>
      <c r="AF225" s="427"/>
      <c r="AG225" s="428"/>
      <c r="AH225" s="427" t="s">
        <v>892</v>
      </c>
    </row>
    <row r="226" spans="1:34">
      <c r="A226" s="406">
        <f t="shared" si="14"/>
        <v>225</v>
      </c>
      <c r="B226" s="434" t="s">
        <v>1677</v>
      </c>
      <c r="C226" s="435"/>
      <c r="D226" s="436" t="s">
        <v>2720</v>
      </c>
      <c r="E226" s="406"/>
      <c r="F226" s="437" t="s">
        <v>2721</v>
      </c>
      <c r="G226" s="436" t="s">
        <v>1791</v>
      </c>
      <c r="H226" s="436" t="s">
        <v>2722</v>
      </c>
      <c r="I226" s="427" t="s">
        <v>2723</v>
      </c>
      <c r="J226" s="532"/>
      <c r="K226" s="438"/>
      <c r="L226" s="532"/>
      <c r="M226" s="414" t="s">
        <v>1710</v>
      </c>
      <c r="N226" s="438"/>
      <c r="O226" s="439"/>
      <c r="P226" s="440" t="str">
        <f t="shared" si="21"/>
        <v>梅英</v>
      </c>
      <c r="Q226" s="441">
        <f t="shared" si="19"/>
        <v>0</v>
      </c>
      <c r="R226" s="383" t="s">
        <v>332</v>
      </c>
      <c r="S226" s="442" t="s">
        <v>1452</v>
      </c>
      <c r="T226" s="443" t="s">
        <v>2724</v>
      </c>
      <c r="U226" s="444"/>
      <c r="V226" s="445"/>
      <c r="W226" s="406"/>
      <c r="X226" s="406"/>
      <c r="Y226" s="423">
        <f t="shared" si="20"/>
        <v>0</v>
      </c>
      <c r="Z226" s="446" t="s">
        <v>2595</v>
      </c>
      <c r="AA226" s="434" t="s">
        <v>2596</v>
      </c>
      <c r="AB226" s="447" t="s">
        <v>1112</v>
      </c>
      <c r="AC226" s="426">
        <f t="shared" si="15"/>
        <v>0</v>
      </c>
      <c r="AD226" s="426">
        <f t="shared" si="16"/>
        <v>0</v>
      </c>
      <c r="AE226" s="426">
        <f t="shared" si="17"/>
        <v>0</v>
      </c>
      <c r="AF226" s="427"/>
      <c r="AG226" s="428"/>
      <c r="AH226" s="427" t="s">
        <v>892</v>
      </c>
    </row>
    <row r="227" spans="1:34">
      <c r="A227" s="406">
        <f t="shared" si="14"/>
        <v>226</v>
      </c>
      <c r="B227" s="434" t="s">
        <v>1677</v>
      </c>
      <c r="C227" s="435"/>
      <c r="D227" s="436" t="s">
        <v>2074</v>
      </c>
      <c r="E227" s="406"/>
      <c r="F227" s="437" t="s">
        <v>2725</v>
      </c>
      <c r="G227" s="436" t="s">
        <v>2717</v>
      </c>
      <c r="H227" s="436" t="s">
        <v>2726</v>
      </c>
      <c r="I227" s="427" t="s">
        <v>2727</v>
      </c>
      <c r="J227" s="532"/>
      <c r="K227" s="438"/>
      <c r="L227" s="532"/>
      <c r="M227" s="414"/>
      <c r="N227" s="438"/>
      <c r="O227" s="439"/>
      <c r="P227" s="440" t="str">
        <f t="shared" si="21"/>
        <v>蒋涛</v>
      </c>
      <c r="Q227" s="441">
        <f t="shared" si="19"/>
        <v>0</v>
      </c>
      <c r="R227" s="383" t="s">
        <v>332</v>
      </c>
      <c r="S227" s="442" t="s">
        <v>1452</v>
      </c>
      <c r="T227" s="443" t="s">
        <v>2728</v>
      </c>
      <c r="U227" s="444"/>
      <c r="V227" s="445"/>
      <c r="W227" s="406"/>
      <c r="X227" s="406"/>
      <c r="Y227" s="423">
        <f t="shared" si="20"/>
        <v>0</v>
      </c>
      <c r="Z227" s="446" t="s">
        <v>2609</v>
      </c>
      <c r="AA227" s="434" t="s">
        <v>2644</v>
      </c>
      <c r="AB227" s="447"/>
      <c r="AC227" s="426">
        <f t="shared" si="15"/>
        <v>0</v>
      </c>
      <c r="AD227" s="426">
        <f t="shared" si="16"/>
        <v>0</v>
      </c>
      <c r="AE227" s="426">
        <f t="shared" si="17"/>
        <v>0</v>
      </c>
      <c r="AF227" s="427"/>
      <c r="AG227" s="428"/>
      <c r="AH227" s="427" t="s">
        <v>892</v>
      </c>
    </row>
    <row r="228" spans="1:34">
      <c r="A228" s="406">
        <f t="shared" si="14"/>
        <v>227</v>
      </c>
      <c r="B228" s="434" t="s">
        <v>1677</v>
      </c>
      <c r="C228" s="435"/>
      <c r="D228" s="436" t="s">
        <v>1459</v>
      </c>
      <c r="E228" s="406"/>
      <c r="F228" s="437"/>
      <c r="G228" s="436" t="s">
        <v>2729</v>
      </c>
      <c r="H228" s="436" t="s">
        <v>2730</v>
      </c>
      <c r="I228" s="427" t="s">
        <v>2731</v>
      </c>
      <c r="J228" s="532"/>
      <c r="K228" s="438"/>
      <c r="L228" s="532"/>
      <c r="M228" s="414"/>
      <c r="N228" s="438"/>
      <c r="O228" s="439"/>
      <c r="P228" s="440" t="str">
        <f t="shared" si="21"/>
        <v>竹志雯</v>
      </c>
      <c r="Q228" s="441">
        <f t="shared" si="19"/>
        <v>0</v>
      </c>
      <c r="R228" s="383" t="s">
        <v>332</v>
      </c>
      <c r="S228" s="442" t="s">
        <v>1457</v>
      </c>
      <c r="T228" s="443" t="s">
        <v>1458</v>
      </c>
      <c r="U228" s="444"/>
      <c r="V228" s="445"/>
      <c r="W228" s="406"/>
      <c r="X228" s="406"/>
      <c r="Y228" s="423">
        <f t="shared" si="20"/>
        <v>0</v>
      </c>
      <c r="Z228" s="446" t="s">
        <v>660</v>
      </c>
      <c r="AA228" s="434" t="s">
        <v>241</v>
      </c>
      <c r="AB228" s="447"/>
      <c r="AC228" s="426">
        <f t="shared" si="15"/>
        <v>0</v>
      </c>
      <c r="AD228" s="426">
        <f t="shared" si="16"/>
        <v>0</v>
      </c>
      <c r="AE228" s="426">
        <f t="shared" si="17"/>
        <v>0</v>
      </c>
      <c r="AF228" s="427"/>
      <c r="AG228" s="428"/>
      <c r="AH228" s="427" t="s">
        <v>892</v>
      </c>
    </row>
    <row r="229" spans="1:34">
      <c r="A229" s="406">
        <f t="shared" si="14"/>
        <v>228</v>
      </c>
      <c r="B229" s="434" t="s">
        <v>1677</v>
      </c>
      <c r="C229" s="435"/>
      <c r="D229" s="436" t="s">
        <v>1456</v>
      </c>
      <c r="E229" s="406"/>
      <c r="F229" s="437"/>
      <c r="G229" s="436" t="s">
        <v>1783</v>
      </c>
      <c r="H229" s="436" t="s">
        <v>2732</v>
      </c>
      <c r="I229" s="427" t="s">
        <v>2733</v>
      </c>
      <c r="J229" s="532"/>
      <c r="K229" s="438"/>
      <c r="L229" s="532"/>
      <c r="M229" s="414"/>
      <c r="N229" s="438"/>
      <c r="O229" s="439"/>
      <c r="P229" s="440" t="str">
        <f t="shared" si="21"/>
        <v>岳晓琴</v>
      </c>
      <c r="Q229" s="441">
        <f t="shared" si="19"/>
        <v>0</v>
      </c>
      <c r="R229" s="383" t="s">
        <v>332</v>
      </c>
      <c r="S229" s="442" t="s">
        <v>1452</v>
      </c>
      <c r="T229" s="443" t="s">
        <v>1455</v>
      </c>
      <c r="U229" s="444"/>
      <c r="V229" s="445"/>
      <c r="W229" s="406"/>
      <c r="X229" s="406"/>
      <c r="Y229" s="423">
        <f t="shared" si="20"/>
        <v>0</v>
      </c>
      <c r="Z229" s="446" t="s">
        <v>263</v>
      </c>
      <c r="AA229" s="434" t="s">
        <v>265</v>
      </c>
      <c r="AB229" s="447"/>
      <c r="AC229" s="426">
        <f t="shared" si="15"/>
        <v>0</v>
      </c>
      <c r="AD229" s="426">
        <f t="shared" si="16"/>
        <v>0</v>
      </c>
      <c r="AE229" s="426">
        <f t="shared" si="17"/>
        <v>0</v>
      </c>
      <c r="AF229" s="427"/>
      <c r="AG229" s="428"/>
      <c r="AH229" s="427" t="s">
        <v>892</v>
      </c>
    </row>
    <row r="230" spans="1:34">
      <c r="A230" s="406">
        <f t="shared" si="14"/>
        <v>229</v>
      </c>
      <c r="B230" s="500" t="s">
        <v>1677</v>
      </c>
      <c r="C230" s="435"/>
      <c r="D230" s="436" t="s">
        <v>2734</v>
      </c>
      <c r="E230" s="406"/>
      <c r="F230" s="437"/>
      <c r="G230" s="436" t="s">
        <v>663</v>
      </c>
      <c r="H230" s="436" t="s">
        <v>2735</v>
      </c>
      <c r="I230" s="427" t="s">
        <v>2736</v>
      </c>
      <c r="J230" s="532"/>
      <c r="K230" s="438"/>
      <c r="L230" s="532"/>
      <c r="M230" s="414"/>
      <c r="N230" s="438"/>
      <c r="O230" s="439"/>
      <c r="P230" s="440" t="str">
        <f t="shared" si="21"/>
        <v>彭滢萤</v>
      </c>
      <c r="Q230" s="441">
        <f t="shared" si="19"/>
        <v>0</v>
      </c>
      <c r="R230" s="383" t="s">
        <v>867</v>
      </c>
      <c r="S230" s="442" t="s">
        <v>1457</v>
      </c>
      <c r="T230" s="443" t="s">
        <v>2737</v>
      </c>
      <c r="U230" s="444"/>
      <c r="V230" s="445"/>
      <c r="W230" s="406"/>
      <c r="X230" s="406"/>
      <c r="Y230" s="423">
        <f t="shared" si="20"/>
        <v>0</v>
      </c>
      <c r="Z230" s="446" t="s">
        <v>2649</v>
      </c>
      <c r="AA230" s="434" t="s">
        <v>2738</v>
      </c>
      <c r="AB230" s="447"/>
      <c r="AC230" s="426">
        <f t="shared" si="15"/>
        <v>0</v>
      </c>
      <c r="AD230" s="426">
        <f t="shared" si="16"/>
        <v>0</v>
      </c>
      <c r="AE230" s="426">
        <f t="shared" si="17"/>
        <v>0</v>
      </c>
      <c r="AF230" s="427"/>
      <c r="AG230" s="428"/>
      <c r="AH230" s="427" t="s">
        <v>892</v>
      </c>
    </row>
    <row r="231" spans="1:34">
      <c r="A231" s="406">
        <f t="shared" si="14"/>
        <v>230</v>
      </c>
      <c r="B231" s="500" t="s">
        <v>1677</v>
      </c>
      <c r="C231" s="435"/>
      <c r="D231" s="436" t="s">
        <v>2739</v>
      </c>
      <c r="E231" s="406"/>
      <c r="F231" s="437"/>
      <c r="G231" s="436" t="s">
        <v>2127</v>
      </c>
      <c r="H231" s="436" t="s">
        <v>2740</v>
      </c>
      <c r="I231" s="427" t="s">
        <v>2741</v>
      </c>
      <c r="J231" s="532"/>
      <c r="K231" s="438"/>
      <c r="L231" s="532"/>
      <c r="M231" s="414"/>
      <c r="N231" s="438"/>
      <c r="O231" s="439"/>
      <c r="P231" s="440" t="str">
        <f t="shared" si="21"/>
        <v>李静</v>
      </c>
      <c r="Q231" s="441">
        <f t="shared" si="19"/>
        <v>0</v>
      </c>
      <c r="R231" s="383" t="s">
        <v>867</v>
      </c>
      <c r="S231" s="442" t="s">
        <v>1452</v>
      </c>
      <c r="T231" s="443" t="s">
        <v>2742</v>
      </c>
      <c r="U231" s="444"/>
      <c r="V231" s="445"/>
      <c r="W231" s="406"/>
      <c r="X231" s="406"/>
      <c r="Y231" s="423">
        <f t="shared" si="20"/>
        <v>0</v>
      </c>
      <c r="Z231" s="446" t="s">
        <v>2602</v>
      </c>
      <c r="AA231" s="434" t="s">
        <v>2743</v>
      </c>
      <c r="AB231" s="447"/>
      <c r="AC231" s="426">
        <f t="shared" si="15"/>
        <v>0</v>
      </c>
      <c r="AD231" s="426">
        <f t="shared" si="16"/>
        <v>0</v>
      </c>
      <c r="AE231" s="426">
        <f t="shared" si="17"/>
        <v>0</v>
      </c>
      <c r="AF231" s="427"/>
      <c r="AG231" s="428"/>
      <c r="AH231" s="427" t="s">
        <v>892</v>
      </c>
    </row>
    <row r="232" spans="1:34">
      <c r="A232" s="406">
        <f t="shared" si="14"/>
        <v>231</v>
      </c>
      <c r="B232" s="500" t="s">
        <v>1677</v>
      </c>
      <c r="C232" s="435"/>
      <c r="D232" s="436" t="s">
        <v>2744</v>
      </c>
      <c r="E232" s="406"/>
      <c r="F232" s="437"/>
      <c r="G232" s="436" t="s">
        <v>1694</v>
      </c>
      <c r="H232" s="436" t="s">
        <v>2745</v>
      </c>
      <c r="I232" s="427" t="s">
        <v>2746</v>
      </c>
      <c r="J232" s="532"/>
      <c r="K232" s="438"/>
      <c r="L232" s="532"/>
      <c r="M232" s="414"/>
      <c r="N232" s="438"/>
      <c r="O232" s="439"/>
      <c r="P232" s="440" t="str">
        <f t="shared" si="21"/>
        <v>宋健宇</v>
      </c>
      <c r="Q232" s="441">
        <f t="shared" si="19"/>
        <v>0</v>
      </c>
      <c r="R232" s="383" t="s">
        <v>867</v>
      </c>
      <c r="S232" s="442" t="s">
        <v>2620</v>
      </c>
      <c r="T232" s="443" t="s">
        <v>2747</v>
      </c>
      <c r="U232" s="444"/>
      <c r="V232" s="445"/>
      <c r="W232" s="406"/>
      <c r="X232" s="406"/>
      <c r="Y232" s="423">
        <f t="shared" si="20"/>
        <v>0</v>
      </c>
      <c r="Z232" s="446" t="s">
        <v>2602</v>
      </c>
      <c r="AA232" s="434" t="s">
        <v>2603</v>
      </c>
      <c r="AB232" s="447"/>
      <c r="AC232" s="426">
        <f t="shared" si="15"/>
        <v>0</v>
      </c>
      <c r="AD232" s="426">
        <f t="shared" si="16"/>
        <v>0</v>
      </c>
      <c r="AE232" s="426">
        <f t="shared" si="17"/>
        <v>0</v>
      </c>
      <c r="AF232" s="427"/>
      <c r="AG232" s="428"/>
      <c r="AH232" s="427" t="s">
        <v>892</v>
      </c>
    </row>
    <row r="233" spans="1:34">
      <c r="A233" s="406">
        <f t="shared" si="14"/>
        <v>232</v>
      </c>
      <c r="B233" s="500" t="s">
        <v>1677</v>
      </c>
      <c r="C233" s="435"/>
      <c r="D233" s="436" t="s">
        <v>2748</v>
      </c>
      <c r="E233" s="406"/>
      <c r="F233" s="437"/>
      <c r="G233" s="436" t="s">
        <v>2035</v>
      </c>
      <c r="H233" s="436" t="s">
        <v>2749</v>
      </c>
      <c r="I233" s="427" t="s">
        <v>2750</v>
      </c>
      <c r="J233" s="435"/>
      <c r="K233" s="438"/>
      <c r="L233" s="435"/>
      <c r="M233" s="414" t="s">
        <v>2626</v>
      </c>
      <c r="N233" s="438"/>
      <c r="O233" s="439"/>
      <c r="P233" s="440" t="str">
        <f t="shared" si="21"/>
        <v>郭雪花</v>
      </c>
      <c r="Q233" s="441">
        <f t="shared" si="19"/>
        <v>0</v>
      </c>
      <c r="R233" s="383" t="s">
        <v>867</v>
      </c>
      <c r="S233" s="442" t="s">
        <v>1452</v>
      </c>
      <c r="T233" s="443" t="s">
        <v>2751</v>
      </c>
      <c r="U233" s="444"/>
      <c r="V233" s="445"/>
      <c r="W233" s="406"/>
      <c r="X233" s="406"/>
      <c r="Y233" s="423">
        <f t="shared" si="20"/>
        <v>0</v>
      </c>
      <c r="Z233" s="446" t="s">
        <v>2649</v>
      </c>
      <c r="AA233" s="434" t="s">
        <v>2738</v>
      </c>
      <c r="AB233" s="447" t="s">
        <v>1126</v>
      </c>
      <c r="AC233" s="426">
        <f t="shared" si="15"/>
        <v>0</v>
      </c>
      <c r="AD233" s="426">
        <f t="shared" si="16"/>
        <v>0</v>
      </c>
      <c r="AE233" s="426">
        <f t="shared" si="17"/>
        <v>0</v>
      </c>
      <c r="AF233" s="427"/>
      <c r="AG233" s="428"/>
      <c r="AH233" s="427" t="s">
        <v>892</v>
      </c>
    </row>
    <row r="234" spans="1:34">
      <c r="A234" s="406">
        <f t="shared" si="14"/>
        <v>233</v>
      </c>
      <c r="B234" s="500" t="s">
        <v>1677</v>
      </c>
      <c r="C234" s="435"/>
      <c r="D234" s="436" t="s">
        <v>2752</v>
      </c>
      <c r="E234" s="406"/>
      <c r="F234" s="437"/>
      <c r="G234" s="436" t="s">
        <v>1854</v>
      </c>
      <c r="H234" s="436" t="s">
        <v>2753</v>
      </c>
      <c r="I234" s="427" t="s">
        <v>2754</v>
      </c>
      <c r="J234" s="532"/>
      <c r="K234" s="438"/>
      <c r="L234" s="532"/>
      <c r="M234" s="414"/>
      <c r="N234" s="438"/>
      <c r="O234" s="439"/>
      <c r="P234" s="440" t="str">
        <f t="shared" si="21"/>
        <v>代君杨</v>
      </c>
      <c r="Q234" s="441">
        <f t="shared" si="19"/>
        <v>0</v>
      </c>
      <c r="R234" s="383" t="s">
        <v>332</v>
      </c>
      <c r="S234" s="442" t="s">
        <v>1452</v>
      </c>
      <c r="T234" s="443" t="s">
        <v>2755</v>
      </c>
      <c r="U234" s="444"/>
      <c r="V234" s="445"/>
      <c r="W234" s="406"/>
      <c r="X234" s="406"/>
      <c r="Y234" s="423"/>
      <c r="Z234" s="446" t="s">
        <v>2609</v>
      </c>
      <c r="AA234" s="434" t="s">
        <v>2674</v>
      </c>
      <c r="AB234" s="447"/>
      <c r="AC234" s="426">
        <f t="shared" si="15"/>
        <v>0</v>
      </c>
      <c r="AD234" s="426">
        <f t="shared" si="16"/>
        <v>0</v>
      </c>
      <c r="AE234" s="426">
        <f t="shared" si="17"/>
        <v>0</v>
      </c>
      <c r="AF234" s="427"/>
      <c r="AG234" s="428"/>
      <c r="AH234" s="427" t="s">
        <v>892</v>
      </c>
    </row>
    <row r="235" spans="1:34">
      <c r="A235" s="406">
        <f t="shared" si="14"/>
        <v>234</v>
      </c>
      <c r="B235" s="434" t="s">
        <v>1677</v>
      </c>
      <c r="C235" s="435"/>
      <c r="D235" s="436" t="s">
        <v>1480</v>
      </c>
      <c r="E235" s="406"/>
      <c r="F235" s="437" t="s">
        <v>2756</v>
      </c>
      <c r="G235" s="436" t="s">
        <v>2757</v>
      </c>
      <c r="H235" s="436" t="s">
        <v>2758</v>
      </c>
      <c r="I235" s="427" t="s">
        <v>2759</v>
      </c>
      <c r="J235" s="532"/>
      <c r="K235" s="438"/>
      <c r="L235" s="532"/>
      <c r="M235" s="414"/>
      <c r="N235" s="438"/>
      <c r="O235" s="439"/>
      <c r="P235" s="440" t="str">
        <f t="shared" si="21"/>
        <v>杨友芳</v>
      </c>
      <c r="Q235" s="441">
        <f t="shared" si="19"/>
        <v>0</v>
      </c>
      <c r="R235" s="383" t="s">
        <v>327</v>
      </c>
      <c r="S235" s="442" t="s">
        <v>1452</v>
      </c>
      <c r="T235" s="443" t="s">
        <v>1479</v>
      </c>
      <c r="U235" s="444"/>
      <c r="V235" s="445"/>
      <c r="W235" s="406"/>
      <c r="X235" s="406"/>
      <c r="Y235" s="423"/>
      <c r="Z235" s="446" t="s">
        <v>263</v>
      </c>
      <c r="AA235" s="434" t="s">
        <v>264</v>
      </c>
      <c r="AB235" s="447"/>
      <c r="AC235" s="426">
        <f t="shared" si="15"/>
        <v>0</v>
      </c>
      <c r="AD235" s="426">
        <f t="shared" si="16"/>
        <v>0</v>
      </c>
      <c r="AE235" s="426">
        <f t="shared" si="17"/>
        <v>0</v>
      </c>
      <c r="AF235" s="427"/>
      <c r="AG235" s="428"/>
      <c r="AH235" s="427" t="s">
        <v>892</v>
      </c>
    </row>
    <row r="236" spans="1:34">
      <c r="A236" s="406">
        <f t="shared" si="14"/>
        <v>235</v>
      </c>
      <c r="B236" s="434" t="s">
        <v>1677</v>
      </c>
      <c r="C236" s="435"/>
      <c r="D236" s="436" t="s">
        <v>2760</v>
      </c>
      <c r="E236" s="406"/>
      <c r="F236" s="437" t="s">
        <v>2761</v>
      </c>
      <c r="G236" s="436" t="s">
        <v>2762</v>
      </c>
      <c r="H236" s="436" t="s">
        <v>2763</v>
      </c>
      <c r="I236" s="427" t="s">
        <v>2764</v>
      </c>
      <c r="J236" s="532"/>
      <c r="K236" s="438"/>
      <c r="L236" s="532"/>
      <c r="M236" s="414"/>
      <c r="N236" s="438"/>
      <c r="O236" s="439"/>
      <c r="P236" s="440" t="str">
        <f t="shared" si="21"/>
        <v>肖琳</v>
      </c>
      <c r="Q236" s="441">
        <f t="shared" si="19"/>
        <v>0</v>
      </c>
      <c r="R236" s="383" t="s">
        <v>332</v>
      </c>
      <c r="S236" s="442" t="s">
        <v>1452</v>
      </c>
      <c r="T236" s="443" t="s">
        <v>2765</v>
      </c>
      <c r="U236" s="444"/>
      <c r="V236" s="445"/>
      <c r="W236" s="406"/>
      <c r="X236" s="406"/>
      <c r="Y236" s="423"/>
      <c r="Z236" s="446" t="s">
        <v>2609</v>
      </c>
      <c r="AA236" s="434" t="s">
        <v>2610</v>
      </c>
      <c r="AB236" s="447"/>
      <c r="AC236" s="426">
        <f t="shared" si="15"/>
        <v>0</v>
      </c>
      <c r="AD236" s="426">
        <f t="shared" si="16"/>
        <v>0</v>
      </c>
      <c r="AE236" s="426">
        <f t="shared" si="17"/>
        <v>0</v>
      </c>
      <c r="AF236" s="427"/>
      <c r="AG236" s="428"/>
      <c r="AH236" s="427" t="s">
        <v>892</v>
      </c>
    </row>
    <row r="237" spans="1:34">
      <c r="A237" s="406">
        <f t="shared" si="14"/>
        <v>236</v>
      </c>
      <c r="B237" s="434" t="s">
        <v>1677</v>
      </c>
      <c r="C237" s="435"/>
      <c r="D237" s="436" t="s">
        <v>2766</v>
      </c>
      <c r="E237" s="406"/>
      <c r="F237" s="437" t="s">
        <v>2767</v>
      </c>
      <c r="G237" s="436" t="s">
        <v>2768</v>
      </c>
      <c r="H237" s="436" t="s">
        <v>2769</v>
      </c>
      <c r="I237" s="427" t="s">
        <v>2770</v>
      </c>
      <c r="J237" s="532"/>
      <c r="K237" s="438"/>
      <c r="L237" s="532"/>
      <c r="M237" s="414" t="s">
        <v>2771</v>
      </c>
      <c r="N237" s="438"/>
      <c r="O237" s="439"/>
      <c r="P237" s="440" t="str">
        <f t="shared" si="21"/>
        <v>马向阳</v>
      </c>
      <c r="Q237" s="441">
        <f t="shared" si="19"/>
        <v>0</v>
      </c>
      <c r="R237" s="383" t="s">
        <v>332</v>
      </c>
      <c r="S237" s="442" t="s">
        <v>1457</v>
      </c>
      <c r="T237" s="443" t="s">
        <v>2772</v>
      </c>
      <c r="U237" s="444"/>
      <c r="V237" s="445"/>
      <c r="W237" s="406"/>
      <c r="X237" s="406"/>
      <c r="Y237" s="423"/>
      <c r="Z237" s="446" t="s">
        <v>2595</v>
      </c>
      <c r="AA237" s="434" t="s">
        <v>2773</v>
      </c>
      <c r="AB237" s="447" t="s">
        <v>1112</v>
      </c>
      <c r="AC237" s="426">
        <f t="shared" si="15"/>
        <v>0</v>
      </c>
      <c r="AD237" s="426">
        <f t="shared" si="16"/>
        <v>0</v>
      </c>
      <c r="AE237" s="426">
        <f t="shared" si="17"/>
        <v>0</v>
      </c>
      <c r="AF237" s="427"/>
      <c r="AG237" s="428"/>
      <c r="AH237" s="427" t="s">
        <v>892</v>
      </c>
    </row>
    <row r="238" spans="1:34">
      <c r="A238" s="406">
        <f t="shared" si="14"/>
        <v>237</v>
      </c>
      <c r="B238" s="434" t="s">
        <v>1677</v>
      </c>
      <c r="C238" s="435"/>
      <c r="D238" s="436" t="s">
        <v>2774</v>
      </c>
      <c r="E238" s="406"/>
      <c r="F238" s="437" t="s">
        <v>2775</v>
      </c>
      <c r="G238" s="436" t="s">
        <v>1809</v>
      </c>
      <c r="H238" s="436" t="s">
        <v>2776</v>
      </c>
      <c r="I238" s="427" t="s">
        <v>2777</v>
      </c>
      <c r="J238" s="532"/>
      <c r="K238" s="438"/>
      <c r="L238" s="532"/>
      <c r="M238" s="414"/>
      <c r="N238" s="438"/>
      <c r="O238" s="439"/>
      <c r="P238" s="440" t="str">
        <f t="shared" si="21"/>
        <v>万里</v>
      </c>
      <c r="Q238" s="441">
        <f t="shared" si="19"/>
        <v>0</v>
      </c>
      <c r="R238" s="383" t="s">
        <v>332</v>
      </c>
      <c r="S238" s="442" t="s">
        <v>1452</v>
      </c>
      <c r="T238" s="443" t="s">
        <v>2778</v>
      </c>
      <c r="U238" s="444"/>
      <c r="V238" s="445"/>
      <c r="W238" s="406"/>
      <c r="X238" s="406"/>
      <c r="Y238" s="423"/>
      <c r="Z238" s="446" t="s">
        <v>2609</v>
      </c>
      <c r="AA238" s="434" t="s">
        <v>2610</v>
      </c>
      <c r="AB238" s="447"/>
      <c r="AC238" s="426">
        <f t="shared" si="15"/>
        <v>0</v>
      </c>
      <c r="AD238" s="426">
        <f t="shared" si="16"/>
        <v>0</v>
      </c>
      <c r="AE238" s="426">
        <f t="shared" si="17"/>
        <v>0</v>
      </c>
      <c r="AF238" s="427"/>
      <c r="AG238" s="428"/>
      <c r="AH238" s="427" t="s">
        <v>892</v>
      </c>
    </row>
    <row r="239" spans="1:34">
      <c r="A239" s="406">
        <f t="shared" si="14"/>
        <v>238</v>
      </c>
      <c r="B239" s="434" t="s">
        <v>1721</v>
      </c>
      <c r="C239" s="435"/>
      <c r="D239" s="436" t="s">
        <v>2779</v>
      </c>
      <c r="E239" s="406"/>
      <c r="F239" s="437"/>
      <c r="G239" s="436" t="s">
        <v>2410</v>
      </c>
      <c r="H239" s="436" t="s">
        <v>2780</v>
      </c>
      <c r="I239" s="427" t="s">
        <v>2781</v>
      </c>
      <c r="J239" s="532"/>
      <c r="K239" s="438"/>
      <c r="L239" s="532"/>
      <c r="M239" s="414"/>
      <c r="N239" s="438"/>
      <c r="O239" s="439"/>
      <c r="P239" s="440" t="str">
        <f t="shared" si="21"/>
        <v>屈顺元</v>
      </c>
      <c r="Q239" s="441">
        <f t="shared" si="19"/>
        <v>0</v>
      </c>
      <c r="R239" s="383" t="s">
        <v>332</v>
      </c>
      <c r="S239" s="442" t="s">
        <v>1452</v>
      </c>
      <c r="T239" s="443" t="s">
        <v>2782</v>
      </c>
      <c r="U239" s="444"/>
      <c r="V239" s="445"/>
      <c r="W239" s="406"/>
      <c r="X239" s="406"/>
      <c r="Y239" s="423"/>
      <c r="Z239" s="446" t="s">
        <v>2595</v>
      </c>
      <c r="AA239" s="434" t="s">
        <v>2773</v>
      </c>
      <c r="AB239" s="447"/>
      <c r="AC239" s="426">
        <f t="shared" si="15"/>
        <v>0</v>
      </c>
      <c r="AD239" s="426">
        <f t="shared" si="16"/>
        <v>0</v>
      </c>
      <c r="AE239" s="426">
        <f t="shared" si="17"/>
        <v>0</v>
      </c>
      <c r="AF239" s="427"/>
      <c r="AG239" s="428"/>
      <c r="AH239" s="427" t="s">
        <v>892</v>
      </c>
    </row>
    <row r="240" spans="1:34">
      <c r="A240" s="406">
        <f t="shared" si="14"/>
        <v>239</v>
      </c>
      <c r="B240" s="434" t="s">
        <v>1677</v>
      </c>
      <c r="C240" s="435"/>
      <c r="D240" s="436" t="s">
        <v>2783</v>
      </c>
      <c r="E240" s="406"/>
      <c r="F240" s="437"/>
      <c r="G240" s="436" t="s">
        <v>2784</v>
      </c>
      <c r="H240" s="436" t="s">
        <v>2785</v>
      </c>
      <c r="I240" s="427" t="s">
        <v>2786</v>
      </c>
      <c r="J240" s="532"/>
      <c r="K240" s="438"/>
      <c r="L240" s="532"/>
      <c r="M240" s="414"/>
      <c r="N240" s="438"/>
      <c r="O240" s="439"/>
      <c r="P240" s="440" t="str">
        <f t="shared" si="21"/>
        <v>杨琥</v>
      </c>
      <c r="Q240" s="441">
        <f t="shared" si="19"/>
        <v>0</v>
      </c>
      <c r="R240" s="383" t="s">
        <v>332</v>
      </c>
      <c r="S240" s="442" t="s">
        <v>1452</v>
      </c>
      <c r="T240" s="443" t="s">
        <v>2787</v>
      </c>
      <c r="U240" s="444"/>
      <c r="V240" s="445"/>
      <c r="W240" s="406"/>
      <c r="X240" s="406"/>
      <c r="Y240" s="423"/>
      <c r="Z240" s="446" t="s">
        <v>2595</v>
      </c>
      <c r="AA240" s="434" t="s">
        <v>2773</v>
      </c>
      <c r="AB240" s="447"/>
      <c r="AC240" s="426">
        <f t="shared" si="15"/>
        <v>0</v>
      </c>
      <c r="AD240" s="426">
        <f t="shared" si="16"/>
        <v>0</v>
      </c>
      <c r="AE240" s="426">
        <f t="shared" si="17"/>
        <v>0</v>
      </c>
      <c r="AF240" s="427"/>
      <c r="AG240" s="428"/>
      <c r="AH240" s="427" t="s">
        <v>892</v>
      </c>
    </row>
    <row r="241" spans="1:34">
      <c r="A241" s="406">
        <f t="shared" si="14"/>
        <v>240</v>
      </c>
      <c r="B241" s="500" t="s">
        <v>1677</v>
      </c>
      <c r="C241" s="435"/>
      <c r="D241" s="436" t="s">
        <v>2788</v>
      </c>
      <c r="E241" s="406"/>
      <c r="F241" s="437"/>
      <c r="G241" s="436" t="s">
        <v>2789</v>
      </c>
      <c r="H241" s="436" t="s">
        <v>2790</v>
      </c>
      <c r="I241" s="427" t="s">
        <v>2791</v>
      </c>
      <c r="J241" s="435"/>
      <c r="K241" s="438"/>
      <c r="L241" s="435"/>
      <c r="M241" s="414" t="s">
        <v>2626</v>
      </c>
      <c r="N241" s="438"/>
      <c r="O241" s="439"/>
      <c r="P241" s="440" t="str">
        <f t="shared" si="21"/>
        <v>陈锐</v>
      </c>
      <c r="Q241" s="441">
        <f t="shared" si="19"/>
        <v>0</v>
      </c>
      <c r="R241" s="383" t="s">
        <v>332</v>
      </c>
      <c r="S241" s="442" t="s">
        <v>2620</v>
      </c>
      <c r="T241" s="443" t="s">
        <v>2792</v>
      </c>
      <c r="U241" s="444"/>
      <c r="V241" s="445"/>
      <c r="W241" s="406"/>
      <c r="X241" s="406"/>
      <c r="Y241" s="423">
        <f>IFERROR(V241-W241,0)</f>
        <v>0</v>
      </c>
      <c r="Z241" s="446" t="s">
        <v>2632</v>
      </c>
      <c r="AA241" s="434" t="s">
        <v>2738</v>
      </c>
      <c r="AB241" s="447" t="s">
        <v>1126</v>
      </c>
      <c r="AC241" s="426">
        <f t="shared" si="15"/>
        <v>0</v>
      </c>
      <c r="AD241" s="426">
        <f t="shared" si="16"/>
        <v>0</v>
      </c>
      <c r="AE241" s="426">
        <f t="shared" si="17"/>
        <v>0</v>
      </c>
      <c r="AF241" s="427"/>
      <c r="AG241" s="428"/>
      <c r="AH241" s="427" t="s">
        <v>892</v>
      </c>
    </row>
    <row r="242" spans="1:34">
      <c r="A242" s="406">
        <f t="shared" si="14"/>
        <v>241</v>
      </c>
      <c r="B242" s="500" t="s">
        <v>1677</v>
      </c>
      <c r="C242" s="435"/>
      <c r="D242" s="436" t="s">
        <v>2793</v>
      </c>
      <c r="E242" s="406"/>
      <c r="F242" s="437" t="s">
        <v>2794</v>
      </c>
      <c r="G242" s="436" t="s">
        <v>1685</v>
      </c>
      <c r="H242" s="436" t="s">
        <v>2795</v>
      </c>
      <c r="I242" s="427" t="s">
        <v>2796</v>
      </c>
      <c r="J242" s="532"/>
      <c r="K242" s="438"/>
      <c r="L242" s="532"/>
      <c r="M242" s="414"/>
      <c r="N242" s="438"/>
      <c r="O242" s="439"/>
      <c r="P242" s="440" t="str">
        <f t="shared" si="21"/>
        <v>陆彤</v>
      </c>
      <c r="Q242" s="441">
        <f t="shared" si="19"/>
        <v>0</v>
      </c>
      <c r="R242" s="383" t="s">
        <v>332</v>
      </c>
      <c r="S242" s="442" t="s">
        <v>2620</v>
      </c>
      <c r="T242" s="443" t="s">
        <v>2797</v>
      </c>
      <c r="U242" s="444"/>
      <c r="V242" s="445"/>
      <c r="W242" s="406"/>
      <c r="X242" s="406"/>
      <c r="Y242" s="423"/>
      <c r="Z242" s="446" t="s">
        <v>2798</v>
      </c>
      <c r="AA242" s="434" t="s">
        <v>2799</v>
      </c>
      <c r="AB242" s="447"/>
      <c r="AC242" s="426">
        <f t="shared" si="15"/>
        <v>0</v>
      </c>
      <c r="AD242" s="426">
        <f t="shared" si="16"/>
        <v>0</v>
      </c>
      <c r="AE242" s="426">
        <f t="shared" si="17"/>
        <v>0</v>
      </c>
      <c r="AF242" s="427"/>
      <c r="AG242" s="428"/>
      <c r="AH242" s="427" t="s">
        <v>892</v>
      </c>
    </row>
    <row r="243" spans="1:34">
      <c r="A243" s="406">
        <f t="shared" si="14"/>
        <v>242</v>
      </c>
      <c r="B243" s="500" t="s">
        <v>1677</v>
      </c>
      <c r="C243" s="435"/>
      <c r="D243" s="436" t="s">
        <v>2800</v>
      </c>
      <c r="E243" s="406"/>
      <c r="F243" s="437"/>
      <c r="G243" s="436" t="s">
        <v>2801</v>
      </c>
      <c r="H243" s="436" t="s">
        <v>2802</v>
      </c>
      <c r="I243" s="427" t="s">
        <v>2803</v>
      </c>
      <c r="J243" s="532"/>
      <c r="K243" s="438"/>
      <c r="L243" s="532"/>
      <c r="M243" s="414"/>
      <c r="N243" s="438"/>
      <c r="O243" s="439"/>
      <c r="P243" s="440" t="str">
        <f t="shared" si="21"/>
        <v>冯莉莉</v>
      </c>
      <c r="Q243" s="441">
        <f t="shared" si="19"/>
        <v>0</v>
      </c>
      <c r="R243" s="383" t="s">
        <v>332</v>
      </c>
      <c r="S243" s="442" t="s">
        <v>2620</v>
      </c>
      <c r="T243" s="443" t="s">
        <v>2804</v>
      </c>
      <c r="U243" s="444"/>
      <c r="V243" s="445"/>
      <c r="W243" s="406"/>
      <c r="X243" s="406"/>
      <c r="Y243" s="423"/>
      <c r="Z243" s="446" t="s">
        <v>2609</v>
      </c>
      <c r="AA243" s="434" t="s">
        <v>2644</v>
      </c>
      <c r="AB243" s="447"/>
      <c r="AC243" s="426">
        <f t="shared" si="15"/>
        <v>0</v>
      </c>
      <c r="AD243" s="426">
        <f t="shared" si="16"/>
        <v>0</v>
      </c>
      <c r="AE243" s="426">
        <f t="shared" si="17"/>
        <v>0</v>
      </c>
      <c r="AF243" s="427"/>
      <c r="AG243" s="428"/>
      <c r="AH243" s="427" t="s">
        <v>892</v>
      </c>
    </row>
    <row r="244" spans="1:34">
      <c r="A244" s="406">
        <f t="shared" si="14"/>
        <v>243</v>
      </c>
      <c r="B244" s="500" t="s">
        <v>1677</v>
      </c>
      <c r="C244" s="435"/>
      <c r="D244" s="436" t="s">
        <v>2805</v>
      </c>
      <c r="E244" s="406"/>
      <c r="F244" s="437"/>
      <c r="G244" s="436" t="s">
        <v>1838</v>
      </c>
      <c r="H244" s="436" t="s">
        <v>2806</v>
      </c>
      <c r="I244" s="427" t="s">
        <v>2807</v>
      </c>
      <c r="J244" s="532"/>
      <c r="K244" s="438"/>
      <c r="L244" s="532"/>
      <c r="M244" s="414" t="s">
        <v>2626</v>
      </c>
      <c r="N244" s="438"/>
      <c r="O244" s="439"/>
      <c r="P244" s="440" t="str">
        <f t="shared" si="21"/>
        <v>刘作伟</v>
      </c>
      <c r="Q244" s="441">
        <f t="shared" si="19"/>
        <v>0</v>
      </c>
      <c r="R244" s="383" t="s">
        <v>332</v>
      </c>
      <c r="S244" s="442" t="s">
        <v>1452</v>
      </c>
      <c r="T244" s="443" t="s">
        <v>2808</v>
      </c>
      <c r="U244" s="444"/>
      <c r="V244" s="445"/>
      <c r="W244" s="406"/>
      <c r="X244" s="406"/>
      <c r="Y244" s="423"/>
      <c r="Z244" s="446" t="s">
        <v>2609</v>
      </c>
      <c r="AA244" s="434" t="s">
        <v>2674</v>
      </c>
      <c r="AB244" s="447" t="s">
        <v>1112</v>
      </c>
      <c r="AC244" s="426">
        <f t="shared" si="15"/>
        <v>0</v>
      </c>
      <c r="AD244" s="426">
        <f t="shared" si="16"/>
        <v>0</v>
      </c>
      <c r="AE244" s="426">
        <f t="shared" si="17"/>
        <v>0</v>
      </c>
      <c r="AF244" s="427"/>
      <c r="AG244" s="428"/>
      <c r="AH244" s="427" t="s">
        <v>892</v>
      </c>
    </row>
    <row r="245" spans="1:34">
      <c r="A245" s="406">
        <f t="shared" si="14"/>
        <v>244</v>
      </c>
      <c r="B245" s="500" t="s">
        <v>1677</v>
      </c>
      <c r="C245" s="435"/>
      <c r="D245" s="436" t="s">
        <v>2809</v>
      </c>
      <c r="E245" s="406"/>
      <c r="F245" s="437"/>
      <c r="G245" s="436" t="s">
        <v>1770</v>
      </c>
      <c r="H245" s="436" t="s">
        <v>2810</v>
      </c>
      <c r="I245" s="427" t="s">
        <v>2811</v>
      </c>
      <c r="J245" s="435"/>
      <c r="K245" s="438"/>
      <c r="L245" s="532"/>
      <c r="M245" s="414"/>
      <c r="N245" s="438"/>
      <c r="O245" s="439"/>
      <c r="P245" s="440" t="str">
        <f t="shared" si="21"/>
        <v>王洪永</v>
      </c>
      <c r="Q245" s="441">
        <f t="shared" si="19"/>
        <v>0</v>
      </c>
      <c r="R245" s="383" t="s">
        <v>332</v>
      </c>
      <c r="S245" s="442" t="s">
        <v>1457</v>
      </c>
      <c r="T245" s="443" t="s">
        <v>2812</v>
      </c>
      <c r="U245" s="444"/>
      <c r="V245" s="445"/>
      <c r="W245" s="406"/>
      <c r="X245" s="406"/>
      <c r="Y245" s="423">
        <f>IFERROR(V245-W245,0)</f>
        <v>0</v>
      </c>
      <c r="Z245" s="446" t="s">
        <v>2632</v>
      </c>
      <c r="AA245" s="434" t="s">
        <v>2628</v>
      </c>
      <c r="AB245" s="447"/>
      <c r="AC245" s="426">
        <f t="shared" si="15"/>
        <v>0</v>
      </c>
      <c r="AD245" s="426">
        <f t="shared" si="16"/>
        <v>0</v>
      </c>
      <c r="AE245" s="426">
        <f t="shared" si="17"/>
        <v>0</v>
      </c>
      <c r="AF245" s="427"/>
      <c r="AG245" s="428"/>
      <c r="AH245" s="427" t="s">
        <v>892</v>
      </c>
    </row>
    <row r="246" spans="1:34">
      <c r="A246" s="406">
        <f t="shared" si="14"/>
        <v>245</v>
      </c>
      <c r="B246" s="500" t="s">
        <v>1677</v>
      </c>
      <c r="C246" s="435"/>
      <c r="D246" s="436" t="s">
        <v>2813</v>
      </c>
      <c r="E246" s="406"/>
      <c r="F246" s="437"/>
      <c r="G246" s="436" t="s">
        <v>2814</v>
      </c>
      <c r="H246" s="436" t="s">
        <v>2815</v>
      </c>
      <c r="I246" s="427" t="s">
        <v>2816</v>
      </c>
      <c r="J246" s="532"/>
      <c r="K246" s="438"/>
      <c r="L246" s="532"/>
      <c r="M246" s="414"/>
      <c r="N246" s="438"/>
      <c r="O246" s="439"/>
      <c r="P246" s="440" t="str">
        <f t="shared" si="21"/>
        <v>曾广梅</v>
      </c>
      <c r="Q246" s="441">
        <f t="shared" si="19"/>
        <v>0</v>
      </c>
      <c r="R246" s="383" t="s">
        <v>332</v>
      </c>
      <c r="S246" s="442" t="s">
        <v>1452</v>
      </c>
      <c r="T246" s="443" t="s">
        <v>2817</v>
      </c>
      <c r="U246" s="444"/>
      <c r="V246" s="445"/>
      <c r="W246" s="406"/>
      <c r="X246" s="406"/>
      <c r="Y246" s="423">
        <f>IFERROR(V246-W246,0)</f>
        <v>0</v>
      </c>
      <c r="Z246" s="446" t="s">
        <v>2632</v>
      </c>
      <c r="AA246" s="434" t="s">
        <v>2628</v>
      </c>
      <c r="AB246" s="447"/>
      <c r="AC246" s="426">
        <f t="shared" si="15"/>
        <v>0</v>
      </c>
      <c r="AD246" s="426">
        <f t="shared" si="16"/>
        <v>0</v>
      </c>
      <c r="AE246" s="426">
        <f t="shared" si="17"/>
        <v>0</v>
      </c>
      <c r="AF246" s="427"/>
      <c r="AG246" s="428"/>
      <c r="AH246" s="427" t="s">
        <v>892</v>
      </c>
    </row>
    <row r="247" spans="1:34">
      <c r="A247" s="406">
        <f t="shared" si="14"/>
        <v>246</v>
      </c>
      <c r="B247" s="500" t="s">
        <v>1677</v>
      </c>
      <c r="C247" s="435"/>
      <c r="D247" s="436" t="s">
        <v>2818</v>
      </c>
      <c r="E247" s="406"/>
      <c r="F247" s="437"/>
      <c r="G247" s="436" t="s">
        <v>1791</v>
      </c>
      <c r="H247" s="436" t="s">
        <v>2819</v>
      </c>
      <c r="I247" s="427" t="s">
        <v>2820</v>
      </c>
      <c r="J247" s="532"/>
      <c r="K247" s="438"/>
      <c r="L247" s="532"/>
      <c r="M247" s="414"/>
      <c r="N247" s="438"/>
      <c r="O247" s="439"/>
      <c r="P247" s="440" t="str">
        <f t="shared" si="21"/>
        <v>吴凡</v>
      </c>
      <c r="Q247" s="441">
        <f t="shared" si="19"/>
        <v>0</v>
      </c>
      <c r="R247" s="383" t="s">
        <v>332</v>
      </c>
      <c r="S247" s="442" t="s">
        <v>1457</v>
      </c>
      <c r="T247" s="443" t="s">
        <v>2821</v>
      </c>
      <c r="U247" s="444"/>
      <c r="V247" s="445"/>
      <c r="W247" s="406"/>
      <c r="X247" s="406"/>
      <c r="Y247" s="423"/>
      <c r="Z247" s="446" t="s">
        <v>2595</v>
      </c>
      <c r="AA247" s="434" t="s">
        <v>2773</v>
      </c>
      <c r="AB247" s="447"/>
      <c r="AC247" s="426">
        <f t="shared" si="15"/>
        <v>0</v>
      </c>
      <c r="AD247" s="426">
        <f t="shared" si="16"/>
        <v>0</v>
      </c>
      <c r="AE247" s="426">
        <f t="shared" si="17"/>
        <v>0</v>
      </c>
      <c r="AF247" s="427"/>
      <c r="AG247" s="428"/>
      <c r="AH247" s="427" t="s">
        <v>892</v>
      </c>
    </row>
    <row r="248" spans="1:34">
      <c r="A248" s="406">
        <f t="shared" si="14"/>
        <v>247</v>
      </c>
      <c r="B248" s="500" t="s">
        <v>1721</v>
      </c>
      <c r="C248" s="435"/>
      <c r="D248" s="436" t="s">
        <v>2822</v>
      </c>
      <c r="E248" s="406"/>
      <c r="F248" s="437" t="s">
        <v>2823</v>
      </c>
      <c r="G248" s="436" t="s">
        <v>2824</v>
      </c>
      <c r="H248" s="436" t="s">
        <v>2825</v>
      </c>
      <c r="I248" s="427" t="s">
        <v>2826</v>
      </c>
      <c r="J248" s="532"/>
      <c r="K248" s="438"/>
      <c r="L248" s="532"/>
      <c r="M248" s="414"/>
      <c r="N248" s="438"/>
      <c r="O248" s="439"/>
      <c r="P248" s="440" t="str">
        <f t="shared" si="21"/>
        <v>唐熠</v>
      </c>
      <c r="Q248" s="441">
        <f t="shared" si="19"/>
        <v>0</v>
      </c>
      <c r="R248" s="383" t="s">
        <v>332</v>
      </c>
      <c r="S248" s="442" t="s">
        <v>1452</v>
      </c>
      <c r="T248" s="443" t="s">
        <v>2827</v>
      </c>
      <c r="U248" s="444"/>
      <c r="V248" s="445"/>
      <c r="W248" s="406"/>
      <c r="X248" s="406"/>
      <c r="Y248" s="423">
        <f>IFERROR(V248-W248,0)</f>
        <v>0</v>
      </c>
      <c r="Z248" s="446" t="s">
        <v>2602</v>
      </c>
      <c r="AA248" s="434" t="s">
        <v>2743</v>
      </c>
      <c r="AB248" s="447"/>
      <c r="AC248" s="426">
        <f t="shared" si="15"/>
        <v>0</v>
      </c>
      <c r="AD248" s="426">
        <f t="shared" si="16"/>
        <v>0</v>
      </c>
      <c r="AE248" s="426">
        <f t="shared" si="17"/>
        <v>0</v>
      </c>
      <c r="AF248" s="427"/>
      <c r="AG248" s="428"/>
      <c r="AH248" s="427" t="s">
        <v>892</v>
      </c>
    </row>
    <row r="249" spans="1:34">
      <c r="A249" s="406">
        <f t="shared" si="14"/>
        <v>248</v>
      </c>
      <c r="B249" s="500" t="s">
        <v>1677</v>
      </c>
      <c r="C249" s="435"/>
      <c r="D249" s="436" t="s">
        <v>2828</v>
      </c>
      <c r="E249" s="406"/>
      <c r="F249" s="437"/>
      <c r="G249" s="436" t="s">
        <v>1770</v>
      </c>
      <c r="H249" s="436" t="s">
        <v>2829</v>
      </c>
      <c r="I249" s="427" t="s">
        <v>2830</v>
      </c>
      <c r="J249" s="532"/>
      <c r="K249" s="438"/>
      <c r="L249" s="532"/>
      <c r="M249" s="414"/>
      <c r="N249" s="438"/>
      <c r="O249" s="439"/>
      <c r="P249" s="440" t="str">
        <f t="shared" si="21"/>
        <v>李秀秀</v>
      </c>
      <c r="Q249" s="441">
        <f t="shared" si="19"/>
        <v>0</v>
      </c>
      <c r="R249" s="383" t="s">
        <v>332</v>
      </c>
      <c r="S249" s="442" t="s">
        <v>1457</v>
      </c>
      <c r="T249" s="443" t="s">
        <v>2831</v>
      </c>
      <c r="U249" s="444"/>
      <c r="V249" s="445"/>
      <c r="W249" s="406"/>
      <c r="X249" s="406"/>
      <c r="Y249" s="423">
        <f>IFERROR(V249-W249,0)</f>
        <v>0</v>
      </c>
      <c r="Z249" s="446" t="s">
        <v>2632</v>
      </c>
      <c r="AA249" s="434" t="s">
        <v>2628</v>
      </c>
      <c r="AB249" s="447"/>
      <c r="AC249" s="426">
        <f t="shared" si="15"/>
        <v>0</v>
      </c>
      <c r="AD249" s="426">
        <f t="shared" si="16"/>
        <v>0</v>
      </c>
      <c r="AE249" s="426">
        <f t="shared" si="17"/>
        <v>0</v>
      </c>
      <c r="AF249" s="427"/>
      <c r="AG249" s="428"/>
      <c r="AH249" s="427" t="s">
        <v>892</v>
      </c>
    </row>
    <row r="250" spans="1:34">
      <c r="A250" s="406">
        <f t="shared" si="14"/>
        <v>249</v>
      </c>
      <c r="B250" s="500" t="s">
        <v>1677</v>
      </c>
      <c r="C250" s="435"/>
      <c r="D250" s="436" t="s">
        <v>2832</v>
      </c>
      <c r="E250" s="406"/>
      <c r="F250" s="437"/>
      <c r="G250" s="436" t="s">
        <v>2478</v>
      </c>
      <c r="H250" s="436" t="s">
        <v>2833</v>
      </c>
      <c r="I250" s="427" t="s">
        <v>2834</v>
      </c>
      <c r="J250" s="435"/>
      <c r="K250" s="438"/>
      <c r="L250" s="435"/>
      <c r="M250" s="414" t="s">
        <v>2360</v>
      </c>
      <c r="N250" s="438"/>
      <c r="O250" s="439"/>
      <c r="P250" s="440" t="str">
        <f t="shared" si="21"/>
        <v>施永辉</v>
      </c>
      <c r="Q250" s="441">
        <f t="shared" si="19"/>
        <v>0</v>
      </c>
      <c r="R250" s="383" t="s">
        <v>332</v>
      </c>
      <c r="S250" s="442" t="s">
        <v>1457</v>
      </c>
      <c r="T250" s="443" t="s">
        <v>2835</v>
      </c>
      <c r="U250" s="444"/>
      <c r="V250" s="445"/>
      <c r="W250" s="406"/>
      <c r="X250" s="406"/>
      <c r="Y250" s="423">
        <f>IFERROR(V250-W250,0)</f>
        <v>0</v>
      </c>
      <c r="Z250" s="446" t="s">
        <v>2632</v>
      </c>
      <c r="AA250" s="434" t="s">
        <v>2738</v>
      </c>
      <c r="AB250" s="447" t="s">
        <v>1126</v>
      </c>
      <c r="AC250" s="426">
        <f t="shared" si="15"/>
        <v>0</v>
      </c>
      <c r="AD250" s="426">
        <f t="shared" si="16"/>
        <v>0</v>
      </c>
      <c r="AE250" s="426">
        <f t="shared" si="17"/>
        <v>0</v>
      </c>
      <c r="AF250" s="427"/>
      <c r="AG250" s="428"/>
      <c r="AH250" s="427" t="s">
        <v>892</v>
      </c>
    </row>
    <row r="251" spans="1:34">
      <c r="A251" s="406">
        <f t="shared" si="14"/>
        <v>250</v>
      </c>
      <c r="B251" s="500" t="s">
        <v>1677</v>
      </c>
      <c r="C251" s="435"/>
      <c r="D251" s="436" t="s">
        <v>2836</v>
      </c>
      <c r="E251" s="406"/>
      <c r="F251" s="437"/>
      <c r="G251" s="436" t="s">
        <v>1730</v>
      </c>
      <c r="H251" s="436" t="s">
        <v>2837</v>
      </c>
      <c r="I251" s="427" t="s">
        <v>2838</v>
      </c>
      <c r="J251" s="435"/>
      <c r="K251" s="438"/>
      <c r="L251" s="435"/>
      <c r="M251" s="414" t="s">
        <v>2626</v>
      </c>
      <c r="N251" s="438">
        <f>K251+O251</f>
        <v>0</v>
      </c>
      <c r="O251" s="439"/>
      <c r="P251" s="440" t="str">
        <f t="shared" si="21"/>
        <v>龚克</v>
      </c>
      <c r="Q251" s="441">
        <f t="shared" si="19"/>
        <v>0</v>
      </c>
      <c r="R251" s="383" t="s">
        <v>332</v>
      </c>
      <c r="S251" s="442" t="s">
        <v>1452</v>
      </c>
      <c r="T251" s="443" t="s">
        <v>2839</v>
      </c>
      <c r="U251" s="444"/>
      <c r="V251" s="445"/>
      <c r="W251" s="406"/>
      <c r="X251" s="406"/>
      <c r="Y251" s="423">
        <f>IFERROR(V251-W251,0)</f>
        <v>0</v>
      </c>
      <c r="Z251" s="446" t="s">
        <v>2602</v>
      </c>
      <c r="AA251" s="434" t="s">
        <v>2603</v>
      </c>
      <c r="AB251" s="447" t="s">
        <v>1126</v>
      </c>
      <c r="AC251" s="426">
        <f t="shared" si="15"/>
        <v>0</v>
      </c>
      <c r="AD251" s="426">
        <f t="shared" si="16"/>
        <v>0</v>
      </c>
      <c r="AE251" s="426">
        <f t="shared" si="17"/>
        <v>0</v>
      </c>
      <c r="AF251" s="427"/>
      <c r="AG251" s="428"/>
      <c r="AH251" s="427" t="s">
        <v>892</v>
      </c>
    </row>
    <row r="252" spans="1:34">
      <c r="A252" s="406">
        <f t="shared" si="14"/>
        <v>251</v>
      </c>
      <c r="B252" s="500" t="s">
        <v>1677</v>
      </c>
      <c r="C252" s="435"/>
      <c r="D252" s="436" t="s">
        <v>2840</v>
      </c>
      <c r="E252" s="406"/>
      <c r="F252" s="437"/>
      <c r="G252" s="438" t="s">
        <v>2841</v>
      </c>
      <c r="H252" s="436" t="s">
        <v>2842</v>
      </c>
      <c r="I252" s="427" t="s">
        <v>2843</v>
      </c>
      <c r="J252" s="532"/>
      <c r="K252" s="438"/>
      <c r="L252" s="532"/>
      <c r="M252" s="414"/>
      <c r="N252" s="438"/>
      <c r="O252" s="439"/>
      <c r="P252" s="440" t="str">
        <f t="shared" si="21"/>
        <v>何天甫</v>
      </c>
      <c r="Q252" s="441">
        <f t="shared" si="19"/>
        <v>0</v>
      </c>
      <c r="R252" s="383" t="s">
        <v>332</v>
      </c>
      <c r="S252" s="442" t="s">
        <v>1452</v>
      </c>
      <c r="T252" s="443" t="s">
        <v>2844</v>
      </c>
      <c r="U252" s="444"/>
      <c r="V252" s="445"/>
      <c r="W252" s="406"/>
      <c r="X252" s="406"/>
      <c r="Y252" s="423"/>
      <c r="Z252" s="446" t="s">
        <v>2609</v>
      </c>
      <c r="AA252" s="434" t="s">
        <v>2644</v>
      </c>
      <c r="AB252" s="447"/>
      <c r="AC252" s="426">
        <f t="shared" si="15"/>
        <v>0</v>
      </c>
      <c r="AD252" s="426">
        <f t="shared" si="16"/>
        <v>0</v>
      </c>
      <c r="AE252" s="426">
        <f t="shared" si="17"/>
        <v>0</v>
      </c>
      <c r="AF252" s="427"/>
      <c r="AG252" s="428"/>
      <c r="AH252" s="427" t="s">
        <v>892</v>
      </c>
    </row>
    <row r="253" spans="1:34">
      <c r="A253" s="406">
        <f t="shared" si="14"/>
        <v>252</v>
      </c>
      <c r="B253" s="500" t="s">
        <v>1677</v>
      </c>
      <c r="C253" s="435"/>
      <c r="D253" s="436" t="s">
        <v>2845</v>
      </c>
      <c r="E253" s="406"/>
      <c r="F253" s="437"/>
      <c r="G253" s="436" t="s">
        <v>1685</v>
      </c>
      <c r="H253" s="436" t="s">
        <v>2846</v>
      </c>
      <c r="I253" s="427" t="s">
        <v>2847</v>
      </c>
      <c r="J253" s="435"/>
      <c r="K253" s="438"/>
      <c r="L253" s="435"/>
      <c r="M253" s="414" t="s">
        <v>1710</v>
      </c>
      <c r="N253" s="438">
        <f>K253+O253</f>
        <v>0</v>
      </c>
      <c r="O253" s="439"/>
      <c r="P253" s="440" t="str">
        <f t="shared" si="21"/>
        <v>徐黄彬</v>
      </c>
      <c r="Q253" s="441">
        <f t="shared" si="19"/>
        <v>0</v>
      </c>
      <c r="R253" s="383" t="s">
        <v>332</v>
      </c>
      <c r="S253" s="442" t="s">
        <v>1457</v>
      </c>
      <c r="T253" s="443" t="s">
        <v>2848</v>
      </c>
      <c r="U253" s="444"/>
      <c r="V253" s="445"/>
      <c r="W253" s="406"/>
      <c r="X253" s="406"/>
      <c r="Y253" s="423">
        <f>IFERROR(V253-W253,0)</f>
        <v>0</v>
      </c>
      <c r="Z253" s="446" t="s">
        <v>2602</v>
      </c>
      <c r="AA253" s="434" t="s">
        <v>2650</v>
      </c>
      <c r="AB253" s="447" t="s">
        <v>1126</v>
      </c>
      <c r="AC253" s="426">
        <f t="shared" si="15"/>
        <v>0</v>
      </c>
      <c r="AD253" s="426">
        <f t="shared" si="16"/>
        <v>0</v>
      </c>
      <c r="AE253" s="426">
        <f t="shared" si="17"/>
        <v>0</v>
      </c>
      <c r="AF253" s="427"/>
      <c r="AG253" s="428"/>
      <c r="AH253" s="427" t="s">
        <v>892</v>
      </c>
    </row>
    <row r="3261" spans="33:33">
      <c r="AG3261" s="536"/>
    </row>
    <row r="3262" spans="33:33">
      <c r="AG3262" s="536"/>
    </row>
    <row r="3263" spans="33:33">
      <c r="AG3263" s="536"/>
    </row>
    <row r="3264" spans="33:33">
      <c r="AG3264" s="536"/>
    </row>
    <row r="3265" spans="33:33">
      <c r="AG3265" s="536"/>
    </row>
    <row r="3266" spans="33:33">
      <c r="AG3266" s="536"/>
    </row>
    <row r="3267" spans="33:33">
      <c r="AG3267" s="536"/>
    </row>
    <row r="3268" spans="33:33">
      <c r="AG3268" s="536"/>
    </row>
    <row r="3269" spans="33:33">
      <c r="AG3269" s="536"/>
    </row>
    <row r="3270" spans="33:33">
      <c r="AG3270" s="536"/>
    </row>
    <row r="3271" spans="33:33">
      <c r="AG3271" s="536"/>
    </row>
    <row r="3272" spans="33:33">
      <c r="AG3272" s="536"/>
    </row>
    <row r="3273" spans="33:33">
      <c r="AG3273" s="536"/>
    </row>
    <row r="3274" spans="33:33">
      <c r="AG3274" s="536"/>
    </row>
    <row r="3275" spans="33:33">
      <c r="AG3275" s="536"/>
    </row>
    <row r="3276" spans="33:33">
      <c r="AG3276" s="536"/>
    </row>
    <row r="3277" spans="33:33">
      <c r="AG3277" s="536"/>
    </row>
    <row r="3278" spans="33:33">
      <c r="AG3278" s="536"/>
    </row>
    <row r="3279" spans="33:33">
      <c r="AG3279" s="536"/>
    </row>
    <row r="3280" spans="33:33">
      <c r="AG3280" s="536"/>
    </row>
    <row r="3281" spans="33:33">
      <c r="AG3281" s="536"/>
    </row>
    <row r="3282" spans="33:33">
      <c r="AG3282" s="536"/>
    </row>
    <row r="3283" spans="33:33">
      <c r="AG3283" s="536"/>
    </row>
    <row r="3284" spans="33:33">
      <c r="AG3284" s="536"/>
    </row>
    <row r="3285" spans="33:33">
      <c r="AG3285" s="536"/>
    </row>
    <row r="3286" spans="33:33">
      <c r="AG3286" s="536"/>
    </row>
    <row r="3287" spans="33:33">
      <c r="AG3287" s="536"/>
    </row>
    <row r="3288" spans="33:33">
      <c r="AG3288" s="536"/>
    </row>
    <row r="3289" spans="33:33">
      <c r="AG3289" s="536"/>
    </row>
    <row r="3290" spans="33:33">
      <c r="AG3290" s="536"/>
    </row>
    <row r="3291" spans="33:33">
      <c r="AG3291" s="536"/>
    </row>
    <row r="3292" spans="33:33">
      <c r="AG3292" s="536"/>
    </row>
    <row r="3293" spans="33:33">
      <c r="AG3293" s="536"/>
    </row>
    <row r="3294" spans="33:33">
      <c r="AG3294" s="536"/>
    </row>
    <row r="3295" spans="33:33">
      <c r="AG3295" s="536"/>
    </row>
    <row r="3296" spans="33:33">
      <c r="AG3296" s="536"/>
    </row>
    <row r="3297" spans="33:33">
      <c r="AG3297" s="536"/>
    </row>
    <row r="3298" spans="33:33">
      <c r="AG3298" s="536"/>
    </row>
    <row r="3299" spans="33:33">
      <c r="AG3299" s="536"/>
    </row>
    <row r="3300" spans="33:33">
      <c r="AG3300" s="536"/>
    </row>
    <row r="3301" spans="33:33">
      <c r="AG3301" s="536"/>
    </row>
    <row r="3302" spans="33:33">
      <c r="AG3302" s="536"/>
    </row>
    <row r="3303" spans="33:33">
      <c r="AG3303" s="536"/>
    </row>
    <row r="3304" spans="33:33">
      <c r="AG3304" s="536"/>
    </row>
    <row r="3305" spans="33:33">
      <c r="AG3305" s="536"/>
    </row>
    <row r="3306" spans="33:33">
      <c r="AG3306" s="536"/>
    </row>
    <row r="3307" spans="33:33">
      <c r="AG3307" s="536"/>
    </row>
    <row r="3308" spans="33:33">
      <c r="AG3308" s="536"/>
    </row>
    <row r="3309" spans="33:33">
      <c r="AG3309" s="536"/>
    </row>
    <row r="3310" spans="33:33">
      <c r="AG3310" s="536"/>
    </row>
    <row r="3311" spans="33:33">
      <c r="AG3311" s="536"/>
    </row>
    <row r="3312" spans="33:33">
      <c r="AG3312" s="536"/>
    </row>
    <row r="3313" spans="33:33">
      <c r="AG3313" s="536"/>
    </row>
    <row r="3314" spans="33:33">
      <c r="AG3314" s="536"/>
    </row>
    <row r="3315" spans="33:33">
      <c r="AG3315" s="536"/>
    </row>
    <row r="3316" spans="33:33">
      <c r="AG3316" s="536"/>
    </row>
    <row r="3317" spans="33:33">
      <c r="AG3317" s="536"/>
    </row>
    <row r="3318" spans="33:33">
      <c r="AG3318" s="536"/>
    </row>
    <row r="3319" spans="33:33">
      <c r="AG3319" s="536"/>
    </row>
    <row r="3320" spans="33:33">
      <c r="AG3320" s="536"/>
    </row>
    <row r="3321" spans="33:33">
      <c r="AG3321" s="536"/>
    </row>
    <row r="3322" spans="33:33">
      <c r="AG3322" s="536"/>
    </row>
    <row r="3323" spans="33:33">
      <c r="AG3323" s="536"/>
    </row>
    <row r="3324" spans="33:33">
      <c r="AG3324" s="536"/>
    </row>
    <row r="3325" spans="33:33">
      <c r="AG3325" s="536"/>
    </row>
    <row r="3326" spans="33:33">
      <c r="AG3326" s="536"/>
    </row>
    <row r="3327" spans="33:33">
      <c r="AG3327" s="536"/>
    </row>
    <row r="3328" spans="33:33">
      <c r="AG3328" s="536"/>
    </row>
    <row r="3329" spans="33:33">
      <c r="AG3329" s="536"/>
    </row>
    <row r="3330" spans="33:33">
      <c r="AG3330" s="536"/>
    </row>
    <row r="3331" spans="33:33">
      <c r="AG3331" s="536"/>
    </row>
    <row r="3332" spans="33:33">
      <c r="AG3332" s="536"/>
    </row>
    <row r="3333" spans="33:33">
      <c r="AG3333" s="536"/>
    </row>
    <row r="3334" spans="33:33">
      <c r="AG3334" s="536"/>
    </row>
    <row r="3335" spans="33:33">
      <c r="AG3335" s="536"/>
    </row>
    <row r="3336" spans="33:33">
      <c r="AG3336" s="536"/>
    </row>
    <row r="3337" spans="33:33">
      <c r="AG3337" s="536"/>
    </row>
    <row r="3338" spans="33:33">
      <c r="AG3338" s="536"/>
    </row>
    <row r="3339" spans="33:33">
      <c r="AG3339" s="536"/>
    </row>
    <row r="3340" spans="33:33">
      <c r="AG3340" s="536"/>
    </row>
    <row r="3341" spans="33:33">
      <c r="AG3341" s="536"/>
    </row>
    <row r="3342" spans="33:33">
      <c r="AG3342" s="536"/>
    </row>
    <row r="3343" spans="33:33">
      <c r="AG3343" s="536"/>
    </row>
    <row r="3344" spans="33:33">
      <c r="AG3344" s="536"/>
    </row>
    <row r="3345" spans="33:33">
      <c r="AG3345" s="536"/>
    </row>
    <row r="3346" spans="33:33">
      <c r="AG3346" s="536"/>
    </row>
    <row r="3347" spans="33:33">
      <c r="AG3347" s="536"/>
    </row>
    <row r="3348" spans="33:33">
      <c r="AG3348" s="536"/>
    </row>
    <row r="3349" spans="33:33">
      <c r="AG3349" s="536"/>
    </row>
    <row r="3350" spans="33:33">
      <c r="AG3350" s="536"/>
    </row>
    <row r="3351" spans="33:33">
      <c r="AG3351" s="536"/>
    </row>
    <row r="3352" spans="33:33">
      <c r="AG3352" s="536"/>
    </row>
    <row r="3353" spans="33:33">
      <c r="AG3353" s="536"/>
    </row>
    <row r="3354" spans="33:33">
      <c r="AG3354" s="536"/>
    </row>
    <row r="3355" spans="33:33">
      <c r="AG3355" s="536"/>
    </row>
    <row r="3356" spans="33:33">
      <c r="AG3356" s="536"/>
    </row>
    <row r="3357" spans="33:33">
      <c r="AG3357" s="536"/>
    </row>
    <row r="3358" spans="33:33">
      <c r="AG3358" s="536"/>
    </row>
    <row r="3359" spans="33:33">
      <c r="AG3359" s="536"/>
    </row>
    <row r="3360" spans="33:33">
      <c r="AG3360" s="536"/>
    </row>
    <row r="3361" spans="33:33">
      <c r="AG3361" s="536"/>
    </row>
    <row r="3362" spans="33:33">
      <c r="AG3362" s="536"/>
    </row>
    <row r="3363" spans="33:33">
      <c r="AG3363" s="536"/>
    </row>
    <row r="3364" spans="33:33">
      <c r="AG3364" s="536"/>
    </row>
    <row r="3365" spans="33:33">
      <c r="AG3365" s="536"/>
    </row>
    <row r="3366" spans="33:33">
      <c r="AG3366" s="536"/>
    </row>
    <row r="3367" spans="33:33">
      <c r="AG3367" s="536"/>
    </row>
    <row r="3368" spans="33:33">
      <c r="AG3368" s="536"/>
    </row>
    <row r="3369" spans="33:33">
      <c r="AG3369" s="536"/>
    </row>
    <row r="3370" spans="33:33">
      <c r="AG3370" s="536"/>
    </row>
    <row r="3371" spans="33:33">
      <c r="AG3371" s="536"/>
    </row>
    <row r="3372" spans="33:33">
      <c r="AG3372" s="536"/>
    </row>
    <row r="3373" spans="33:33">
      <c r="AG3373" s="536"/>
    </row>
    <row r="3374" spans="33:33">
      <c r="AG3374" s="536"/>
    </row>
    <row r="3375" spans="33:33">
      <c r="AG3375" s="536"/>
    </row>
    <row r="3376" spans="33:33">
      <c r="AG3376" s="536"/>
    </row>
    <row r="3377" spans="33:33">
      <c r="AG3377" s="536"/>
    </row>
    <row r="3378" spans="33:33">
      <c r="AG3378" s="536"/>
    </row>
    <row r="3379" spans="33:33">
      <c r="AG3379" s="536"/>
    </row>
    <row r="3380" spans="33:33">
      <c r="AG3380" s="536"/>
    </row>
    <row r="3381" spans="33:33">
      <c r="AG3381" s="536"/>
    </row>
    <row r="3382" spans="33:33">
      <c r="AG3382" s="536"/>
    </row>
    <row r="3383" spans="33:33">
      <c r="AG3383" s="536"/>
    </row>
    <row r="3384" spans="33:33">
      <c r="AG3384" s="536"/>
    </row>
    <row r="3385" spans="33:33">
      <c r="AG3385" s="536"/>
    </row>
    <row r="3386" spans="33:33">
      <c r="AG3386" s="536"/>
    </row>
    <row r="3387" spans="33:33">
      <c r="AG3387" s="536"/>
    </row>
    <row r="3388" spans="33:33">
      <c r="AG3388" s="536"/>
    </row>
    <row r="3389" spans="33:33">
      <c r="AG3389" s="536"/>
    </row>
    <row r="3390" spans="33:33">
      <c r="AG3390" s="536"/>
    </row>
    <row r="3391" spans="33:33">
      <c r="AG3391" s="536"/>
    </row>
    <row r="3392" spans="33:33">
      <c r="AG3392" s="536"/>
    </row>
    <row r="3393" spans="33:33">
      <c r="AG3393" s="536"/>
    </row>
    <row r="3394" spans="33:33">
      <c r="AG3394" s="536"/>
    </row>
    <row r="3395" spans="33:33">
      <c r="AG3395" s="536"/>
    </row>
    <row r="3396" spans="33:33">
      <c r="AG3396" s="536"/>
    </row>
    <row r="3397" spans="33:33">
      <c r="AG3397" s="536"/>
    </row>
    <row r="3398" spans="33:33">
      <c r="AG3398" s="536"/>
    </row>
    <row r="3399" spans="33:33">
      <c r="AG3399" s="536"/>
    </row>
    <row r="3400" spans="33:33">
      <c r="AG3400" s="536"/>
    </row>
    <row r="3401" spans="33:33">
      <c r="AG3401" s="536"/>
    </row>
    <row r="3402" spans="33:33">
      <c r="AG3402" s="536"/>
    </row>
    <row r="3403" spans="33:33">
      <c r="AG3403" s="536"/>
    </row>
    <row r="3404" spans="33:33">
      <c r="AG3404" s="536"/>
    </row>
    <row r="3405" spans="33:33">
      <c r="AG3405" s="536"/>
    </row>
    <row r="3406" spans="33:33">
      <c r="AG3406" s="536"/>
    </row>
    <row r="3407" spans="33:33">
      <c r="AG3407" s="536"/>
    </row>
    <row r="3408" spans="33:33">
      <c r="AG3408" s="536"/>
    </row>
    <row r="3409" spans="33:33">
      <c r="AG3409" s="536"/>
    </row>
    <row r="3410" spans="33:33">
      <c r="AG3410" s="536"/>
    </row>
    <row r="3411" spans="33:33">
      <c r="AG3411" s="536"/>
    </row>
    <row r="3412" spans="33:33">
      <c r="AG3412" s="536"/>
    </row>
    <row r="3413" spans="33:33">
      <c r="AG3413" s="536"/>
    </row>
    <row r="3414" spans="33:33">
      <c r="AG3414" s="536"/>
    </row>
    <row r="3415" spans="33:33">
      <c r="AG3415" s="536"/>
    </row>
    <row r="3416" spans="33:33">
      <c r="AG3416" s="536"/>
    </row>
    <row r="3417" spans="33:33">
      <c r="AG3417" s="536"/>
    </row>
    <row r="3418" spans="33:33">
      <c r="AG3418" s="536"/>
    </row>
    <row r="3419" spans="33:33">
      <c r="AG3419" s="536"/>
    </row>
    <row r="3420" spans="33:33">
      <c r="AG3420" s="536"/>
    </row>
    <row r="3421" spans="33:33">
      <c r="AG3421" s="536"/>
    </row>
    <row r="3422" spans="33:33">
      <c r="AG3422" s="536"/>
    </row>
    <row r="3423" spans="33:33">
      <c r="AG3423" s="536"/>
    </row>
    <row r="3424" spans="33:33">
      <c r="AG3424" s="536"/>
    </row>
    <row r="3425" spans="33:33">
      <c r="AG3425" s="536"/>
    </row>
    <row r="3426" spans="33:33">
      <c r="AG3426" s="536"/>
    </row>
    <row r="3427" spans="33:33">
      <c r="AG3427" s="536"/>
    </row>
    <row r="3428" spans="33:33">
      <c r="AG3428" s="536"/>
    </row>
    <row r="3429" spans="33:33">
      <c r="AG3429" s="536"/>
    </row>
    <row r="3430" spans="33:33">
      <c r="AG3430" s="536"/>
    </row>
    <row r="3431" spans="33:33">
      <c r="AG3431" s="536"/>
    </row>
    <row r="3432" spans="33:33">
      <c r="AG3432" s="536"/>
    </row>
    <row r="3433" spans="33:33">
      <c r="AG3433" s="536"/>
    </row>
    <row r="3434" spans="33:33">
      <c r="AG3434" s="536"/>
    </row>
    <row r="3435" spans="33:33">
      <c r="AG3435" s="536"/>
    </row>
    <row r="3436" spans="33:33">
      <c r="AG3436" s="536"/>
    </row>
    <row r="3437" spans="33:33">
      <c r="AG3437" s="536"/>
    </row>
    <row r="3438" spans="33:33">
      <c r="AG3438" s="536"/>
    </row>
    <row r="3439" spans="33:33">
      <c r="AG3439" s="536"/>
    </row>
    <row r="3440" spans="33:33">
      <c r="AG3440" s="536"/>
    </row>
    <row r="3441" spans="33:33">
      <c r="AG3441" s="536"/>
    </row>
    <row r="3442" spans="33:33">
      <c r="AG3442" s="536"/>
    </row>
    <row r="3443" spans="33:33">
      <c r="AG3443" s="536"/>
    </row>
    <row r="3444" spans="33:33">
      <c r="AG3444" s="536"/>
    </row>
    <row r="3445" spans="33:33">
      <c r="AG3445" s="536"/>
    </row>
    <row r="3446" spans="33:33">
      <c r="AG3446" s="536"/>
    </row>
    <row r="3447" spans="33:33">
      <c r="AG3447" s="536"/>
    </row>
    <row r="3448" spans="33:33">
      <c r="AG3448" s="536"/>
    </row>
    <row r="3449" spans="33:33">
      <c r="AG3449" s="536"/>
    </row>
    <row r="3450" spans="33:33">
      <c r="AG3450" s="536"/>
    </row>
    <row r="3451" spans="33:33">
      <c r="AG3451" s="536"/>
    </row>
    <row r="3452" spans="33:33">
      <c r="AG3452" s="536"/>
    </row>
    <row r="3453" spans="33:33">
      <c r="AG3453" s="536"/>
    </row>
    <row r="3454" spans="33:33">
      <c r="AG3454" s="536"/>
    </row>
    <row r="3455" spans="33:33">
      <c r="AG3455" s="536"/>
    </row>
    <row r="3456" spans="33:33">
      <c r="AG3456" s="536"/>
    </row>
    <row r="3457" spans="33:33">
      <c r="AG3457" s="536"/>
    </row>
    <row r="3458" spans="33:33">
      <c r="AG3458" s="536"/>
    </row>
    <row r="3459" spans="33:33">
      <c r="AG3459" s="536"/>
    </row>
    <row r="3460" spans="33:33">
      <c r="AG3460" s="536"/>
    </row>
    <row r="3461" spans="33:33">
      <c r="AG3461" s="536"/>
    </row>
    <row r="3462" spans="33:33">
      <c r="AG3462" s="536"/>
    </row>
    <row r="3463" spans="33:33">
      <c r="AG3463" s="536"/>
    </row>
    <row r="3464" spans="33:33">
      <c r="AG3464" s="536"/>
    </row>
    <row r="3465" spans="33:33">
      <c r="AG3465" s="536"/>
    </row>
    <row r="3466" spans="33:33">
      <c r="AG3466" s="536"/>
    </row>
    <row r="3467" spans="33:33">
      <c r="AG3467" s="536"/>
    </row>
    <row r="3468" spans="33:33">
      <c r="AG3468" s="536"/>
    </row>
    <row r="3469" spans="33:33">
      <c r="AG3469" s="536"/>
    </row>
    <row r="3470" spans="33:33">
      <c r="AG3470" s="536"/>
    </row>
    <row r="3471" spans="33:33">
      <c r="AG3471" s="536"/>
    </row>
    <row r="3472" spans="33:33">
      <c r="AG3472" s="536"/>
    </row>
    <row r="3473" spans="33:33">
      <c r="AG3473" s="536"/>
    </row>
    <row r="3474" spans="33:33">
      <c r="AG3474" s="536"/>
    </row>
    <row r="3475" spans="33:33">
      <c r="AG3475" s="536"/>
    </row>
    <row r="3476" spans="33:33">
      <c r="AG3476" s="536"/>
    </row>
    <row r="3477" spans="33:33">
      <c r="AG3477" s="536"/>
    </row>
    <row r="3478" spans="33:33">
      <c r="AG3478" s="536"/>
    </row>
    <row r="3479" spans="33:33">
      <c r="AG3479" s="536"/>
    </row>
    <row r="3480" spans="33:33">
      <c r="AG3480" s="536"/>
    </row>
    <row r="3481" spans="33:33">
      <c r="AG3481" s="536"/>
    </row>
    <row r="3482" spans="33:33">
      <c r="AG3482" s="536"/>
    </row>
    <row r="3483" spans="33:33">
      <c r="AG3483" s="536"/>
    </row>
    <row r="3484" spans="33:33">
      <c r="AG3484" s="536"/>
    </row>
    <row r="3485" spans="33:33">
      <c r="AG3485" s="536"/>
    </row>
    <row r="3486" spans="33:33">
      <c r="AG3486" s="536"/>
    </row>
    <row r="3487" spans="33:33">
      <c r="AG3487" s="536"/>
    </row>
    <row r="3488" spans="33:33">
      <c r="AG3488" s="536"/>
    </row>
    <row r="3489" spans="33:33">
      <c r="AG3489" s="536"/>
    </row>
    <row r="3490" spans="33:33">
      <c r="AG3490" s="536"/>
    </row>
    <row r="3491" spans="33:33">
      <c r="AG3491" s="536"/>
    </row>
    <row r="3492" spans="33:33">
      <c r="AG3492" s="536"/>
    </row>
    <row r="3493" spans="33:33">
      <c r="AG3493" s="536"/>
    </row>
    <row r="3494" spans="33:33">
      <c r="AG3494" s="536"/>
    </row>
    <row r="3495" spans="33:33">
      <c r="AG3495" s="536"/>
    </row>
    <row r="3496" spans="33:33">
      <c r="AG3496" s="536"/>
    </row>
    <row r="3497" spans="33:33">
      <c r="AG3497" s="536"/>
    </row>
    <row r="3498" spans="33:33">
      <c r="AG3498" s="536"/>
    </row>
    <row r="3499" spans="33:33">
      <c r="AG3499" s="536"/>
    </row>
    <row r="3500" spans="33:33">
      <c r="AG3500" s="536"/>
    </row>
    <row r="3501" spans="33:33">
      <c r="AG3501" s="536"/>
    </row>
    <row r="3502" spans="33:33">
      <c r="AG3502" s="536"/>
    </row>
    <row r="3503" spans="33:33">
      <c r="AG3503" s="536"/>
    </row>
    <row r="3504" spans="33:33">
      <c r="AG3504" s="536"/>
    </row>
    <row r="3505" spans="33:33">
      <c r="AG3505" s="536"/>
    </row>
    <row r="3506" spans="33:33">
      <c r="AG3506" s="536"/>
    </row>
    <row r="3507" spans="33:33">
      <c r="AG3507" s="536"/>
    </row>
    <row r="3508" spans="33:33">
      <c r="AG3508" s="536"/>
    </row>
    <row r="3509" spans="33:33">
      <c r="AG3509" s="536"/>
    </row>
    <row r="3510" spans="33:33">
      <c r="AG3510" s="536"/>
    </row>
    <row r="3511" spans="33:33">
      <c r="AG3511" s="536"/>
    </row>
    <row r="3512" spans="33:33">
      <c r="AG3512" s="536"/>
    </row>
    <row r="3513" spans="33:33">
      <c r="AG3513" s="536"/>
    </row>
    <row r="3514" spans="33:33">
      <c r="AG3514" s="536"/>
    </row>
    <row r="3515" spans="33:33">
      <c r="AG3515" s="536"/>
    </row>
    <row r="3516" spans="33:33">
      <c r="AG3516" s="536"/>
    </row>
    <row r="3517" spans="33:33">
      <c r="AG3517" s="536"/>
    </row>
    <row r="3518" spans="33:33">
      <c r="AG3518" s="536"/>
    </row>
    <row r="3519" spans="33:33">
      <c r="AG3519" s="536"/>
    </row>
    <row r="3520" spans="33:33">
      <c r="AG3520" s="536"/>
    </row>
    <row r="3521" spans="33:33">
      <c r="AG3521" s="536"/>
    </row>
    <row r="3522" spans="33:33">
      <c r="AG3522" s="536"/>
    </row>
    <row r="3523" spans="33:33">
      <c r="AG3523" s="536"/>
    </row>
    <row r="3524" spans="33:33">
      <c r="AG3524" s="536"/>
    </row>
    <row r="3525" spans="33:33">
      <c r="AG3525" s="536"/>
    </row>
    <row r="3526" spans="33:33">
      <c r="AG3526" s="536"/>
    </row>
    <row r="3527" spans="33:33">
      <c r="AG3527" s="536"/>
    </row>
    <row r="3528" spans="33:33">
      <c r="AG3528" s="536"/>
    </row>
    <row r="3529" spans="33:33">
      <c r="AG3529" s="536"/>
    </row>
    <row r="3530" spans="33:33">
      <c r="AG3530" s="536"/>
    </row>
    <row r="3531" spans="33:33">
      <c r="AG3531" s="536"/>
    </row>
    <row r="3532" spans="33:33">
      <c r="AG3532" s="536"/>
    </row>
    <row r="3533" spans="33:33">
      <c r="AG3533" s="536"/>
    </row>
    <row r="3534" spans="33:33">
      <c r="AG3534" s="536"/>
    </row>
    <row r="3535" spans="33:33">
      <c r="AG3535" s="536"/>
    </row>
    <row r="3536" spans="33:33">
      <c r="AG3536" s="536"/>
    </row>
    <row r="3537" spans="33:33">
      <c r="AG3537" s="536"/>
    </row>
    <row r="3538" spans="33:33">
      <c r="AG3538" s="536"/>
    </row>
    <row r="3539" spans="33:33">
      <c r="AG3539" s="536"/>
    </row>
    <row r="3540" spans="33:33">
      <c r="AG3540" s="536"/>
    </row>
    <row r="3541" spans="33:33">
      <c r="AG3541" s="536"/>
    </row>
    <row r="3542" spans="33:33">
      <c r="AG3542" s="536"/>
    </row>
    <row r="3543" spans="33:33">
      <c r="AG3543" s="536"/>
    </row>
    <row r="3544" spans="33:33">
      <c r="AG3544" s="536"/>
    </row>
    <row r="3545" spans="33:33">
      <c r="AG3545" s="536"/>
    </row>
    <row r="3546" spans="33:33">
      <c r="AG3546" s="536"/>
    </row>
    <row r="3547" spans="33:33">
      <c r="AG3547" s="536"/>
    </row>
    <row r="3548" spans="33:33">
      <c r="AG3548" s="536"/>
    </row>
    <row r="3549" spans="33:33">
      <c r="AG3549" s="536"/>
    </row>
    <row r="3550" spans="33:33">
      <c r="AG3550" s="536"/>
    </row>
    <row r="3551" spans="33:33">
      <c r="AG3551" s="536"/>
    </row>
    <row r="3552" spans="33:33">
      <c r="AG3552" s="536"/>
    </row>
    <row r="3553" spans="33:33">
      <c r="AG3553" s="536"/>
    </row>
    <row r="3554" spans="33:33">
      <c r="AG3554" s="536"/>
    </row>
    <row r="3555" spans="33:33">
      <c r="AG3555" s="536"/>
    </row>
    <row r="3556" spans="33:33">
      <c r="AG3556" s="536"/>
    </row>
    <row r="3557" spans="33:33">
      <c r="AG3557" s="536"/>
    </row>
    <row r="3558" spans="33:33">
      <c r="AG3558" s="536"/>
    </row>
    <row r="3559" spans="33:33">
      <c r="AG3559" s="536"/>
    </row>
    <row r="3560" spans="33:33">
      <c r="AG3560" s="536"/>
    </row>
    <row r="3561" spans="33:33">
      <c r="AG3561" s="536"/>
    </row>
    <row r="3562" spans="33:33">
      <c r="AG3562" s="536"/>
    </row>
    <row r="3563" spans="33:33">
      <c r="AG3563" s="536"/>
    </row>
    <row r="3564" spans="33:33">
      <c r="AG3564" s="536"/>
    </row>
    <row r="3565" spans="33:33">
      <c r="AG3565" s="536"/>
    </row>
    <row r="3566" spans="33:33">
      <c r="AG3566" s="536"/>
    </row>
    <row r="3567" spans="33:33">
      <c r="AG3567" s="536"/>
    </row>
    <row r="3568" spans="33:33">
      <c r="AG3568" s="536"/>
    </row>
    <row r="3569" spans="33:33">
      <c r="AG3569" s="536"/>
    </row>
    <row r="3570" spans="33:33">
      <c r="AG3570" s="536"/>
    </row>
    <row r="3571" spans="33:33">
      <c r="AG3571" s="536"/>
    </row>
    <row r="3572" spans="33:33">
      <c r="AG3572" s="536"/>
    </row>
    <row r="3573" spans="33:33">
      <c r="AG3573" s="536"/>
    </row>
    <row r="3574" spans="33:33">
      <c r="AG3574" s="536"/>
    </row>
    <row r="3575" spans="33:33">
      <c r="AG3575" s="536"/>
    </row>
    <row r="3576" spans="33:33">
      <c r="AG3576" s="536"/>
    </row>
    <row r="3577" spans="33:33">
      <c r="AG3577" s="536"/>
    </row>
    <row r="3578" spans="33:33">
      <c r="AG3578" s="536"/>
    </row>
    <row r="3579" spans="33:33">
      <c r="AG3579" s="536"/>
    </row>
    <row r="3580" spans="33:33">
      <c r="AG3580" s="536"/>
    </row>
    <row r="3581" spans="33:33">
      <c r="AG3581" s="536"/>
    </row>
    <row r="3582" spans="33:33">
      <c r="AG3582" s="536"/>
    </row>
    <row r="3583" spans="33:33">
      <c r="AG3583" s="536"/>
    </row>
    <row r="3584" spans="33:33">
      <c r="AG3584" s="536"/>
    </row>
    <row r="3585" spans="33:33">
      <c r="AG3585" s="536"/>
    </row>
    <row r="3586" spans="33:33">
      <c r="AG3586" s="536"/>
    </row>
    <row r="3587" spans="33:33">
      <c r="AG3587" s="536"/>
    </row>
    <row r="3588" spans="33:33">
      <c r="AG3588" s="536"/>
    </row>
    <row r="3589" spans="33:33">
      <c r="AG3589" s="536"/>
    </row>
    <row r="3590" spans="33:33">
      <c r="AG3590" s="536"/>
    </row>
    <row r="3591" spans="33:33">
      <c r="AG3591" s="536"/>
    </row>
    <row r="3592" spans="33:33">
      <c r="AG3592" s="536"/>
    </row>
    <row r="3593" spans="33:33">
      <c r="AG3593" s="536"/>
    </row>
    <row r="3594" spans="33:33">
      <c r="AG3594" s="536"/>
    </row>
    <row r="3595" spans="33:33">
      <c r="AG3595" s="536"/>
    </row>
    <row r="3596" spans="33:33">
      <c r="AG3596" s="536"/>
    </row>
    <row r="3597" spans="33:33">
      <c r="AG3597" s="536"/>
    </row>
    <row r="3598" spans="33:33">
      <c r="AG3598" s="536"/>
    </row>
    <row r="3599" spans="33:33">
      <c r="AG3599" s="536"/>
    </row>
    <row r="3600" spans="33:33">
      <c r="AG3600" s="536"/>
    </row>
    <row r="3601" spans="33:33">
      <c r="AG3601" s="536"/>
    </row>
    <row r="3602" spans="33:33">
      <c r="AG3602" s="536"/>
    </row>
    <row r="3603" spans="33:33">
      <c r="AG3603" s="536"/>
    </row>
    <row r="3604" spans="33:33">
      <c r="AG3604" s="536"/>
    </row>
    <row r="3605" spans="33:33">
      <c r="AG3605" s="536"/>
    </row>
    <row r="3606" spans="33:33">
      <c r="AG3606" s="536"/>
    </row>
    <row r="3607" spans="33:33">
      <c r="AG3607" s="536"/>
    </row>
    <row r="3608" spans="33:33">
      <c r="AG3608" s="536"/>
    </row>
    <row r="3609" spans="33:33">
      <c r="AG3609" s="536"/>
    </row>
    <row r="3610" spans="33:33">
      <c r="AG3610" s="536"/>
    </row>
    <row r="3611" spans="33:33">
      <c r="AG3611" s="536"/>
    </row>
    <row r="3612" spans="33:33">
      <c r="AG3612" s="536"/>
    </row>
    <row r="3613" spans="33:33">
      <c r="AG3613" s="536"/>
    </row>
    <row r="3614" spans="33:33">
      <c r="AG3614" s="536"/>
    </row>
    <row r="3615" spans="33:33">
      <c r="AG3615" s="536"/>
    </row>
    <row r="3616" spans="33:33">
      <c r="AG3616" s="536"/>
    </row>
    <row r="3617" spans="33:33">
      <c r="AG3617" s="536"/>
    </row>
    <row r="3618" spans="33:33">
      <c r="AG3618" s="536"/>
    </row>
    <row r="3619" spans="33:33">
      <c r="AG3619" s="536"/>
    </row>
    <row r="3620" spans="33:33">
      <c r="AG3620" s="536"/>
    </row>
    <row r="3621" spans="33:33">
      <c r="AG3621" s="536"/>
    </row>
    <row r="3622" spans="33:33">
      <c r="AG3622" s="536"/>
    </row>
    <row r="3623" spans="33:33">
      <c r="AG3623" s="536"/>
    </row>
    <row r="3624" spans="33:33">
      <c r="AG3624" s="536"/>
    </row>
    <row r="3625" spans="33:33">
      <c r="AG3625" s="536"/>
    </row>
    <row r="3626" spans="33:33">
      <c r="AG3626" s="536"/>
    </row>
    <row r="3627" spans="33:33">
      <c r="AG3627" s="536"/>
    </row>
    <row r="3628" spans="33:33">
      <c r="AG3628" s="536"/>
    </row>
    <row r="3629" spans="33:33">
      <c r="AG3629" s="536"/>
    </row>
    <row r="3630" spans="33:33">
      <c r="AG3630" s="536"/>
    </row>
    <row r="3631" spans="33:33">
      <c r="AG3631" s="536"/>
    </row>
    <row r="3632" spans="33:33">
      <c r="AG3632" s="536"/>
    </row>
    <row r="3633" spans="33:33">
      <c r="AG3633" s="536"/>
    </row>
    <row r="3634" spans="33:33">
      <c r="AG3634" s="536"/>
    </row>
    <row r="3635" spans="33:33">
      <c r="AG3635" s="536"/>
    </row>
    <row r="3636" spans="33:33">
      <c r="AG3636" s="536"/>
    </row>
    <row r="3637" spans="33:33">
      <c r="AG3637" s="536"/>
    </row>
    <row r="3638" spans="33:33">
      <c r="AG3638" s="536"/>
    </row>
    <row r="3639" spans="33:33">
      <c r="AG3639" s="536"/>
    </row>
    <row r="3640" spans="33:33">
      <c r="AG3640" s="536"/>
    </row>
    <row r="3641" spans="33:33">
      <c r="AG3641" s="536"/>
    </row>
    <row r="3642" spans="33:33">
      <c r="AG3642" s="536"/>
    </row>
    <row r="3643" spans="33:33">
      <c r="AG3643" s="536"/>
    </row>
    <row r="3644" spans="33:33">
      <c r="AG3644" s="536"/>
    </row>
    <row r="3645" spans="33:33">
      <c r="AG3645" s="536"/>
    </row>
    <row r="3646" spans="33:33">
      <c r="AG3646" s="536"/>
    </row>
    <row r="3647" spans="33:33">
      <c r="AG3647" s="536"/>
    </row>
    <row r="3648" spans="33:33">
      <c r="AG3648" s="536"/>
    </row>
    <row r="3649" spans="33:33">
      <c r="AG3649" s="536"/>
    </row>
    <row r="3650" spans="33:33">
      <c r="AG3650" s="536"/>
    </row>
    <row r="3651" spans="33:33">
      <c r="AG3651" s="536"/>
    </row>
    <row r="3652" spans="33:33">
      <c r="AG3652" s="536"/>
    </row>
    <row r="3653" spans="33:33">
      <c r="AG3653" s="536"/>
    </row>
    <row r="3654" spans="33:33">
      <c r="AG3654" s="536"/>
    </row>
    <row r="3655" spans="33:33">
      <c r="AG3655" s="536"/>
    </row>
    <row r="3656" spans="33:33">
      <c r="AG3656" s="536"/>
    </row>
    <row r="3657" spans="33:33">
      <c r="AG3657" s="536"/>
    </row>
    <row r="3658" spans="33:33">
      <c r="AG3658" s="536"/>
    </row>
    <row r="3659" spans="33:33">
      <c r="AG3659" s="536"/>
    </row>
    <row r="3660" spans="33:33">
      <c r="AG3660" s="536"/>
    </row>
    <row r="3661" spans="33:33">
      <c r="AG3661" s="536"/>
    </row>
    <row r="3662" spans="33:33">
      <c r="AG3662" s="536"/>
    </row>
    <row r="3663" spans="33:33">
      <c r="AG3663" s="536"/>
    </row>
    <row r="3664" spans="33:33">
      <c r="AG3664" s="536"/>
    </row>
    <row r="3665" spans="33:33">
      <c r="AG3665" s="536"/>
    </row>
    <row r="3666" spans="33:33">
      <c r="AG3666" s="536"/>
    </row>
    <row r="3667" spans="33:33">
      <c r="AG3667" s="536"/>
    </row>
    <row r="3668" spans="33:33">
      <c r="AG3668" s="536"/>
    </row>
    <row r="3669" spans="33:33">
      <c r="AG3669" s="536"/>
    </row>
    <row r="3670" spans="33:33">
      <c r="AG3670" s="536"/>
    </row>
    <row r="3671" spans="33:33">
      <c r="AG3671" s="536"/>
    </row>
    <row r="3672" spans="33:33">
      <c r="AG3672" s="536"/>
    </row>
    <row r="3673" spans="33:33">
      <c r="AG3673" s="536"/>
    </row>
    <row r="3674" spans="33:33">
      <c r="AG3674" s="536"/>
    </row>
    <row r="3675" spans="33:33">
      <c r="AG3675" s="536"/>
    </row>
    <row r="3676" spans="33:33">
      <c r="AG3676" s="536"/>
    </row>
    <row r="3677" spans="33:33">
      <c r="AG3677" s="536"/>
    </row>
    <row r="3678" spans="33:33">
      <c r="AG3678" s="536"/>
    </row>
    <row r="3679" spans="33:33">
      <c r="AG3679" s="536"/>
    </row>
    <row r="3680" spans="33:33">
      <c r="AG3680" s="536"/>
    </row>
    <row r="3681" spans="33:33">
      <c r="AG3681" s="536"/>
    </row>
    <row r="3682" spans="33:33">
      <c r="AG3682" s="536"/>
    </row>
    <row r="3683" spans="33:33">
      <c r="AG3683" s="536"/>
    </row>
    <row r="3684" spans="33:33">
      <c r="AG3684" s="536"/>
    </row>
    <row r="3685" spans="33:33">
      <c r="AG3685" s="536"/>
    </row>
    <row r="3686" spans="33:33">
      <c r="AG3686" s="536"/>
    </row>
    <row r="3687" spans="33:33">
      <c r="AG3687" s="536"/>
    </row>
    <row r="3688" spans="33:33">
      <c r="AG3688" s="536"/>
    </row>
    <row r="3689" spans="33:33">
      <c r="AG3689" s="536"/>
    </row>
    <row r="3690" spans="33:33">
      <c r="AG3690" s="536"/>
    </row>
    <row r="3691" spans="33:33">
      <c r="AG3691" s="536"/>
    </row>
    <row r="3692" spans="33:33">
      <c r="AG3692" s="536"/>
    </row>
    <row r="3693" spans="33:33">
      <c r="AG3693" s="536"/>
    </row>
    <row r="3694" spans="33:33">
      <c r="AG3694" s="536"/>
    </row>
    <row r="3695" spans="33:33">
      <c r="AG3695" s="536"/>
    </row>
    <row r="3696" spans="33:33">
      <c r="AG3696" s="536"/>
    </row>
    <row r="3697" spans="33:33">
      <c r="AG3697" s="536"/>
    </row>
    <row r="3698" spans="33:33">
      <c r="AG3698" s="536"/>
    </row>
    <row r="3699" spans="33:33">
      <c r="AG3699" s="536"/>
    </row>
    <row r="3700" spans="33:33">
      <c r="AG3700" s="536"/>
    </row>
    <row r="3701" spans="33:33">
      <c r="AG3701" s="536"/>
    </row>
    <row r="3702" spans="33:33">
      <c r="AG3702" s="536"/>
    </row>
    <row r="3703" spans="33:33">
      <c r="AG3703" s="536"/>
    </row>
    <row r="3704" spans="33:33">
      <c r="AG3704" s="536"/>
    </row>
    <row r="3705" spans="33:33">
      <c r="AG3705" s="536"/>
    </row>
    <row r="3706" spans="33:33">
      <c r="AG3706" s="536"/>
    </row>
    <row r="3707" spans="33:33">
      <c r="AG3707" s="536"/>
    </row>
    <row r="3708" spans="33:33">
      <c r="AG3708" s="536"/>
    </row>
    <row r="3709" spans="33:33">
      <c r="AG3709" s="536"/>
    </row>
    <row r="3710" spans="33:33">
      <c r="AG3710" s="536"/>
    </row>
    <row r="3711" spans="33:33">
      <c r="AG3711" s="536"/>
    </row>
    <row r="3712" spans="33:33">
      <c r="AG3712" s="536"/>
    </row>
    <row r="3713" spans="33:33">
      <c r="AG3713" s="536"/>
    </row>
    <row r="3714" spans="33:33">
      <c r="AG3714" s="536"/>
    </row>
    <row r="3715" spans="33:33">
      <c r="AG3715" s="536"/>
    </row>
    <row r="3716" spans="33:33">
      <c r="AG3716" s="536"/>
    </row>
    <row r="3717" spans="33:33">
      <c r="AG3717" s="536"/>
    </row>
    <row r="3718" spans="33:33">
      <c r="AG3718" s="536"/>
    </row>
    <row r="3719" spans="33:33">
      <c r="AG3719" s="536"/>
    </row>
    <row r="3720" spans="33:33">
      <c r="AG3720" s="536"/>
    </row>
    <row r="3721" spans="33:33">
      <c r="AG3721" s="536"/>
    </row>
    <row r="3722" spans="33:33">
      <c r="AG3722" s="536"/>
    </row>
    <row r="3723" spans="33:33">
      <c r="AG3723" s="536"/>
    </row>
    <row r="3724" spans="33:33">
      <c r="AG3724" s="536"/>
    </row>
    <row r="3725" spans="33:33">
      <c r="AG3725" s="536"/>
    </row>
    <row r="3726" spans="33:33">
      <c r="AG3726" s="536"/>
    </row>
    <row r="3727" spans="33:33">
      <c r="AG3727" s="536"/>
    </row>
    <row r="3728" spans="33:33">
      <c r="AG3728" s="536"/>
    </row>
    <row r="3729" spans="33:33">
      <c r="AG3729" s="536"/>
    </row>
    <row r="3730" spans="33:33">
      <c r="AG3730" s="536"/>
    </row>
    <row r="3731" spans="33:33">
      <c r="AG3731" s="536"/>
    </row>
    <row r="3732" spans="33:33">
      <c r="AG3732" s="536"/>
    </row>
    <row r="3733" spans="33:33">
      <c r="AG3733" s="536"/>
    </row>
    <row r="3734" spans="33:33">
      <c r="AG3734" s="536"/>
    </row>
    <row r="3735" spans="33:33">
      <c r="AG3735" s="536"/>
    </row>
    <row r="3736" spans="33:33">
      <c r="AG3736" s="536"/>
    </row>
    <row r="3737" spans="33:33">
      <c r="AG3737" s="536"/>
    </row>
    <row r="3738" spans="33:33">
      <c r="AG3738" s="536"/>
    </row>
    <row r="3739" spans="33:33">
      <c r="AG3739" s="536"/>
    </row>
    <row r="3740" spans="33:33">
      <c r="AG3740" s="536"/>
    </row>
    <row r="3741" spans="33:33">
      <c r="AG3741" s="536"/>
    </row>
    <row r="3742" spans="33:33">
      <c r="AG3742" s="536"/>
    </row>
    <row r="3743" spans="33:33">
      <c r="AG3743" s="536"/>
    </row>
    <row r="3744" spans="33:33">
      <c r="AG3744" s="536"/>
    </row>
    <row r="3745" spans="33:33">
      <c r="AG3745" s="536"/>
    </row>
    <row r="3746" spans="33:33">
      <c r="AG3746" s="536"/>
    </row>
    <row r="3747" spans="33:33">
      <c r="AG3747" s="536"/>
    </row>
    <row r="3748" spans="33:33">
      <c r="AG3748" s="536"/>
    </row>
    <row r="3749" spans="33:33">
      <c r="AG3749" s="536"/>
    </row>
    <row r="3750" spans="33:33">
      <c r="AG3750" s="536"/>
    </row>
    <row r="3751" spans="33:33">
      <c r="AG3751" s="536"/>
    </row>
    <row r="3752" spans="33:33">
      <c r="AG3752" s="536"/>
    </row>
    <row r="3753" spans="33:33">
      <c r="AG3753" s="536"/>
    </row>
    <row r="3754" spans="33:33">
      <c r="AG3754" s="536"/>
    </row>
    <row r="3755" spans="33:33">
      <c r="AG3755" s="536"/>
    </row>
    <row r="3756" spans="33:33">
      <c r="AG3756" s="536"/>
    </row>
    <row r="3757" spans="33:33">
      <c r="AG3757" s="536"/>
    </row>
    <row r="3758" spans="33:33">
      <c r="AG3758" s="536"/>
    </row>
    <row r="3759" spans="33:33">
      <c r="AG3759" s="536"/>
    </row>
    <row r="3760" spans="33:33">
      <c r="AG3760" s="536"/>
    </row>
    <row r="3761" spans="33:33">
      <c r="AG3761" s="536"/>
    </row>
    <row r="3762" spans="33:33">
      <c r="AG3762" s="536"/>
    </row>
    <row r="3763" spans="33:33">
      <c r="AG3763" s="536"/>
    </row>
    <row r="3764" spans="33:33">
      <c r="AG3764" s="536"/>
    </row>
    <row r="3765" spans="33:33">
      <c r="AG3765" s="536"/>
    </row>
    <row r="3766" spans="33:33">
      <c r="AG3766" s="536"/>
    </row>
    <row r="3767" spans="33:33">
      <c r="AG3767" s="536"/>
    </row>
    <row r="3768" spans="33:33">
      <c r="AG3768" s="536"/>
    </row>
    <row r="3769" spans="33:33">
      <c r="AG3769" s="536"/>
    </row>
    <row r="3770" spans="33:33">
      <c r="AG3770" s="536"/>
    </row>
    <row r="3771" spans="33:33">
      <c r="AG3771" s="536"/>
    </row>
    <row r="3772" spans="33:33">
      <c r="AG3772" s="536"/>
    </row>
    <row r="3773" spans="33:33">
      <c r="AG3773" s="536"/>
    </row>
    <row r="3774" spans="33:33">
      <c r="AG3774" s="536"/>
    </row>
    <row r="3775" spans="33:33">
      <c r="AG3775" s="536"/>
    </row>
    <row r="3776" spans="33:33">
      <c r="AG3776" s="536"/>
    </row>
    <row r="3777" spans="33:33">
      <c r="AG3777" s="536"/>
    </row>
    <row r="3778" spans="33:33">
      <c r="AG3778" s="536"/>
    </row>
    <row r="3779" spans="33:33">
      <c r="AG3779" s="536"/>
    </row>
    <row r="3780" spans="33:33">
      <c r="AG3780" s="536"/>
    </row>
    <row r="3781" spans="33:33">
      <c r="AG3781" s="536"/>
    </row>
    <row r="3782" spans="33:33">
      <c r="AG3782" s="536"/>
    </row>
    <row r="3783" spans="33:33">
      <c r="AG3783" s="536"/>
    </row>
    <row r="3784" spans="33:33">
      <c r="AG3784" s="536"/>
    </row>
    <row r="3785" spans="33:33">
      <c r="AG3785" s="536"/>
    </row>
    <row r="3786" spans="33:33">
      <c r="AG3786" s="536"/>
    </row>
    <row r="3787" spans="33:33">
      <c r="AG3787" s="536"/>
    </row>
    <row r="3788" spans="33:33">
      <c r="AG3788" s="536"/>
    </row>
    <row r="3789" spans="33:33">
      <c r="AG3789" s="536"/>
    </row>
    <row r="3790" spans="33:33">
      <c r="AG3790" s="536"/>
    </row>
    <row r="3791" spans="33:33">
      <c r="AG3791" s="536"/>
    </row>
    <row r="3792" spans="33:33">
      <c r="AG3792" s="536"/>
    </row>
    <row r="3793" spans="33:33">
      <c r="AG3793" s="536"/>
    </row>
    <row r="3794" spans="33:33">
      <c r="AG3794" s="536"/>
    </row>
    <row r="3795" spans="33:33">
      <c r="AG3795" s="536"/>
    </row>
    <row r="3796" spans="33:33">
      <c r="AG3796" s="536"/>
    </row>
    <row r="3797" spans="33:33">
      <c r="AG3797" s="536"/>
    </row>
    <row r="3798" spans="33:33">
      <c r="AG3798" s="536"/>
    </row>
    <row r="3799" spans="33:33">
      <c r="AG3799" s="536"/>
    </row>
    <row r="3800" spans="33:33">
      <c r="AG3800" s="536"/>
    </row>
    <row r="3801" spans="33:33">
      <c r="AG3801" s="536"/>
    </row>
    <row r="3802" spans="33:33">
      <c r="AG3802" s="536"/>
    </row>
    <row r="3803" spans="33:33">
      <c r="AG3803" s="536"/>
    </row>
    <row r="3804" spans="33:33">
      <c r="AG3804" s="536"/>
    </row>
    <row r="3805" spans="33:33">
      <c r="AG3805" s="536"/>
    </row>
    <row r="3806" spans="33:33">
      <c r="AG3806" s="536"/>
    </row>
    <row r="3807" spans="33:33">
      <c r="AG3807" s="536"/>
    </row>
    <row r="3808" spans="33:33">
      <c r="AG3808" s="536"/>
    </row>
    <row r="3809" spans="33:33">
      <c r="AG3809" s="536"/>
    </row>
    <row r="3810" spans="33:33">
      <c r="AG3810" s="536"/>
    </row>
    <row r="3811" spans="33:33">
      <c r="AG3811" s="536"/>
    </row>
    <row r="3812" spans="33:33">
      <c r="AG3812" s="536"/>
    </row>
    <row r="3813" spans="33:33">
      <c r="AG3813" s="536"/>
    </row>
    <row r="3814" spans="33:33">
      <c r="AG3814" s="536"/>
    </row>
    <row r="3815" spans="33:33">
      <c r="AG3815" s="536"/>
    </row>
    <row r="3816" spans="33:33">
      <c r="AG3816" s="536"/>
    </row>
    <row r="3817" spans="33:33">
      <c r="AG3817" s="536"/>
    </row>
    <row r="3818" spans="33:33">
      <c r="AG3818" s="536"/>
    </row>
    <row r="3819" spans="33:33">
      <c r="AG3819" s="536"/>
    </row>
    <row r="3820" spans="33:33">
      <c r="AG3820" s="536"/>
    </row>
    <row r="3821" spans="33:33">
      <c r="AG3821" s="536"/>
    </row>
    <row r="3822" spans="33:33">
      <c r="AG3822" s="536"/>
    </row>
    <row r="3823" spans="33:33">
      <c r="AG3823" s="536"/>
    </row>
    <row r="3824" spans="33:33">
      <c r="AG3824" s="536"/>
    </row>
    <row r="3825" spans="33:33">
      <c r="AG3825" s="536"/>
    </row>
    <row r="3826" spans="33:33">
      <c r="AG3826" s="536"/>
    </row>
    <row r="3827" spans="33:33">
      <c r="AG3827" s="536"/>
    </row>
    <row r="3828" spans="33:33">
      <c r="AG3828" s="536"/>
    </row>
    <row r="3829" spans="33:33">
      <c r="AG3829" s="536"/>
    </row>
    <row r="3830" spans="33:33">
      <c r="AG3830" s="536"/>
    </row>
    <row r="3831" spans="33:33">
      <c r="AG3831" s="536"/>
    </row>
    <row r="3832" spans="33:33">
      <c r="AG3832" s="536"/>
    </row>
    <row r="3833" spans="33:33">
      <c r="AG3833" s="536"/>
    </row>
    <row r="3834" spans="33:33">
      <c r="AG3834" s="536"/>
    </row>
    <row r="3835" spans="33:33">
      <c r="AG3835" s="536"/>
    </row>
    <row r="3836" spans="33:33">
      <c r="AG3836" s="536"/>
    </row>
    <row r="3837" spans="33:33">
      <c r="AG3837" s="536"/>
    </row>
    <row r="3838" spans="33:33">
      <c r="AG3838" s="536"/>
    </row>
    <row r="3839" spans="33:33">
      <c r="AG3839" s="536"/>
    </row>
    <row r="3840" spans="33:33">
      <c r="AG3840" s="536"/>
    </row>
    <row r="3841" spans="33:33">
      <c r="AG3841" s="536"/>
    </row>
    <row r="3842" spans="33:33">
      <c r="AG3842" s="536"/>
    </row>
    <row r="3843" spans="33:33">
      <c r="AG3843" s="536"/>
    </row>
    <row r="3844" spans="33:33">
      <c r="AG3844" s="536"/>
    </row>
    <row r="3845" spans="33:33">
      <c r="AG3845" s="536"/>
    </row>
    <row r="3846" spans="33:33">
      <c r="AG3846" s="536"/>
    </row>
    <row r="3847" spans="33:33">
      <c r="AG3847" s="536"/>
    </row>
    <row r="3848" spans="33:33">
      <c r="AG3848" s="536"/>
    </row>
    <row r="3849" spans="33:33">
      <c r="AG3849" s="536"/>
    </row>
    <row r="3850" spans="33:33">
      <c r="AG3850" s="536"/>
    </row>
    <row r="3851" spans="33:33">
      <c r="AG3851" s="536"/>
    </row>
    <row r="3852" spans="33:33">
      <c r="AG3852" s="536"/>
    </row>
    <row r="3853" spans="33:33">
      <c r="AG3853" s="536"/>
    </row>
    <row r="3854" spans="33:33">
      <c r="AG3854" s="536"/>
    </row>
    <row r="3855" spans="33:33">
      <c r="AG3855" s="536"/>
    </row>
    <row r="3856" spans="33:33">
      <c r="AG3856" s="536"/>
    </row>
    <row r="3857" spans="33:33">
      <c r="AG3857" s="536"/>
    </row>
    <row r="3858" spans="33:33">
      <c r="AG3858" s="536"/>
    </row>
    <row r="3859" spans="33:33">
      <c r="AG3859" s="536"/>
    </row>
    <row r="3860" spans="33:33">
      <c r="AG3860" s="536"/>
    </row>
    <row r="3861" spans="33:33">
      <c r="AG3861" s="536"/>
    </row>
    <row r="3862" spans="33:33">
      <c r="AG3862" s="536"/>
    </row>
    <row r="3863" spans="33:33">
      <c r="AG3863" s="536"/>
    </row>
    <row r="3864" spans="33:33">
      <c r="AG3864" s="536"/>
    </row>
    <row r="3865" spans="33:33">
      <c r="AG3865" s="536"/>
    </row>
    <row r="3866" spans="33:33">
      <c r="AG3866" s="536"/>
    </row>
    <row r="3867" spans="33:33">
      <c r="AG3867" s="536"/>
    </row>
    <row r="3868" spans="33:33">
      <c r="AG3868" s="536"/>
    </row>
    <row r="3869" spans="33:33">
      <c r="AG3869" s="536"/>
    </row>
    <row r="3870" spans="33:33">
      <c r="AG3870" s="536"/>
    </row>
    <row r="3871" spans="33:33">
      <c r="AG3871" s="536"/>
    </row>
    <row r="3872" spans="33:33">
      <c r="AG3872" s="536"/>
    </row>
    <row r="3873" spans="33:33">
      <c r="AG3873" s="536"/>
    </row>
    <row r="3874" spans="33:33">
      <c r="AG3874" s="536"/>
    </row>
    <row r="3875" spans="33:33">
      <c r="AG3875" s="536"/>
    </row>
    <row r="3876" spans="33:33">
      <c r="AG3876" s="536"/>
    </row>
    <row r="3877" spans="33:33">
      <c r="AG3877" s="536"/>
    </row>
    <row r="3878" spans="33:33">
      <c r="AG3878" s="536"/>
    </row>
    <row r="3879" spans="33:33">
      <c r="AG3879" s="536"/>
    </row>
    <row r="3880" spans="33:33">
      <c r="AG3880" s="536"/>
    </row>
    <row r="3881" spans="33:33">
      <c r="AG3881" s="536"/>
    </row>
    <row r="3882" spans="33:33">
      <c r="AG3882" s="536"/>
    </row>
    <row r="3883" spans="33:33">
      <c r="AG3883" s="536"/>
    </row>
    <row r="3884" spans="33:33">
      <c r="AG3884" s="536"/>
    </row>
    <row r="3885" spans="33:33">
      <c r="AG3885" s="536"/>
    </row>
    <row r="3886" spans="33:33">
      <c r="AG3886" s="536"/>
    </row>
    <row r="3887" spans="33:33">
      <c r="AG3887" s="536"/>
    </row>
    <row r="3888" spans="33:33">
      <c r="AG3888" s="536"/>
    </row>
    <row r="3889" spans="33:33">
      <c r="AG3889" s="536"/>
    </row>
    <row r="3890" spans="33:33">
      <c r="AG3890" s="536"/>
    </row>
    <row r="3891" spans="33:33">
      <c r="AG3891" s="536"/>
    </row>
    <row r="3892" spans="33:33">
      <c r="AG3892" s="536"/>
    </row>
    <row r="3893" spans="33:33">
      <c r="AG3893" s="536"/>
    </row>
    <row r="3894" spans="33:33">
      <c r="AG3894" s="536"/>
    </row>
    <row r="3895" spans="33:33">
      <c r="AG3895" s="536"/>
    </row>
    <row r="3896" spans="33:33">
      <c r="AG3896" s="536"/>
    </row>
    <row r="3897" spans="33:33">
      <c r="AG3897" s="536"/>
    </row>
    <row r="3898" spans="33:33">
      <c r="AG3898" s="536"/>
    </row>
    <row r="3899" spans="33:33">
      <c r="AG3899" s="536"/>
    </row>
    <row r="3900" spans="33:33">
      <c r="AG3900" s="536"/>
    </row>
    <row r="3901" spans="33:33">
      <c r="AG3901" s="536"/>
    </row>
    <row r="3902" spans="33:33">
      <c r="AG3902" s="536"/>
    </row>
    <row r="3903" spans="33:33">
      <c r="AG3903" s="536"/>
    </row>
    <row r="3904" spans="33:33">
      <c r="AG3904" s="536"/>
    </row>
    <row r="3905" spans="33:33">
      <c r="AG3905" s="536"/>
    </row>
    <row r="3906" spans="33:33">
      <c r="AG3906" s="536"/>
    </row>
    <row r="3907" spans="33:33">
      <c r="AG3907" s="536"/>
    </row>
    <row r="3908" spans="33:33">
      <c r="AG3908" s="536"/>
    </row>
    <row r="3909" spans="33:33">
      <c r="AG3909" s="536"/>
    </row>
    <row r="3910" spans="33:33">
      <c r="AG3910" s="536"/>
    </row>
    <row r="3911" spans="33:33">
      <c r="AG3911" s="536"/>
    </row>
    <row r="3912" spans="33:33">
      <c r="AG3912" s="536"/>
    </row>
    <row r="3913" spans="33:33">
      <c r="AG3913" s="536"/>
    </row>
    <row r="3914" spans="33:33">
      <c r="AG3914" s="536"/>
    </row>
    <row r="3915" spans="33:33">
      <c r="AG3915" s="536"/>
    </row>
    <row r="3916" spans="33:33">
      <c r="AG3916" s="536"/>
    </row>
    <row r="3917" spans="33:33">
      <c r="AG3917" s="536"/>
    </row>
    <row r="3918" spans="33:33">
      <c r="AG3918" s="536"/>
    </row>
    <row r="3919" spans="33:33">
      <c r="AG3919" s="536"/>
    </row>
    <row r="3920" spans="33:33">
      <c r="AG3920" s="536"/>
    </row>
    <row r="3921" spans="33:33">
      <c r="AG3921" s="536"/>
    </row>
    <row r="3922" spans="33:33">
      <c r="AG3922" s="536"/>
    </row>
    <row r="3923" spans="33:33">
      <c r="AG3923" s="536"/>
    </row>
    <row r="3924" spans="33:33">
      <c r="AG3924" s="536"/>
    </row>
    <row r="3925" spans="33:33">
      <c r="AG3925" s="536"/>
    </row>
    <row r="3926" spans="33:33">
      <c r="AG3926" s="536"/>
    </row>
    <row r="3927" spans="33:33">
      <c r="AG3927" s="536"/>
    </row>
    <row r="3928" spans="33:33">
      <c r="AG3928" s="536"/>
    </row>
    <row r="3929" spans="33:33">
      <c r="AG3929" s="536"/>
    </row>
    <row r="3930" spans="33:33">
      <c r="AG3930" s="536"/>
    </row>
    <row r="3931" spans="33:33">
      <c r="AG3931" s="536"/>
    </row>
    <row r="3932" spans="33:33">
      <c r="AG3932" s="536"/>
    </row>
    <row r="3933" spans="33:33">
      <c r="AG3933" s="536"/>
    </row>
    <row r="3934" spans="33:33">
      <c r="AG3934" s="536"/>
    </row>
    <row r="3935" spans="33:33">
      <c r="AG3935" s="536"/>
    </row>
    <row r="3936" spans="33:33">
      <c r="AG3936" s="536"/>
    </row>
    <row r="3937" spans="33:33">
      <c r="AG3937" s="536"/>
    </row>
    <row r="3938" spans="33:33">
      <c r="AG3938" s="536"/>
    </row>
    <row r="3939" spans="33:33">
      <c r="AG3939" s="536"/>
    </row>
    <row r="3940" spans="33:33">
      <c r="AG3940" s="536"/>
    </row>
    <row r="3941" spans="33:33">
      <c r="AG3941" s="536"/>
    </row>
    <row r="3942" spans="33:33">
      <c r="AG3942" s="536"/>
    </row>
    <row r="3943" spans="33:33">
      <c r="AG3943" s="536"/>
    </row>
    <row r="3944" spans="33:33">
      <c r="AG3944" s="536"/>
    </row>
    <row r="3945" spans="33:33">
      <c r="AG3945" s="536"/>
    </row>
    <row r="3946" spans="33:33">
      <c r="AG3946" s="536"/>
    </row>
    <row r="3947" spans="33:33">
      <c r="AG3947" s="536"/>
    </row>
    <row r="3948" spans="33:33">
      <c r="AG3948" s="536"/>
    </row>
    <row r="3949" spans="33:33">
      <c r="AG3949" s="536"/>
    </row>
    <row r="3950" spans="33:33">
      <c r="AG3950" s="536"/>
    </row>
    <row r="3951" spans="33:33">
      <c r="AG3951" s="536"/>
    </row>
    <row r="3952" spans="33:33">
      <c r="AG3952" s="536"/>
    </row>
    <row r="3953" spans="33:33">
      <c r="AG3953" s="536"/>
    </row>
    <row r="3954" spans="33:33">
      <c r="AG3954" s="536"/>
    </row>
    <row r="3955" spans="33:33">
      <c r="AG3955" s="536"/>
    </row>
    <row r="3956" spans="33:33">
      <c r="AG3956" s="536"/>
    </row>
    <row r="3957" spans="33:33">
      <c r="AG3957" s="536"/>
    </row>
    <row r="3958" spans="33:33">
      <c r="AG3958" s="536"/>
    </row>
    <row r="3959" spans="33:33">
      <c r="AG3959" s="536"/>
    </row>
    <row r="3960" spans="33:33">
      <c r="AG3960" s="536"/>
    </row>
    <row r="3961" spans="33:33">
      <c r="AG3961" s="536"/>
    </row>
    <row r="3962" spans="33:33">
      <c r="AG3962" s="536"/>
    </row>
    <row r="3963" spans="33:33">
      <c r="AG3963" s="536"/>
    </row>
    <row r="3964" spans="33:33">
      <c r="AG3964" s="536"/>
    </row>
    <row r="3965" spans="33:33">
      <c r="AG3965" s="536"/>
    </row>
    <row r="3966" spans="33:33">
      <c r="AG3966" s="536"/>
    </row>
    <row r="3967" spans="33:33">
      <c r="AG3967" s="536"/>
    </row>
    <row r="3968" spans="33:33">
      <c r="AG3968" s="536"/>
    </row>
    <row r="3969" spans="33:33">
      <c r="AG3969" s="536"/>
    </row>
    <row r="3970" spans="33:33">
      <c r="AG3970" s="536"/>
    </row>
    <row r="3971" spans="33:33">
      <c r="AG3971" s="536"/>
    </row>
    <row r="3972" spans="33:33">
      <c r="AG3972" s="536"/>
    </row>
    <row r="3973" spans="33:33">
      <c r="AG3973" s="536"/>
    </row>
    <row r="3974" spans="33:33">
      <c r="AG3974" s="536"/>
    </row>
    <row r="3975" spans="33:33">
      <c r="AG3975" s="536"/>
    </row>
    <row r="3976" spans="33:33">
      <c r="AG3976" s="536"/>
    </row>
    <row r="3977" spans="33:33">
      <c r="AG3977" s="536"/>
    </row>
    <row r="3978" spans="33:33">
      <c r="AG3978" s="536"/>
    </row>
    <row r="3979" spans="33:33">
      <c r="AG3979" s="536"/>
    </row>
    <row r="3980" spans="33:33">
      <c r="AG3980" s="536"/>
    </row>
    <row r="3981" spans="33:33">
      <c r="AG3981" s="536"/>
    </row>
    <row r="3982" spans="33:33">
      <c r="AG3982" s="536"/>
    </row>
    <row r="3983" spans="33:33">
      <c r="AG3983" s="536"/>
    </row>
    <row r="3984" spans="33:33">
      <c r="AG3984" s="536"/>
    </row>
    <row r="3985" spans="33:33">
      <c r="AG3985" s="536"/>
    </row>
    <row r="3986" spans="33:33">
      <c r="AG3986" s="536"/>
    </row>
    <row r="3987" spans="33:33">
      <c r="AG3987" s="536"/>
    </row>
    <row r="3988" spans="33:33">
      <c r="AG3988" s="536"/>
    </row>
    <row r="3989" spans="33:33">
      <c r="AG3989" s="536"/>
    </row>
    <row r="3990" spans="33:33">
      <c r="AG3990" s="536"/>
    </row>
    <row r="3991" spans="33:33">
      <c r="AG3991" s="536"/>
    </row>
    <row r="3992" spans="33:33">
      <c r="AG3992" s="536"/>
    </row>
    <row r="3993" spans="33:33">
      <c r="AG3993" s="536"/>
    </row>
    <row r="3994" spans="33:33">
      <c r="AG3994" s="536"/>
    </row>
    <row r="3995" spans="33:33">
      <c r="AG3995" s="536"/>
    </row>
    <row r="3996" spans="33:33">
      <c r="AG3996" s="536"/>
    </row>
    <row r="3997" spans="33:33">
      <c r="AG3997" s="536"/>
    </row>
    <row r="3998" spans="33:33">
      <c r="AG3998" s="536"/>
    </row>
    <row r="3999" spans="33:33">
      <c r="AG3999" s="536"/>
    </row>
    <row r="4000" spans="33:33">
      <c r="AG4000" s="536"/>
    </row>
    <row r="4001" spans="33:33">
      <c r="AG4001" s="536"/>
    </row>
    <row r="4002" spans="33:33">
      <c r="AG4002" s="536"/>
    </row>
    <row r="4003" spans="33:33">
      <c r="AG4003" s="536"/>
    </row>
    <row r="4004" spans="33:33">
      <c r="AG4004" s="536"/>
    </row>
    <row r="4005" spans="33:33">
      <c r="AG4005" s="536"/>
    </row>
    <row r="4006" spans="33:33">
      <c r="AG4006" s="536"/>
    </row>
    <row r="4007" spans="33:33">
      <c r="AG4007" s="536"/>
    </row>
    <row r="4008" spans="33:33">
      <c r="AG4008" s="536"/>
    </row>
    <row r="4009" spans="33:33">
      <c r="AG4009" s="536"/>
    </row>
    <row r="4010" spans="33:33">
      <c r="AG4010" s="536"/>
    </row>
    <row r="4011" spans="33:33">
      <c r="AG4011" s="536"/>
    </row>
    <row r="4012" spans="33:33">
      <c r="AG4012" s="536"/>
    </row>
    <row r="4013" spans="33:33">
      <c r="AG4013" s="536"/>
    </row>
    <row r="4014" spans="33:33">
      <c r="AG4014" s="536"/>
    </row>
    <row r="4015" spans="33:33">
      <c r="AG4015" s="536"/>
    </row>
    <row r="4016" spans="33:33">
      <c r="AG4016" s="536"/>
    </row>
    <row r="4017" spans="33:33">
      <c r="AG4017" s="536"/>
    </row>
    <row r="4018" spans="33:33">
      <c r="AG4018" s="536"/>
    </row>
    <row r="4019" spans="33:33">
      <c r="AG4019" s="536"/>
    </row>
    <row r="4020" spans="33:33">
      <c r="AG4020" s="536"/>
    </row>
    <row r="4021" spans="33:33">
      <c r="AG4021" s="536"/>
    </row>
    <row r="4022" spans="33:33">
      <c r="AG4022" s="536"/>
    </row>
    <row r="4023" spans="33:33">
      <c r="AG4023" s="536"/>
    </row>
    <row r="4024" spans="33:33">
      <c r="AG4024" s="536"/>
    </row>
    <row r="4025" spans="33:33">
      <c r="AG4025" s="536"/>
    </row>
    <row r="4026" spans="33:33">
      <c r="AG4026" s="536"/>
    </row>
    <row r="4027" spans="33:33">
      <c r="AG4027" s="536"/>
    </row>
    <row r="4028" spans="33:33">
      <c r="AG4028" s="536"/>
    </row>
    <row r="4029" spans="33:33">
      <c r="AG4029" s="536"/>
    </row>
    <row r="4030" spans="33:33">
      <c r="AG4030" s="536"/>
    </row>
    <row r="4031" spans="33:33">
      <c r="AG4031" s="536"/>
    </row>
    <row r="4032" spans="33:33">
      <c r="AG4032" s="536"/>
    </row>
    <row r="4033" spans="33:33">
      <c r="AG4033" s="536"/>
    </row>
    <row r="4034" spans="33:33">
      <c r="AG4034" s="536"/>
    </row>
    <row r="4035" spans="33:33">
      <c r="AG4035" s="536"/>
    </row>
    <row r="4036" spans="33:33">
      <c r="AG4036" s="536"/>
    </row>
    <row r="4037" spans="33:33">
      <c r="AG4037" s="536"/>
    </row>
    <row r="4038" spans="33:33">
      <c r="AG4038" s="536"/>
    </row>
    <row r="4039" spans="33:33">
      <c r="AG4039" s="536"/>
    </row>
    <row r="4040" spans="33:33">
      <c r="AG4040" s="536"/>
    </row>
    <row r="4041" spans="33:33">
      <c r="AG4041" s="536"/>
    </row>
    <row r="4042" spans="33:33">
      <c r="AG4042" s="536"/>
    </row>
    <row r="4043" spans="33:33">
      <c r="AG4043" s="536"/>
    </row>
    <row r="4044" spans="33:33">
      <c r="AG4044" s="536"/>
    </row>
    <row r="4045" spans="33:33">
      <c r="AG4045" s="536"/>
    </row>
    <row r="4046" spans="33:33">
      <c r="AG4046" s="536"/>
    </row>
    <row r="4047" spans="33:33">
      <c r="AG4047" s="536"/>
    </row>
    <row r="4048" spans="33:33">
      <c r="AG4048" s="536"/>
    </row>
    <row r="4049" spans="33:33">
      <c r="AG4049" s="536"/>
    </row>
    <row r="4050" spans="33:33">
      <c r="AG4050" s="536"/>
    </row>
    <row r="4051" spans="33:33">
      <c r="AG4051" s="536"/>
    </row>
    <row r="4052" spans="33:33">
      <c r="AG4052" s="536"/>
    </row>
    <row r="4053" spans="33:33">
      <c r="AG4053" s="536"/>
    </row>
    <row r="4054" spans="33:33">
      <c r="AG4054" s="536"/>
    </row>
    <row r="4055" spans="33:33">
      <c r="AG4055" s="536"/>
    </row>
    <row r="4056" spans="33:33">
      <c r="AG4056" s="536"/>
    </row>
    <row r="4057" spans="33:33">
      <c r="AG4057" s="536"/>
    </row>
    <row r="4058" spans="33:33">
      <c r="AG4058" s="536"/>
    </row>
    <row r="4059" spans="33:33">
      <c r="AG4059" s="536"/>
    </row>
    <row r="4060" spans="33:33">
      <c r="AG4060" s="536"/>
    </row>
    <row r="4061" spans="33:33">
      <c r="AG4061" s="536"/>
    </row>
    <row r="4062" spans="33:33">
      <c r="AG4062" s="536"/>
    </row>
    <row r="4063" spans="33:33">
      <c r="AG4063" s="536"/>
    </row>
    <row r="4064" spans="33:33">
      <c r="AG4064" s="536"/>
    </row>
    <row r="4065" spans="33:33">
      <c r="AG4065" s="536"/>
    </row>
    <row r="4066" spans="33:33">
      <c r="AG4066" s="536"/>
    </row>
    <row r="4067" spans="33:33">
      <c r="AG4067" s="536"/>
    </row>
    <row r="4068" spans="33:33">
      <c r="AG4068" s="536"/>
    </row>
    <row r="4069" spans="33:33">
      <c r="AG4069" s="536"/>
    </row>
    <row r="4070" spans="33:33">
      <c r="AG4070" s="536"/>
    </row>
    <row r="4071" spans="33:33">
      <c r="AG4071" s="536"/>
    </row>
    <row r="4072" spans="33:33">
      <c r="AG4072" s="536"/>
    </row>
    <row r="4073" spans="33:33">
      <c r="AG4073" s="536"/>
    </row>
    <row r="4074" spans="33:33">
      <c r="AG4074" s="536"/>
    </row>
    <row r="4075" spans="33:33">
      <c r="AG4075" s="536"/>
    </row>
    <row r="4076" spans="33:33">
      <c r="AG4076" s="536"/>
    </row>
    <row r="4077" spans="33:33">
      <c r="AG4077" s="536"/>
    </row>
    <row r="4078" spans="33:33">
      <c r="AG4078" s="536"/>
    </row>
    <row r="4079" spans="33:33">
      <c r="AG4079" s="536"/>
    </row>
    <row r="4080" spans="33:33">
      <c r="AG4080" s="536"/>
    </row>
    <row r="4081" spans="33:33">
      <c r="AG4081" s="536"/>
    </row>
    <row r="4082" spans="33:33">
      <c r="AG4082" s="536"/>
    </row>
    <row r="4083" spans="33:33">
      <c r="AG4083" s="536"/>
    </row>
    <row r="4084" spans="33:33">
      <c r="AG4084" s="536"/>
    </row>
    <row r="4085" spans="33:33">
      <c r="AG4085" s="536"/>
    </row>
    <row r="4086" spans="33:33">
      <c r="AG4086" s="536"/>
    </row>
    <row r="4087" spans="33:33">
      <c r="AG4087" s="536"/>
    </row>
    <row r="4088" spans="33:33">
      <c r="AG4088" s="536"/>
    </row>
    <row r="4089" spans="33:33">
      <c r="AG4089" s="536"/>
    </row>
    <row r="4090" spans="33:33">
      <c r="AG4090" s="536"/>
    </row>
    <row r="4091" spans="33:33">
      <c r="AG4091" s="536"/>
    </row>
    <row r="4092" spans="33:33">
      <c r="AG4092" s="536"/>
    </row>
    <row r="4093" spans="33:33">
      <c r="AG4093" s="536"/>
    </row>
    <row r="4094" spans="33:33">
      <c r="AG4094" s="536"/>
    </row>
    <row r="4095" spans="33:33">
      <c r="AG4095" s="536"/>
    </row>
    <row r="4096" spans="33:33">
      <c r="AG4096" s="536"/>
    </row>
    <row r="4097" spans="33:33">
      <c r="AG4097" s="536"/>
    </row>
    <row r="4098" spans="33:33">
      <c r="AG4098" s="536"/>
    </row>
    <row r="4099" spans="33:33">
      <c r="AG4099" s="536"/>
    </row>
    <row r="4100" spans="33:33">
      <c r="AG4100" s="536"/>
    </row>
    <row r="4101" spans="33:33">
      <c r="AG4101" s="536"/>
    </row>
    <row r="4102" spans="33:33">
      <c r="AG4102" s="536"/>
    </row>
    <row r="4103" spans="33:33">
      <c r="AG4103" s="536"/>
    </row>
    <row r="4104" spans="33:33">
      <c r="AG4104" s="536"/>
    </row>
    <row r="4105" spans="33:33">
      <c r="AG4105" s="536"/>
    </row>
    <row r="4106" spans="33:33">
      <c r="AG4106" s="536"/>
    </row>
    <row r="4107" spans="33:33">
      <c r="AG4107" s="536"/>
    </row>
    <row r="4108" spans="33:33">
      <c r="AG4108" s="536"/>
    </row>
    <row r="4109" spans="33:33">
      <c r="AG4109" s="536"/>
    </row>
    <row r="4110" spans="33:33">
      <c r="AG4110" s="536"/>
    </row>
    <row r="4111" spans="33:33">
      <c r="AG4111" s="536"/>
    </row>
    <row r="4112" spans="33:33">
      <c r="AG4112" s="536"/>
    </row>
    <row r="4113" spans="33:33">
      <c r="AG4113" s="536"/>
    </row>
    <row r="4114" spans="33:33">
      <c r="AG4114" s="536"/>
    </row>
    <row r="4115" spans="33:33">
      <c r="AG4115" s="536"/>
    </row>
    <row r="4116" spans="33:33">
      <c r="AG4116" s="536"/>
    </row>
    <row r="4117" spans="33:33">
      <c r="AG4117" s="536"/>
    </row>
    <row r="4118" spans="33:33">
      <c r="AG4118" s="536"/>
    </row>
    <row r="4119" spans="33:33">
      <c r="AG4119" s="536"/>
    </row>
    <row r="4120" spans="33:33">
      <c r="AG4120" s="536"/>
    </row>
    <row r="4121" spans="33:33">
      <c r="AG4121" s="536"/>
    </row>
    <row r="4122" spans="33:33">
      <c r="AG4122" s="536"/>
    </row>
    <row r="4123" spans="33:33">
      <c r="AG4123" s="536"/>
    </row>
    <row r="4124" spans="33:33">
      <c r="AG4124" s="536"/>
    </row>
    <row r="4125" spans="33:33">
      <c r="AG4125" s="536"/>
    </row>
    <row r="4126" spans="33:33">
      <c r="AG4126" s="536"/>
    </row>
    <row r="4127" spans="33:33">
      <c r="AG4127" s="536"/>
    </row>
    <row r="4128" spans="33:33">
      <c r="AG4128" s="536"/>
    </row>
    <row r="4129" spans="33:33">
      <c r="AG4129" s="536"/>
    </row>
    <row r="4130" spans="33:33">
      <c r="AG4130" s="536"/>
    </row>
    <row r="4131" spans="33:33">
      <c r="AG4131" s="536"/>
    </row>
    <row r="4132" spans="33:33">
      <c r="AG4132" s="536"/>
    </row>
    <row r="4133" spans="33:33">
      <c r="AG4133" s="536"/>
    </row>
    <row r="4134" spans="33:33">
      <c r="AG4134" s="536"/>
    </row>
    <row r="4135" spans="33:33">
      <c r="AG4135" s="536"/>
    </row>
    <row r="4136" spans="33:33">
      <c r="AG4136" s="536"/>
    </row>
    <row r="4137" spans="33:33">
      <c r="AG4137" s="536"/>
    </row>
    <row r="4138" spans="33:33">
      <c r="AG4138" s="536"/>
    </row>
    <row r="4139" spans="33:33">
      <c r="AG4139" s="536"/>
    </row>
    <row r="4140" spans="33:33">
      <c r="AG4140" s="536"/>
    </row>
    <row r="4141" spans="33:33">
      <c r="AG4141" s="536"/>
    </row>
    <row r="4142" spans="33:33">
      <c r="AG4142" s="536"/>
    </row>
    <row r="4143" spans="33:33">
      <c r="AG4143" s="536"/>
    </row>
    <row r="4144" spans="33:33">
      <c r="AG4144" s="536"/>
    </row>
    <row r="4145" spans="33:33">
      <c r="AG4145" s="536"/>
    </row>
    <row r="4146" spans="33:33">
      <c r="AG4146" s="536"/>
    </row>
    <row r="4147" spans="33:33">
      <c r="AG4147" s="536"/>
    </row>
    <row r="4148" spans="33:33">
      <c r="AG4148" s="536"/>
    </row>
    <row r="4149" spans="33:33">
      <c r="AG4149" s="536"/>
    </row>
    <row r="4150" spans="33:33">
      <c r="AG4150" s="536"/>
    </row>
    <row r="4151" spans="33:33">
      <c r="AG4151" s="536"/>
    </row>
    <row r="4152" spans="33:33">
      <c r="AG4152" s="536"/>
    </row>
    <row r="4153" spans="33:33">
      <c r="AG4153" s="536"/>
    </row>
    <row r="4154" spans="33:33">
      <c r="AG4154" s="536"/>
    </row>
    <row r="4155" spans="33:33">
      <c r="AG4155" s="536"/>
    </row>
    <row r="4156" spans="33:33">
      <c r="AG4156" s="536"/>
    </row>
    <row r="4157" spans="33:33">
      <c r="AG4157" s="536"/>
    </row>
    <row r="4158" spans="33:33">
      <c r="AG4158" s="536"/>
    </row>
    <row r="4159" spans="33:33">
      <c r="AG4159" s="536"/>
    </row>
    <row r="4160" spans="33:33">
      <c r="AG4160" s="536"/>
    </row>
    <row r="4161" spans="33:33">
      <c r="AG4161" s="536"/>
    </row>
    <row r="4162" spans="33:33">
      <c r="AG4162" s="536"/>
    </row>
    <row r="4163" spans="33:33">
      <c r="AG4163" s="536"/>
    </row>
    <row r="4164" spans="33:33">
      <c r="AG4164" s="536"/>
    </row>
    <row r="4165" spans="33:33">
      <c r="AG4165" s="536"/>
    </row>
    <row r="4166" spans="33:33">
      <c r="AG4166" s="536"/>
    </row>
    <row r="4167" spans="33:33">
      <c r="AG4167" s="536"/>
    </row>
    <row r="4168" spans="33:33">
      <c r="AG4168" s="536"/>
    </row>
    <row r="4169" spans="33:33">
      <c r="AG4169" s="536"/>
    </row>
    <row r="4170" spans="33:33">
      <c r="AG4170" s="536"/>
    </row>
    <row r="4171" spans="33:33">
      <c r="AG4171" s="536"/>
    </row>
    <row r="4172" spans="33:33">
      <c r="AG4172" s="536"/>
    </row>
    <row r="4173" spans="33:33">
      <c r="AG4173" s="536"/>
    </row>
    <row r="4174" spans="33:33">
      <c r="AG4174" s="536"/>
    </row>
    <row r="4175" spans="33:33">
      <c r="AG4175" s="536"/>
    </row>
    <row r="4176" spans="33:33">
      <c r="AG4176" s="536"/>
    </row>
    <row r="4177" spans="33:33">
      <c r="AG4177" s="536"/>
    </row>
    <row r="4178" spans="33:33">
      <c r="AG4178" s="536"/>
    </row>
    <row r="4179" spans="33:33">
      <c r="AG4179" s="536"/>
    </row>
    <row r="4180" spans="33:33">
      <c r="AG4180" s="536"/>
    </row>
    <row r="4181" spans="33:33">
      <c r="AG4181" s="536"/>
    </row>
    <row r="4182" spans="33:33">
      <c r="AG4182" s="536"/>
    </row>
    <row r="4183" spans="33:33">
      <c r="AG4183" s="536"/>
    </row>
    <row r="4184" spans="33:33">
      <c r="AG4184" s="536"/>
    </row>
    <row r="4185" spans="33:33">
      <c r="AG4185" s="536"/>
    </row>
    <row r="4186" spans="33:33">
      <c r="AG4186" s="536"/>
    </row>
    <row r="4187" spans="33:33">
      <c r="AG4187" s="536"/>
    </row>
    <row r="4188" spans="33:33">
      <c r="AG4188" s="536"/>
    </row>
    <row r="4189" spans="33:33">
      <c r="AG4189" s="536"/>
    </row>
    <row r="4190" spans="33:33">
      <c r="AG4190" s="536"/>
    </row>
    <row r="4191" spans="33:33">
      <c r="AG4191" s="536"/>
    </row>
    <row r="4192" spans="33:33">
      <c r="AG4192" s="536"/>
    </row>
    <row r="4193" spans="33:33">
      <c r="AG4193" s="536"/>
    </row>
    <row r="4194" spans="33:33">
      <c r="AG4194" s="536"/>
    </row>
    <row r="4195" spans="33:33">
      <c r="AG4195" s="536"/>
    </row>
    <row r="4196" spans="33:33">
      <c r="AG4196" s="536"/>
    </row>
    <row r="4197" spans="33:33">
      <c r="AG4197" s="536"/>
    </row>
    <row r="4198" spans="33:33">
      <c r="AG4198" s="536"/>
    </row>
    <row r="4199" spans="33:33">
      <c r="AG4199" s="536"/>
    </row>
    <row r="4200" spans="33:33">
      <c r="AG4200" s="536"/>
    </row>
    <row r="4201" spans="33:33">
      <c r="AG4201" s="536"/>
    </row>
    <row r="4202" spans="33:33">
      <c r="AG4202" s="536"/>
    </row>
    <row r="4203" spans="33:33">
      <c r="AG4203" s="536"/>
    </row>
    <row r="4204" spans="33:33">
      <c r="AG4204" s="536"/>
    </row>
    <row r="4205" spans="33:33">
      <c r="AG4205" s="536"/>
    </row>
    <row r="4206" spans="33:33">
      <c r="AG4206" s="536"/>
    </row>
    <row r="4207" spans="33:33">
      <c r="AG4207" s="536"/>
    </row>
    <row r="4208" spans="33:33">
      <c r="AG4208" s="536"/>
    </row>
    <row r="4209" spans="33:33">
      <c r="AG4209" s="536"/>
    </row>
    <row r="4210" spans="33:33">
      <c r="AG4210" s="536"/>
    </row>
    <row r="4211" spans="33:33">
      <c r="AG4211" s="536"/>
    </row>
    <row r="4212" spans="33:33">
      <c r="AG4212" s="536"/>
    </row>
    <row r="4213" spans="33:33">
      <c r="AG4213" s="536"/>
    </row>
    <row r="4214" spans="33:33">
      <c r="AG4214" s="536"/>
    </row>
    <row r="4215" spans="33:33">
      <c r="AG4215" s="536"/>
    </row>
    <row r="4216" spans="33:33">
      <c r="AG4216" s="536"/>
    </row>
    <row r="4217" spans="33:33">
      <c r="AG4217" s="536"/>
    </row>
    <row r="4218" spans="33:33">
      <c r="AG4218" s="536"/>
    </row>
    <row r="4219" spans="33:33">
      <c r="AG4219" s="536"/>
    </row>
    <row r="4220" spans="33:33">
      <c r="AG4220" s="536"/>
    </row>
    <row r="4221" spans="33:33">
      <c r="AG4221" s="536"/>
    </row>
    <row r="4222" spans="33:33">
      <c r="AG4222" s="536"/>
    </row>
    <row r="4223" spans="33:33">
      <c r="AG4223" s="536"/>
    </row>
    <row r="4224" spans="33:33">
      <c r="AG4224" s="536"/>
    </row>
    <row r="4225" spans="33:33">
      <c r="AG4225" s="536"/>
    </row>
    <row r="4226" spans="33:33">
      <c r="AG4226" s="536"/>
    </row>
    <row r="4227" spans="33:33">
      <c r="AG4227" s="536"/>
    </row>
    <row r="4228" spans="33:33">
      <c r="AG4228" s="536"/>
    </row>
    <row r="4229" spans="33:33">
      <c r="AG4229" s="536"/>
    </row>
    <row r="4230" spans="33:33">
      <c r="AG4230" s="536"/>
    </row>
    <row r="4231" spans="33:33">
      <c r="AG4231" s="536"/>
    </row>
    <row r="4232" spans="33:33">
      <c r="AG4232" s="536"/>
    </row>
    <row r="4233" spans="33:33">
      <c r="AG4233" s="536"/>
    </row>
    <row r="4234" spans="33:33">
      <c r="AG4234" s="536"/>
    </row>
    <row r="4235" spans="33:33">
      <c r="AG4235" s="536"/>
    </row>
    <row r="4236" spans="33:33">
      <c r="AG4236" s="536"/>
    </row>
    <row r="4237" spans="33:33">
      <c r="AG4237" s="536"/>
    </row>
    <row r="4238" spans="33:33">
      <c r="AG4238" s="536"/>
    </row>
    <row r="4239" spans="33:33">
      <c r="AG4239" s="536"/>
    </row>
    <row r="4240" spans="33:33">
      <c r="AG4240" s="536"/>
    </row>
    <row r="4241" spans="33:33">
      <c r="AG4241" s="536"/>
    </row>
    <row r="4242" spans="33:33">
      <c r="AG4242" s="536"/>
    </row>
    <row r="4243" spans="33:33">
      <c r="AG4243" s="536"/>
    </row>
    <row r="4244" spans="33:33">
      <c r="AG4244" s="536"/>
    </row>
    <row r="4245" spans="33:33">
      <c r="AG4245" s="536"/>
    </row>
    <row r="4246" spans="33:33">
      <c r="AG4246" s="536"/>
    </row>
    <row r="4247" spans="33:33">
      <c r="AG4247" s="536"/>
    </row>
    <row r="4248" spans="33:33">
      <c r="AG4248" s="536"/>
    </row>
    <row r="4249" spans="33:33">
      <c r="AG4249" s="536"/>
    </row>
    <row r="4250" spans="33:33">
      <c r="AG4250" s="536"/>
    </row>
    <row r="4251" spans="33:33">
      <c r="AG4251" s="536"/>
    </row>
    <row r="4252" spans="33:33">
      <c r="AG4252" s="536"/>
    </row>
    <row r="4253" spans="33:33">
      <c r="AG4253" s="536"/>
    </row>
    <row r="4254" spans="33:33">
      <c r="AG4254" s="536"/>
    </row>
    <row r="4255" spans="33:33">
      <c r="AG4255" s="536"/>
    </row>
    <row r="4256" spans="33:33">
      <c r="AG4256" s="536"/>
    </row>
    <row r="4257" spans="33:33">
      <c r="AG4257" s="536"/>
    </row>
    <row r="4258" spans="33:33">
      <c r="AG4258" s="536"/>
    </row>
    <row r="4259" spans="33:33">
      <c r="AG4259" s="536"/>
    </row>
    <row r="4260" spans="33:33">
      <c r="AG4260" s="536"/>
    </row>
    <row r="4261" spans="33:33">
      <c r="AG4261" s="536"/>
    </row>
    <row r="4262" spans="33:33">
      <c r="AG4262" s="536"/>
    </row>
    <row r="4263" spans="33:33">
      <c r="AG4263" s="536"/>
    </row>
    <row r="4264" spans="33:33">
      <c r="AG4264" s="536"/>
    </row>
    <row r="4265" spans="33:33">
      <c r="AG4265" s="536"/>
    </row>
    <row r="4266" spans="33:33">
      <c r="AG4266" s="536"/>
    </row>
    <row r="4267" spans="33:33">
      <c r="AG4267" s="536"/>
    </row>
    <row r="4268" spans="33:33">
      <c r="AG4268" s="536"/>
    </row>
    <row r="4269" spans="33:33">
      <c r="AG4269" s="536"/>
    </row>
    <row r="4270" spans="33:33">
      <c r="AG4270" s="536"/>
    </row>
    <row r="4271" spans="33:33">
      <c r="AG4271" s="536"/>
    </row>
    <row r="4272" spans="33:33">
      <c r="AG4272" s="536"/>
    </row>
    <row r="4273" spans="33:33">
      <c r="AG4273" s="536"/>
    </row>
    <row r="4274" spans="33:33">
      <c r="AG4274" s="536"/>
    </row>
    <row r="4275" spans="33:33">
      <c r="AG4275" s="536"/>
    </row>
    <row r="4276" spans="33:33">
      <c r="AG4276" s="536"/>
    </row>
    <row r="4277" spans="33:33">
      <c r="AG4277" s="536"/>
    </row>
    <row r="4278" spans="33:33">
      <c r="AG4278" s="536"/>
    </row>
    <row r="4279" spans="33:33">
      <c r="AG4279" s="536"/>
    </row>
    <row r="4280" spans="33:33">
      <c r="AG4280" s="536"/>
    </row>
    <row r="4281" spans="33:33">
      <c r="AG4281" s="536"/>
    </row>
    <row r="4282" spans="33:33">
      <c r="AG4282" s="536"/>
    </row>
    <row r="4283" spans="33:33">
      <c r="AG4283" s="536"/>
    </row>
    <row r="4284" spans="33:33">
      <c r="AG4284" s="536"/>
    </row>
    <row r="4285" spans="33:33">
      <c r="AG4285" s="536"/>
    </row>
    <row r="4286" spans="33:33">
      <c r="AG4286" s="536"/>
    </row>
    <row r="4287" spans="33:33">
      <c r="AG4287" s="536"/>
    </row>
    <row r="4288" spans="33:33">
      <c r="AG4288" s="536"/>
    </row>
    <row r="4289" spans="33:33">
      <c r="AG4289" s="536"/>
    </row>
    <row r="4290" spans="33:33">
      <c r="AG4290" s="536"/>
    </row>
    <row r="4291" spans="33:33">
      <c r="AG4291" s="536"/>
    </row>
    <row r="4292" spans="33:33">
      <c r="AG4292" s="536"/>
    </row>
    <row r="4293" spans="33:33">
      <c r="AG4293" s="536"/>
    </row>
    <row r="4294" spans="33:33">
      <c r="AG4294" s="536"/>
    </row>
    <row r="4295" spans="33:33">
      <c r="AG4295" s="536"/>
    </row>
    <row r="4296" spans="33:33">
      <c r="AG4296" s="536"/>
    </row>
    <row r="4297" spans="33:33">
      <c r="AG4297" s="536"/>
    </row>
    <row r="4298" spans="33:33">
      <c r="AG4298" s="536"/>
    </row>
    <row r="4299" spans="33:33">
      <c r="AG4299" s="536"/>
    </row>
    <row r="4300" spans="33:33">
      <c r="AG4300" s="536"/>
    </row>
    <row r="4301" spans="33:33">
      <c r="AG4301" s="536"/>
    </row>
    <row r="4302" spans="33:33">
      <c r="AG4302" s="536"/>
    </row>
    <row r="4303" spans="33:33">
      <c r="AG4303" s="536"/>
    </row>
    <row r="4304" spans="33:33">
      <c r="AG4304" s="536"/>
    </row>
    <row r="4305" spans="33:33">
      <c r="AG4305" s="536"/>
    </row>
    <row r="4306" spans="33:33">
      <c r="AG4306" s="536"/>
    </row>
    <row r="4307" spans="33:33">
      <c r="AG4307" s="536"/>
    </row>
    <row r="4308" spans="33:33">
      <c r="AG4308" s="536"/>
    </row>
    <row r="4309" spans="33:33">
      <c r="AG4309" s="536"/>
    </row>
    <row r="4310" spans="33:33">
      <c r="AG4310" s="536"/>
    </row>
    <row r="4311" spans="33:33">
      <c r="AG4311" s="536"/>
    </row>
    <row r="4312" spans="33:33">
      <c r="AG4312" s="536"/>
    </row>
    <row r="4313" spans="33:33">
      <c r="AG4313" s="536"/>
    </row>
    <row r="4314" spans="33:33">
      <c r="AG4314" s="536"/>
    </row>
    <row r="4315" spans="33:33">
      <c r="AG4315" s="536"/>
    </row>
    <row r="4316" spans="33:33">
      <c r="AG4316" s="536"/>
    </row>
    <row r="4317" spans="33:33">
      <c r="AG4317" s="536"/>
    </row>
    <row r="4318" spans="33:33">
      <c r="AG4318" s="536"/>
    </row>
    <row r="4319" spans="33:33">
      <c r="AG4319" s="536"/>
    </row>
    <row r="4320" spans="33:33">
      <c r="AG4320" s="536"/>
    </row>
    <row r="4321" spans="33:33">
      <c r="AG4321" s="536"/>
    </row>
    <row r="4322" spans="33:33">
      <c r="AG4322" s="536"/>
    </row>
    <row r="4323" spans="33:33">
      <c r="AG4323" s="536"/>
    </row>
    <row r="4324" spans="33:33">
      <c r="AG4324" s="536"/>
    </row>
    <row r="4325" spans="33:33">
      <c r="AG4325" s="536"/>
    </row>
    <row r="4326" spans="33:33">
      <c r="AG4326" s="536"/>
    </row>
    <row r="4327" spans="33:33">
      <c r="AG4327" s="536"/>
    </row>
    <row r="4328" spans="33:33">
      <c r="AG4328" s="536"/>
    </row>
    <row r="4329" spans="33:33">
      <c r="AG4329" s="536"/>
    </row>
    <row r="4330" spans="33:33">
      <c r="AG4330" s="536"/>
    </row>
    <row r="4331" spans="33:33">
      <c r="AG4331" s="536"/>
    </row>
    <row r="4332" spans="33:33">
      <c r="AG4332" s="536"/>
    </row>
    <row r="4333" spans="33:33">
      <c r="AG4333" s="536"/>
    </row>
    <row r="4334" spans="33:33">
      <c r="AG4334" s="536"/>
    </row>
    <row r="4335" spans="33:33">
      <c r="AG4335" s="536"/>
    </row>
    <row r="4336" spans="33:33">
      <c r="AG4336" s="536"/>
    </row>
    <row r="4337" spans="33:33">
      <c r="AG4337" s="536"/>
    </row>
    <row r="4338" spans="33:33">
      <c r="AG4338" s="536"/>
    </row>
    <row r="4339" spans="33:33">
      <c r="AG4339" s="536"/>
    </row>
    <row r="4340" spans="33:33">
      <c r="AG4340" s="536"/>
    </row>
    <row r="4341" spans="33:33">
      <c r="AG4341" s="536"/>
    </row>
    <row r="4342" spans="33:33">
      <c r="AG4342" s="536"/>
    </row>
    <row r="4343" spans="33:33">
      <c r="AG4343" s="536"/>
    </row>
    <row r="4344" spans="33:33">
      <c r="AG4344" s="536"/>
    </row>
    <row r="4345" spans="33:33">
      <c r="AG4345" s="536"/>
    </row>
    <row r="4346" spans="33:33">
      <c r="AG4346" s="536"/>
    </row>
    <row r="4347" spans="33:33">
      <c r="AG4347" s="536"/>
    </row>
    <row r="4348" spans="33:33">
      <c r="AG4348" s="536"/>
    </row>
    <row r="4349" spans="33:33">
      <c r="AG4349" s="536"/>
    </row>
    <row r="4350" spans="33:33">
      <c r="AG4350" s="536"/>
    </row>
    <row r="4351" spans="33:33">
      <c r="AG4351" s="536"/>
    </row>
    <row r="4352" spans="33:33">
      <c r="AG4352" s="536"/>
    </row>
    <row r="4353" spans="33:33">
      <c r="AG4353" s="536"/>
    </row>
    <row r="4354" spans="33:33">
      <c r="AG4354" s="536"/>
    </row>
    <row r="4355" spans="33:33">
      <c r="AG4355" s="536"/>
    </row>
    <row r="4356" spans="33:33">
      <c r="AG4356" s="536"/>
    </row>
    <row r="4357" spans="33:33">
      <c r="AG4357" s="536"/>
    </row>
    <row r="4358" spans="33:33">
      <c r="AG4358" s="536"/>
    </row>
    <row r="4359" spans="33:33">
      <c r="AG4359" s="536"/>
    </row>
    <row r="4360" spans="33:33">
      <c r="AG4360" s="536"/>
    </row>
    <row r="4361" spans="33:33">
      <c r="AG4361" s="536"/>
    </row>
    <row r="4362" spans="33:33">
      <c r="AG4362" s="536"/>
    </row>
    <row r="4363" spans="33:33">
      <c r="AG4363" s="536"/>
    </row>
    <row r="4364" spans="33:33">
      <c r="AG4364" s="536"/>
    </row>
    <row r="4365" spans="33:33">
      <c r="AG4365" s="536"/>
    </row>
    <row r="4366" spans="33:33">
      <c r="AG4366" s="536"/>
    </row>
    <row r="4367" spans="33:33">
      <c r="AG4367" s="536"/>
    </row>
    <row r="4368" spans="33:33">
      <c r="AG4368" s="536"/>
    </row>
    <row r="4369" spans="33:33">
      <c r="AG4369" s="536"/>
    </row>
    <row r="4370" spans="33:33">
      <c r="AG4370" s="536"/>
    </row>
    <row r="4371" spans="33:33">
      <c r="AG4371" s="536"/>
    </row>
    <row r="4372" spans="33:33">
      <c r="AG4372" s="536"/>
    </row>
    <row r="4373" spans="33:33">
      <c r="AG4373" s="536"/>
    </row>
    <row r="4374" spans="33:33">
      <c r="AG4374" s="536"/>
    </row>
    <row r="4375" spans="33:33">
      <c r="AG4375" s="536"/>
    </row>
    <row r="4376" spans="33:33">
      <c r="AG4376" s="536"/>
    </row>
    <row r="4377" spans="33:33">
      <c r="AG4377" s="536"/>
    </row>
    <row r="4378" spans="33:33">
      <c r="AG4378" s="536"/>
    </row>
    <row r="4379" spans="33:33">
      <c r="AG4379" s="536"/>
    </row>
    <row r="4380" spans="33:33">
      <c r="AG4380" s="536"/>
    </row>
    <row r="4381" spans="33:33">
      <c r="AG4381" s="536"/>
    </row>
    <row r="4382" spans="33:33">
      <c r="AG4382" s="536"/>
    </row>
    <row r="4383" spans="33:33">
      <c r="AG4383" s="536"/>
    </row>
    <row r="4384" spans="33:33">
      <c r="AG4384" s="536"/>
    </row>
    <row r="4385" spans="33:33">
      <c r="AG4385" s="536"/>
    </row>
    <row r="4386" spans="33:33">
      <c r="AG4386" s="536"/>
    </row>
    <row r="4387" spans="33:33">
      <c r="AG4387" s="536"/>
    </row>
    <row r="4388" spans="33:33">
      <c r="AG4388" s="536"/>
    </row>
    <row r="4389" spans="33:33">
      <c r="AG4389" s="536"/>
    </row>
    <row r="4390" spans="33:33">
      <c r="AG4390" s="536"/>
    </row>
    <row r="4391" spans="33:33">
      <c r="AG4391" s="536"/>
    </row>
    <row r="4392" spans="33:33">
      <c r="AG4392" s="536"/>
    </row>
    <row r="4393" spans="33:33">
      <c r="AG4393" s="536"/>
    </row>
    <row r="4394" spans="33:33">
      <c r="AG4394" s="536"/>
    </row>
    <row r="4395" spans="33:33">
      <c r="AG4395" s="536"/>
    </row>
    <row r="4396" spans="33:33">
      <c r="AG4396" s="536"/>
    </row>
    <row r="4397" spans="33:33">
      <c r="AG4397" s="536"/>
    </row>
    <row r="4398" spans="33:33">
      <c r="AG4398" s="536"/>
    </row>
    <row r="4399" spans="33:33">
      <c r="AG4399" s="536"/>
    </row>
    <row r="4400" spans="33:33">
      <c r="AG4400" s="536"/>
    </row>
    <row r="4401" spans="33:33">
      <c r="AG4401" s="536"/>
    </row>
    <row r="4402" spans="33:33">
      <c r="AG4402" s="536"/>
    </row>
    <row r="4403" spans="33:33">
      <c r="AG4403" s="536"/>
    </row>
    <row r="4404" spans="33:33">
      <c r="AG4404" s="536"/>
    </row>
    <row r="4405" spans="33:33">
      <c r="AG4405" s="536"/>
    </row>
    <row r="4406" spans="33:33">
      <c r="AG4406" s="536"/>
    </row>
    <row r="4407" spans="33:33">
      <c r="AG4407" s="536"/>
    </row>
    <row r="4408" spans="33:33">
      <c r="AG4408" s="536"/>
    </row>
    <row r="4409" spans="33:33">
      <c r="AG4409" s="536"/>
    </row>
    <row r="4410" spans="33:33">
      <c r="AG4410" s="536"/>
    </row>
    <row r="4411" spans="33:33">
      <c r="AG4411" s="536"/>
    </row>
    <row r="4412" spans="33:33">
      <c r="AG4412" s="536"/>
    </row>
    <row r="4413" spans="33:33">
      <c r="AG4413" s="536"/>
    </row>
    <row r="4414" spans="33:33">
      <c r="AG4414" s="536"/>
    </row>
    <row r="4415" spans="33:33">
      <c r="AG4415" s="536"/>
    </row>
    <row r="4416" spans="33:33">
      <c r="AG4416" s="536"/>
    </row>
    <row r="4417" spans="33:33">
      <c r="AG4417" s="536"/>
    </row>
    <row r="4418" spans="33:33">
      <c r="AG4418" s="536"/>
    </row>
    <row r="4419" spans="33:33">
      <c r="AG4419" s="536"/>
    </row>
    <row r="4420" spans="33:33">
      <c r="AG4420" s="536"/>
    </row>
    <row r="4421" spans="33:33">
      <c r="AG4421" s="536"/>
    </row>
    <row r="4422" spans="33:33">
      <c r="AG4422" s="536"/>
    </row>
    <row r="4423" spans="33:33">
      <c r="AG4423" s="536"/>
    </row>
    <row r="4424" spans="33:33">
      <c r="AG4424" s="536"/>
    </row>
    <row r="4425" spans="33:33">
      <c r="AG4425" s="536"/>
    </row>
    <row r="4426" spans="33:33">
      <c r="AG4426" s="536"/>
    </row>
    <row r="4427" spans="33:33">
      <c r="AG4427" s="536"/>
    </row>
    <row r="4428" spans="33:33">
      <c r="AG4428" s="536"/>
    </row>
    <row r="4429" spans="33:33">
      <c r="AG4429" s="536"/>
    </row>
    <row r="4430" spans="33:33">
      <c r="AG4430" s="536"/>
    </row>
    <row r="4431" spans="33:33">
      <c r="AG4431" s="536"/>
    </row>
    <row r="4432" spans="33:33">
      <c r="AG4432" s="536"/>
    </row>
    <row r="4433" spans="33:33">
      <c r="AG4433" s="536"/>
    </row>
    <row r="4434" spans="33:33">
      <c r="AG4434" s="536"/>
    </row>
    <row r="4435" spans="33:33">
      <c r="AG4435" s="536"/>
    </row>
    <row r="4436" spans="33:33">
      <c r="AG4436" s="536"/>
    </row>
    <row r="4437" spans="33:33">
      <c r="AG4437" s="536"/>
    </row>
    <row r="4438" spans="33:33">
      <c r="AG4438" s="536"/>
    </row>
    <row r="4439" spans="33:33">
      <c r="AG4439" s="536"/>
    </row>
    <row r="4440" spans="33:33">
      <c r="AG4440" s="536"/>
    </row>
    <row r="4441" spans="33:33">
      <c r="AG4441" s="536"/>
    </row>
    <row r="4442" spans="33:33">
      <c r="AG4442" s="536"/>
    </row>
    <row r="4443" spans="33:33">
      <c r="AG4443" s="536"/>
    </row>
    <row r="4444" spans="33:33">
      <c r="AG4444" s="536"/>
    </row>
    <row r="4445" spans="33:33">
      <c r="AG4445" s="536"/>
    </row>
    <row r="4446" spans="33:33">
      <c r="AG4446" s="536"/>
    </row>
    <row r="4447" spans="33:33">
      <c r="AG4447" s="536"/>
    </row>
    <row r="4448" spans="33:33">
      <c r="AG4448" s="536"/>
    </row>
    <row r="4449" spans="33:33">
      <c r="AG4449" s="536"/>
    </row>
    <row r="4450" spans="33:33">
      <c r="AG4450" s="536"/>
    </row>
    <row r="4451" spans="33:33">
      <c r="AG4451" s="536"/>
    </row>
    <row r="4452" spans="33:33">
      <c r="AG4452" s="536"/>
    </row>
    <row r="4453" spans="33:33">
      <c r="AG4453" s="536"/>
    </row>
    <row r="4454" spans="33:33">
      <c r="AG4454" s="536"/>
    </row>
    <row r="4455" spans="33:33">
      <c r="AG4455" s="536"/>
    </row>
    <row r="4456" spans="33:33">
      <c r="AG4456" s="536"/>
    </row>
    <row r="4457" spans="33:33">
      <c r="AG4457" s="536"/>
    </row>
    <row r="4458" spans="33:33">
      <c r="AG4458" s="536"/>
    </row>
    <row r="4459" spans="33:33">
      <c r="AG4459" s="536"/>
    </row>
    <row r="4460" spans="33:33">
      <c r="AG4460" s="536"/>
    </row>
    <row r="4461" spans="33:33">
      <c r="AG4461" s="536"/>
    </row>
    <row r="4462" spans="33:33">
      <c r="AG4462" s="536"/>
    </row>
    <row r="4463" spans="33:33">
      <c r="AG4463" s="536"/>
    </row>
    <row r="4464" spans="33:33">
      <c r="AG4464" s="536"/>
    </row>
    <row r="4465" spans="33:33">
      <c r="AG4465" s="536"/>
    </row>
    <row r="4466" spans="33:33">
      <c r="AG4466" s="536"/>
    </row>
    <row r="4467" spans="33:33">
      <c r="AG4467" s="536"/>
    </row>
    <row r="4468" spans="33:33">
      <c r="AG4468" s="536"/>
    </row>
    <row r="4469" spans="33:33">
      <c r="AG4469" s="536"/>
    </row>
    <row r="4470" spans="33:33">
      <c r="AG4470" s="536"/>
    </row>
    <row r="4471" spans="33:33">
      <c r="AG4471" s="536"/>
    </row>
    <row r="4472" spans="33:33">
      <c r="AG4472" s="536"/>
    </row>
    <row r="4473" spans="33:33">
      <c r="AG4473" s="536"/>
    </row>
    <row r="4474" spans="33:33">
      <c r="AG4474" s="536"/>
    </row>
    <row r="4475" spans="33:33">
      <c r="AG4475" s="536"/>
    </row>
    <row r="4476" spans="33:33">
      <c r="AG4476" s="536"/>
    </row>
    <row r="4477" spans="33:33">
      <c r="AG4477" s="536"/>
    </row>
    <row r="4478" spans="33:33">
      <c r="AG4478" s="536"/>
    </row>
    <row r="4479" spans="33:33">
      <c r="AG4479" s="536"/>
    </row>
    <row r="4480" spans="33:33">
      <c r="AG4480" s="536"/>
    </row>
    <row r="4481" spans="33:33">
      <c r="AG4481" s="536"/>
    </row>
    <row r="4482" spans="33:33">
      <c r="AG4482" s="536"/>
    </row>
    <row r="4483" spans="33:33">
      <c r="AG4483" s="536"/>
    </row>
    <row r="4484" spans="33:33">
      <c r="AG4484" s="536"/>
    </row>
    <row r="4485" spans="33:33">
      <c r="AG4485" s="536"/>
    </row>
    <row r="4486" spans="33:33">
      <c r="AG4486" s="536"/>
    </row>
    <row r="4487" spans="33:33">
      <c r="AG4487" s="536"/>
    </row>
    <row r="4488" spans="33:33">
      <c r="AG4488" s="536"/>
    </row>
    <row r="4489" spans="33:33">
      <c r="AG4489" s="536"/>
    </row>
    <row r="4490" spans="33:33">
      <c r="AG4490" s="536"/>
    </row>
    <row r="4491" spans="33:33">
      <c r="AG4491" s="536"/>
    </row>
    <row r="4492" spans="33:33">
      <c r="AG4492" s="536"/>
    </row>
    <row r="4493" spans="33:33">
      <c r="AG4493" s="536"/>
    </row>
    <row r="4494" spans="33:33">
      <c r="AG4494" s="536"/>
    </row>
    <row r="4495" spans="33:33">
      <c r="AG4495" s="536"/>
    </row>
    <row r="4496" spans="33:33">
      <c r="AG4496" s="536"/>
    </row>
    <row r="4497" spans="33:33">
      <c r="AG4497" s="536"/>
    </row>
    <row r="4498" spans="33:33">
      <c r="AG4498" s="536"/>
    </row>
    <row r="4499" spans="33:33">
      <c r="AG4499" s="536"/>
    </row>
    <row r="4500" spans="33:33">
      <c r="AG4500" s="536"/>
    </row>
    <row r="4501" spans="33:33">
      <c r="AG4501" s="536"/>
    </row>
    <row r="4502" spans="33:33">
      <c r="AG4502" s="536"/>
    </row>
    <row r="4503" spans="33:33">
      <c r="AG4503" s="536"/>
    </row>
    <row r="4504" spans="33:33">
      <c r="AG4504" s="536"/>
    </row>
    <row r="4505" spans="33:33">
      <c r="AG4505" s="536"/>
    </row>
    <row r="4506" spans="33:33">
      <c r="AG4506" s="536"/>
    </row>
    <row r="4507" spans="33:33">
      <c r="AG4507" s="536"/>
    </row>
    <row r="4508" spans="33:33">
      <c r="AG4508" s="536"/>
    </row>
    <row r="4509" spans="33:33">
      <c r="AG4509" s="536"/>
    </row>
    <row r="4510" spans="33:33">
      <c r="AG4510" s="536"/>
    </row>
    <row r="4511" spans="33:33">
      <c r="AG4511" s="536"/>
    </row>
    <row r="4512" spans="33:33">
      <c r="AG4512" s="536"/>
    </row>
    <row r="4513" spans="33:33">
      <c r="AG4513" s="536"/>
    </row>
    <row r="4514" spans="33:33">
      <c r="AG4514" s="536"/>
    </row>
    <row r="4515" spans="33:33">
      <c r="AG4515" s="536"/>
    </row>
    <row r="4516" spans="33:33">
      <c r="AG4516" s="536"/>
    </row>
    <row r="4517" spans="33:33">
      <c r="AG4517" s="536"/>
    </row>
    <row r="4518" spans="33:33">
      <c r="AG4518" s="536"/>
    </row>
    <row r="4519" spans="33:33">
      <c r="AG4519" s="536"/>
    </row>
    <row r="4520" spans="33:33">
      <c r="AG4520" s="536"/>
    </row>
    <row r="4521" spans="33:33">
      <c r="AG4521" s="536"/>
    </row>
    <row r="4522" spans="33:33">
      <c r="AG4522" s="536"/>
    </row>
    <row r="4523" spans="33:33">
      <c r="AG4523" s="536"/>
    </row>
    <row r="4524" spans="33:33">
      <c r="AG4524" s="536"/>
    </row>
    <row r="4525" spans="33:33">
      <c r="AG4525" s="536"/>
    </row>
    <row r="4526" spans="33:33">
      <c r="AG4526" s="536"/>
    </row>
    <row r="4527" spans="33:33">
      <c r="AG4527" s="536"/>
    </row>
    <row r="4528" spans="33:33">
      <c r="AG4528" s="536"/>
    </row>
    <row r="4529" spans="33:33">
      <c r="AG4529" s="536"/>
    </row>
    <row r="4530" spans="33:33">
      <c r="AG4530" s="536"/>
    </row>
    <row r="4531" spans="33:33">
      <c r="AG4531" s="536"/>
    </row>
    <row r="4532" spans="33:33">
      <c r="AG4532" s="536"/>
    </row>
    <row r="4533" spans="33:33">
      <c r="AG4533" s="536"/>
    </row>
    <row r="4534" spans="33:33">
      <c r="AG4534" s="536"/>
    </row>
    <row r="4535" spans="33:33">
      <c r="AG4535" s="536"/>
    </row>
    <row r="4536" spans="33:33">
      <c r="AG4536" s="536"/>
    </row>
    <row r="4537" spans="33:33">
      <c r="AG4537" s="536"/>
    </row>
    <row r="4538" spans="33:33">
      <c r="AG4538" s="536"/>
    </row>
    <row r="4539" spans="33:33">
      <c r="AG4539" s="536"/>
    </row>
    <row r="4540" spans="33:33">
      <c r="AG4540" s="536"/>
    </row>
    <row r="4541" spans="33:33">
      <c r="AG4541" s="536"/>
    </row>
    <row r="4542" spans="33:33">
      <c r="AG4542" s="536"/>
    </row>
    <row r="4543" spans="33:33">
      <c r="AG4543" s="536"/>
    </row>
    <row r="4544" spans="33:33">
      <c r="AG4544" s="536"/>
    </row>
    <row r="4545" spans="33:33">
      <c r="AG4545" s="536"/>
    </row>
    <row r="4546" spans="33:33">
      <c r="AG4546" s="536"/>
    </row>
    <row r="4547" spans="33:33">
      <c r="AG4547" s="536"/>
    </row>
    <row r="4548" spans="33:33">
      <c r="AG4548" s="536"/>
    </row>
    <row r="4549" spans="33:33">
      <c r="AG4549" s="536"/>
    </row>
    <row r="4550" spans="33:33">
      <c r="AG4550" s="536"/>
    </row>
    <row r="4551" spans="33:33">
      <c r="AG4551" s="536"/>
    </row>
    <row r="4552" spans="33:33">
      <c r="AG4552" s="536"/>
    </row>
    <row r="4553" spans="33:33">
      <c r="AG4553" s="536"/>
    </row>
    <row r="4554" spans="33:33">
      <c r="AG4554" s="536"/>
    </row>
    <row r="4555" spans="33:33">
      <c r="AG4555" s="536"/>
    </row>
    <row r="4556" spans="33:33">
      <c r="AG4556" s="536"/>
    </row>
    <row r="4557" spans="33:33">
      <c r="AG4557" s="536"/>
    </row>
    <row r="4558" spans="33:33">
      <c r="AG4558" s="536"/>
    </row>
    <row r="4559" spans="33:33">
      <c r="AG4559" s="536"/>
    </row>
    <row r="4560" spans="33:33">
      <c r="AG4560" s="536"/>
    </row>
    <row r="4561" spans="33:33">
      <c r="AG4561" s="536"/>
    </row>
    <row r="4562" spans="33:33">
      <c r="AG4562" s="536"/>
    </row>
    <row r="4563" spans="33:33">
      <c r="AG4563" s="536"/>
    </row>
    <row r="4564" spans="33:33">
      <c r="AG4564" s="536"/>
    </row>
    <row r="4565" spans="33:33">
      <c r="AG4565" s="536"/>
    </row>
    <row r="4566" spans="33:33">
      <c r="AG4566" s="536"/>
    </row>
    <row r="4567" spans="33:33">
      <c r="AG4567" s="536"/>
    </row>
    <row r="4568" spans="33:33">
      <c r="AG4568" s="536"/>
    </row>
    <row r="4569" spans="33:33">
      <c r="AG4569" s="536"/>
    </row>
    <row r="4570" spans="33:33">
      <c r="AG4570" s="536"/>
    </row>
    <row r="4571" spans="33:33">
      <c r="AG4571" s="536"/>
    </row>
    <row r="4572" spans="33:33">
      <c r="AG4572" s="536"/>
    </row>
    <row r="4573" spans="33:33">
      <c r="AG4573" s="536"/>
    </row>
    <row r="4574" spans="33:33">
      <c r="AG4574" s="536"/>
    </row>
    <row r="4575" spans="33:33">
      <c r="AG4575" s="536"/>
    </row>
    <row r="4576" spans="33:33">
      <c r="AG4576" s="536"/>
    </row>
    <row r="4577" spans="33:33">
      <c r="AG4577" s="536"/>
    </row>
    <row r="4578" spans="33:33">
      <c r="AG4578" s="536"/>
    </row>
    <row r="4579" spans="33:33">
      <c r="AG4579" s="536"/>
    </row>
    <row r="4580" spans="33:33">
      <c r="AG4580" s="536"/>
    </row>
    <row r="4581" spans="33:33">
      <c r="AG4581" s="536"/>
    </row>
    <row r="4582" spans="33:33">
      <c r="AG4582" s="536"/>
    </row>
    <row r="4583" spans="33:33">
      <c r="AG4583" s="536"/>
    </row>
    <row r="4584" spans="33:33">
      <c r="AG4584" s="536"/>
    </row>
    <row r="4585" spans="33:33">
      <c r="AG4585" s="536"/>
    </row>
    <row r="4586" spans="33:33">
      <c r="AG4586" s="536"/>
    </row>
    <row r="4587" spans="33:33">
      <c r="AG4587" s="536"/>
    </row>
    <row r="4588" spans="33:33">
      <c r="AG4588" s="536"/>
    </row>
    <row r="4589" spans="33:33">
      <c r="AG4589" s="536"/>
    </row>
    <row r="4590" spans="33:33">
      <c r="AG4590" s="536"/>
    </row>
    <row r="4591" spans="33:33">
      <c r="AG4591" s="536"/>
    </row>
    <row r="4592" spans="33:33">
      <c r="AG4592" s="536"/>
    </row>
    <row r="4593" spans="33:33">
      <c r="AG4593" s="536"/>
    </row>
    <row r="4594" spans="33:33">
      <c r="AG4594" s="536"/>
    </row>
    <row r="4595" spans="33:33">
      <c r="AG4595" s="536"/>
    </row>
    <row r="4596" spans="33:33">
      <c r="AG4596" s="536"/>
    </row>
    <row r="4597" spans="33:33">
      <c r="AG4597" s="536"/>
    </row>
    <row r="4598" spans="33:33">
      <c r="AG4598" s="536"/>
    </row>
    <row r="4599" spans="33:33">
      <c r="AG4599" s="536"/>
    </row>
    <row r="4600" spans="33:33">
      <c r="AG4600" s="536"/>
    </row>
    <row r="4601" spans="33:33">
      <c r="AG4601" s="536"/>
    </row>
    <row r="4602" spans="33:33">
      <c r="AG4602" s="536"/>
    </row>
    <row r="4603" spans="33:33">
      <c r="AG4603" s="536"/>
    </row>
    <row r="4604" spans="33:33">
      <c r="AG4604" s="536"/>
    </row>
    <row r="4605" spans="33:33">
      <c r="AG4605" s="536"/>
    </row>
    <row r="4606" spans="33:33">
      <c r="AG4606" s="536"/>
    </row>
    <row r="4607" spans="33:33">
      <c r="AG4607" s="536"/>
    </row>
    <row r="4608" spans="33:33">
      <c r="AG4608" s="536"/>
    </row>
    <row r="4609" spans="33:33">
      <c r="AG4609" s="536"/>
    </row>
    <row r="4610" spans="33:33">
      <c r="AG4610" s="536"/>
    </row>
    <row r="4611" spans="33:33">
      <c r="AG4611" s="536"/>
    </row>
    <row r="4612" spans="33:33">
      <c r="AG4612" s="536"/>
    </row>
    <row r="4613" spans="33:33">
      <c r="AG4613" s="536"/>
    </row>
    <row r="4614" spans="33:33">
      <c r="AG4614" s="536"/>
    </row>
    <row r="4615" spans="33:33">
      <c r="AG4615" s="536"/>
    </row>
    <row r="4616" spans="33:33">
      <c r="AG4616" s="536"/>
    </row>
    <row r="4617" spans="33:33">
      <c r="AG4617" s="536"/>
    </row>
    <row r="4618" spans="33:33">
      <c r="AG4618" s="536"/>
    </row>
    <row r="4619" spans="33:33">
      <c r="AG4619" s="536"/>
    </row>
    <row r="4620" spans="33:33">
      <c r="AG4620" s="536"/>
    </row>
    <row r="4621" spans="33:33">
      <c r="AG4621" s="536"/>
    </row>
    <row r="4622" spans="33:33">
      <c r="AG4622" s="536"/>
    </row>
    <row r="4623" spans="33:33">
      <c r="AG4623" s="536"/>
    </row>
    <row r="4624" spans="33:33">
      <c r="AG4624" s="536"/>
    </row>
    <row r="4625" spans="33:33">
      <c r="AG4625" s="536"/>
    </row>
    <row r="4626" spans="33:33">
      <c r="AG4626" s="536"/>
    </row>
    <row r="4627" spans="33:33">
      <c r="AG4627" s="536"/>
    </row>
    <row r="4628" spans="33:33">
      <c r="AG4628" s="536"/>
    </row>
    <row r="4629" spans="33:33">
      <c r="AG4629" s="536"/>
    </row>
    <row r="4630" spans="33:33">
      <c r="AG4630" s="536"/>
    </row>
    <row r="4631" spans="33:33">
      <c r="AG4631" s="536"/>
    </row>
    <row r="4632" spans="33:33">
      <c r="AG4632" s="536"/>
    </row>
    <row r="4633" spans="33:33">
      <c r="AG4633" s="536"/>
    </row>
    <row r="4634" spans="33:33">
      <c r="AG4634" s="536"/>
    </row>
    <row r="4635" spans="33:33">
      <c r="AG4635" s="536"/>
    </row>
    <row r="4636" spans="33:33">
      <c r="AG4636" s="536"/>
    </row>
    <row r="4637" spans="33:33">
      <c r="AG4637" s="536"/>
    </row>
    <row r="4638" spans="33:33">
      <c r="AG4638" s="536"/>
    </row>
    <row r="4639" spans="33:33">
      <c r="AG4639" s="536"/>
    </row>
    <row r="4640" spans="33:33">
      <c r="AG4640" s="536"/>
    </row>
    <row r="4641" spans="33:33">
      <c r="AG4641" s="536"/>
    </row>
    <row r="4642" spans="33:33">
      <c r="AG4642" s="536"/>
    </row>
    <row r="4643" spans="33:33">
      <c r="AG4643" s="536"/>
    </row>
    <row r="4644" spans="33:33">
      <c r="AG4644" s="536"/>
    </row>
    <row r="4645" spans="33:33">
      <c r="AG4645" s="536"/>
    </row>
    <row r="4646" spans="33:33">
      <c r="AG4646" s="536"/>
    </row>
    <row r="4647" spans="33:33">
      <c r="AG4647" s="536"/>
    </row>
    <row r="4648" spans="33:33">
      <c r="AG4648" s="536"/>
    </row>
    <row r="4649" spans="33:33">
      <c r="AG4649" s="536"/>
    </row>
    <row r="4650" spans="33:33">
      <c r="AG4650" s="536"/>
    </row>
    <row r="4651" spans="33:33">
      <c r="AG4651" s="536"/>
    </row>
    <row r="4652" spans="33:33">
      <c r="AG4652" s="536"/>
    </row>
    <row r="4653" spans="33:33">
      <c r="AG4653" s="536"/>
    </row>
    <row r="4654" spans="33:33">
      <c r="AG4654" s="536"/>
    </row>
    <row r="4655" spans="33:33">
      <c r="AG4655" s="536"/>
    </row>
    <row r="4656" spans="33:33">
      <c r="AG4656" s="536"/>
    </row>
    <row r="4657" spans="33:33">
      <c r="AG4657" s="536"/>
    </row>
    <row r="4658" spans="33:33">
      <c r="AG4658" s="536"/>
    </row>
    <row r="4659" spans="33:33">
      <c r="AG4659" s="536"/>
    </row>
    <row r="4660" spans="33:33">
      <c r="AG4660" s="536"/>
    </row>
    <row r="4661" spans="33:33">
      <c r="AG4661" s="536"/>
    </row>
    <row r="4662" spans="33:33">
      <c r="AG4662" s="536"/>
    </row>
    <row r="4663" spans="33:33">
      <c r="AG4663" s="536"/>
    </row>
    <row r="4664" spans="33:33">
      <c r="AG4664" s="536"/>
    </row>
    <row r="4665" spans="33:33">
      <c r="AG4665" s="536"/>
    </row>
    <row r="4666" spans="33:33">
      <c r="AG4666" s="536"/>
    </row>
    <row r="4667" spans="33:33">
      <c r="AG4667" s="536"/>
    </row>
    <row r="4668" spans="33:33">
      <c r="AG4668" s="536"/>
    </row>
    <row r="4669" spans="33:33">
      <c r="AG4669" s="536"/>
    </row>
    <row r="4670" spans="33:33">
      <c r="AG4670" s="536"/>
    </row>
    <row r="4671" spans="33:33">
      <c r="AG4671" s="536"/>
    </row>
    <row r="4672" spans="33:33">
      <c r="AG4672" s="536"/>
    </row>
    <row r="4673" spans="33:33">
      <c r="AG4673" s="536"/>
    </row>
    <row r="4674" spans="33:33">
      <c r="AG4674" s="536"/>
    </row>
    <row r="4675" spans="33:33">
      <c r="AG4675" s="536"/>
    </row>
    <row r="4676" spans="33:33">
      <c r="AG4676" s="536"/>
    </row>
    <row r="4677" spans="33:33">
      <c r="AG4677" s="536"/>
    </row>
    <row r="4678" spans="33:33">
      <c r="AG4678" s="536"/>
    </row>
    <row r="4679" spans="33:33">
      <c r="AG4679" s="536"/>
    </row>
    <row r="4680" spans="33:33">
      <c r="AG4680" s="536"/>
    </row>
    <row r="4681" spans="33:33">
      <c r="AG4681" s="536"/>
    </row>
    <row r="4682" spans="33:33">
      <c r="AG4682" s="536"/>
    </row>
    <row r="4683" spans="33:33">
      <c r="AG4683" s="536"/>
    </row>
    <row r="4684" spans="33:33">
      <c r="AG4684" s="536"/>
    </row>
    <row r="4685" spans="33:33">
      <c r="AG4685" s="536"/>
    </row>
    <row r="4686" spans="33:33">
      <c r="AG4686" s="536"/>
    </row>
    <row r="4687" spans="33:33">
      <c r="AG4687" s="536"/>
    </row>
    <row r="4688" spans="33:33">
      <c r="AG4688" s="536"/>
    </row>
    <row r="4689" spans="33:33">
      <c r="AG4689" s="536"/>
    </row>
    <row r="4690" spans="33:33">
      <c r="AG4690" s="536"/>
    </row>
    <row r="4691" spans="33:33">
      <c r="AG4691" s="536"/>
    </row>
    <row r="4692" spans="33:33">
      <c r="AG4692" s="536"/>
    </row>
    <row r="4693" spans="33:33">
      <c r="AG4693" s="536"/>
    </row>
    <row r="4694" spans="33:33">
      <c r="AG4694" s="536"/>
    </row>
    <row r="4695" spans="33:33">
      <c r="AG4695" s="536"/>
    </row>
    <row r="4696" spans="33:33">
      <c r="AG4696" s="536"/>
    </row>
    <row r="4697" spans="33:33">
      <c r="AG4697" s="536"/>
    </row>
    <row r="4698" spans="33:33">
      <c r="AG4698" s="536"/>
    </row>
    <row r="4699" spans="33:33">
      <c r="AG4699" s="536"/>
    </row>
    <row r="4700" spans="33:33">
      <c r="AG4700" s="536"/>
    </row>
    <row r="4701" spans="33:33">
      <c r="AG4701" s="536"/>
    </row>
    <row r="4702" spans="33:33">
      <c r="AG4702" s="536"/>
    </row>
    <row r="4703" spans="33:33">
      <c r="AG4703" s="536"/>
    </row>
    <row r="4704" spans="33:33">
      <c r="AG4704" s="536"/>
    </row>
    <row r="4705" spans="33:33">
      <c r="AG4705" s="536"/>
    </row>
    <row r="4706" spans="33:33">
      <c r="AG4706" s="536"/>
    </row>
    <row r="4707" spans="33:33">
      <c r="AG4707" s="536"/>
    </row>
    <row r="4708" spans="33:33">
      <c r="AG4708" s="536"/>
    </row>
    <row r="4709" spans="33:33">
      <c r="AG4709" s="536"/>
    </row>
    <row r="4710" spans="33:33">
      <c r="AG4710" s="536"/>
    </row>
    <row r="4711" spans="33:33">
      <c r="AG4711" s="536"/>
    </row>
    <row r="4712" spans="33:33">
      <c r="AG4712" s="536"/>
    </row>
    <row r="4713" spans="33:33">
      <c r="AG4713" s="536"/>
    </row>
    <row r="4714" spans="33:33">
      <c r="AG4714" s="536"/>
    </row>
    <row r="4715" spans="33:33">
      <c r="AG4715" s="536"/>
    </row>
    <row r="4716" spans="33:33">
      <c r="AG4716" s="536"/>
    </row>
    <row r="4717" spans="33:33">
      <c r="AG4717" s="536"/>
    </row>
    <row r="4718" spans="33:33">
      <c r="AG4718" s="536"/>
    </row>
    <row r="4719" spans="33:33">
      <c r="AG4719" s="536"/>
    </row>
    <row r="4720" spans="33:33">
      <c r="AG4720" s="536"/>
    </row>
    <row r="4721" spans="33:33">
      <c r="AG4721" s="536"/>
    </row>
    <row r="4722" spans="33:33">
      <c r="AG4722" s="536"/>
    </row>
    <row r="4723" spans="33:33">
      <c r="AG4723" s="536"/>
    </row>
    <row r="4724" spans="33:33">
      <c r="AG4724" s="536"/>
    </row>
    <row r="4725" spans="33:33">
      <c r="AG4725" s="536"/>
    </row>
    <row r="4726" spans="33:33">
      <c r="AG4726" s="536"/>
    </row>
    <row r="4727" spans="33:33">
      <c r="AG4727" s="536"/>
    </row>
    <row r="4728" spans="33:33">
      <c r="AG4728" s="536"/>
    </row>
    <row r="4729" spans="33:33">
      <c r="AG4729" s="536"/>
    </row>
    <row r="4730" spans="33:33">
      <c r="AG4730" s="536"/>
    </row>
    <row r="4731" spans="33:33">
      <c r="AG4731" s="536"/>
    </row>
    <row r="4732" spans="33:33">
      <c r="AG4732" s="536"/>
    </row>
    <row r="4733" spans="33:33">
      <c r="AG4733" s="536"/>
    </row>
    <row r="4734" spans="33:33">
      <c r="AG4734" s="536"/>
    </row>
    <row r="4735" spans="33:33">
      <c r="AG4735" s="536"/>
    </row>
    <row r="4736" spans="33:33">
      <c r="AG4736" s="536"/>
    </row>
    <row r="4737" spans="33:33">
      <c r="AG4737" s="536"/>
    </row>
    <row r="4738" spans="33:33">
      <c r="AG4738" s="536"/>
    </row>
    <row r="4739" spans="33:33">
      <c r="AG4739" s="536"/>
    </row>
    <row r="4740" spans="33:33">
      <c r="AG4740" s="536"/>
    </row>
    <row r="4741" spans="33:33">
      <c r="AG4741" s="536"/>
    </row>
    <row r="4742" spans="33:33">
      <c r="AG4742" s="536"/>
    </row>
    <row r="4743" spans="33:33">
      <c r="AG4743" s="536"/>
    </row>
    <row r="4744" spans="33:33">
      <c r="AG4744" s="536"/>
    </row>
    <row r="4745" spans="33:33">
      <c r="AG4745" s="536"/>
    </row>
    <row r="4746" spans="33:33">
      <c r="AG4746" s="536"/>
    </row>
    <row r="4747" spans="33:33">
      <c r="AG4747" s="536"/>
    </row>
    <row r="4748" spans="33:33">
      <c r="AG4748" s="536"/>
    </row>
    <row r="4749" spans="33:33">
      <c r="AG4749" s="536"/>
    </row>
    <row r="4750" spans="33:33">
      <c r="AG4750" s="536"/>
    </row>
    <row r="4751" spans="33:33">
      <c r="AG4751" s="536"/>
    </row>
    <row r="4752" spans="33:33">
      <c r="AG4752" s="536"/>
    </row>
    <row r="4753" spans="33:33">
      <c r="AG4753" s="536"/>
    </row>
    <row r="4754" spans="33:33">
      <c r="AG4754" s="536"/>
    </row>
    <row r="4755" spans="33:33">
      <c r="AG4755" s="536"/>
    </row>
    <row r="4756" spans="33:33">
      <c r="AG4756" s="536"/>
    </row>
    <row r="4757" spans="33:33">
      <c r="AG4757" s="536"/>
    </row>
    <row r="4758" spans="33:33">
      <c r="AG4758" s="536"/>
    </row>
    <row r="4759" spans="33:33">
      <c r="AG4759" s="536"/>
    </row>
    <row r="4760" spans="33:33">
      <c r="AG4760" s="536"/>
    </row>
    <row r="4761" spans="33:33">
      <c r="AG4761" s="536"/>
    </row>
    <row r="4762" spans="33:33">
      <c r="AG4762" s="536"/>
    </row>
    <row r="4763" spans="33:33">
      <c r="AG4763" s="536"/>
    </row>
    <row r="4764" spans="33:33">
      <c r="AG4764" s="536"/>
    </row>
    <row r="4765" spans="33:33">
      <c r="AG4765" s="536"/>
    </row>
    <row r="4766" spans="33:33">
      <c r="AG4766" s="536"/>
    </row>
    <row r="4767" spans="33:33">
      <c r="AG4767" s="536"/>
    </row>
    <row r="4768" spans="33:33">
      <c r="AG4768" s="536"/>
    </row>
    <row r="4769" spans="33:33">
      <c r="AG4769" s="536"/>
    </row>
    <row r="4770" spans="33:33">
      <c r="AG4770" s="536"/>
    </row>
    <row r="4771" spans="33:33">
      <c r="AG4771" s="536"/>
    </row>
    <row r="4772" spans="33:33">
      <c r="AG4772" s="536"/>
    </row>
    <row r="4773" spans="33:33">
      <c r="AG4773" s="536"/>
    </row>
    <row r="4774" spans="33:33">
      <c r="AG4774" s="536"/>
    </row>
    <row r="4775" spans="33:33">
      <c r="AG4775" s="536"/>
    </row>
    <row r="4776" spans="33:33">
      <c r="AG4776" s="536"/>
    </row>
    <row r="4777" spans="33:33">
      <c r="AG4777" s="536"/>
    </row>
    <row r="4778" spans="33:33">
      <c r="AG4778" s="536"/>
    </row>
    <row r="4779" spans="33:33">
      <c r="AG4779" s="536"/>
    </row>
    <row r="4780" spans="33:33">
      <c r="AG4780" s="536"/>
    </row>
    <row r="4781" spans="33:33">
      <c r="AG4781" s="536"/>
    </row>
    <row r="4782" spans="33:33">
      <c r="AG4782" s="536"/>
    </row>
    <row r="4783" spans="33:33">
      <c r="AG4783" s="536"/>
    </row>
    <row r="4784" spans="33:33">
      <c r="AG4784" s="536"/>
    </row>
    <row r="4785" spans="33:33">
      <c r="AG4785" s="536"/>
    </row>
    <row r="4786" spans="33:33">
      <c r="AG4786" s="536"/>
    </row>
    <row r="4787" spans="33:33">
      <c r="AG4787" s="536"/>
    </row>
    <row r="4788" spans="33:33">
      <c r="AG4788" s="536"/>
    </row>
    <row r="4789" spans="33:33">
      <c r="AG4789" s="536"/>
    </row>
    <row r="4790" spans="33:33">
      <c r="AG4790" s="536"/>
    </row>
    <row r="4791" spans="33:33">
      <c r="AG4791" s="536"/>
    </row>
    <row r="4792" spans="33:33">
      <c r="AG4792" s="536"/>
    </row>
    <row r="4793" spans="33:33">
      <c r="AG4793" s="536"/>
    </row>
    <row r="4794" spans="33:33">
      <c r="AG4794" s="536"/>
    </row>
    <row r="4795" spans="33:33">
      <c r="AG4795" s="536"/>
    </row>
    <row r="4796" spans="33:33">
      <c r="AG4796" s="536"/>
    </row>
    <row r="4797" spans="33:33">
      <c r="AG4797" s="536"/>
    </row>
    <row r="4798" spans="33:33">
      <c r="AG4798" s="536"/>
    </row>
    <row r="4799" spans="33:33">
      <c r="AG4799" s="536"/>
    </row>
    <row r="4800" spans="33:33">
      <c r="AG4800" s="536"/>
    </row>
    <row r="4801" spans="33:33">
      <c r="AG4801" s="536"/>
    </row>
    <row r="4802" spans="33:33">
      <c r="AG4802" s="536"/>
    </row>
    <row r="4803" spans="33:33">
      <c r="AG4803" s="536"/>
    </row>
    <row r="4804" spans="33:33">
      <c r="AG4804" s="536"/>
    </row>
    <row r="4805" spans="33:33">
      <c r="AG4805" s="536"/>
    </row>
    <row r="4806" spans="33:33">
      <c r="AG4806" s="536"/>
    </row>
    <row r="4807" spans="33:33">
      <c r="AG4807" s="536"/>
    </row>
    <row r="4808" spans="33:33">
      <c r="AG4808" s="536"/>
    </row>
    <row r="4809" spans="33:33">
      <c r="AG4809" s="536"/>
    </row>
    <row r="4810" spans="33:33">
      <c r="AG4810" s="536"/>
    </row>
    <row r="4811" spans="33:33">
      <c r="AG4811" s="536"/>
    </row>
    <row r="4812" spans="33:33">
      <c r="AG4812" s="536"/>
    </row>
    <row r="4813" spans="33:33">
      <c r="AG4813" s="536"/>
    </row>
    <row r="4814" spans="33:33">
      <c r="AG4814" s="536"/>
    </row>
    <row r="4815" spans="33:33">
      <c r="AG4815" s="536"/>
    </row>
    <row r="4816" spans="33:33">
      <c r="AG4816" s="536"/>
    </row>
    <row r="4817" spans="33:33">
      <c r="AG4817" s="536"/>
    </row>
    <row r="4818" spans="33:33">
      <c r="AG4818" s="536"/>
    </row>
    <row r="4819" spans="33:33">
      <c r="AG4819" s="536"/>
    </row>
    <row r="4820" spans="33:33">
      <c r="AG4820" s="536"/>
    </row>
    <row r="4821" spans="33:33">
      <c r="AG4821" s="536"/>
    </row>
    <row r="4822" spans="33:33">
      <c r="AG4822" s="536"/>
    </row>
    <row r="4823" spans="33:33">
      <c r="AG4823" s="536"/>
    </row>
    <row r="4824" spans="33:33">
      <c r="AG4824" s="536"/>
    </row>
    <row r="4825" spans="33:33">
      <c r="AG4825" s="536"/>
    </row>
    <row r="4826" spans="33:33">
      <c r="AG4826" s="536"/>
    </row>
    <row r="4827" spans="33:33">
      <c r="AG4827" s="536"/>
    </row>
    <row r="4828" spans="33:33">
      <c r="AG4828" s="536"/>
    </row>
    <row r="4829" spans="33:33">
      <c r="AG4829" s="536"/>
    </row>
    <row r="4830" spans="33:33">
      <c r="AG4830" s="536"/>
    </row>
    <row r="4831" spans="33:33">
      <c r="AG4831" s="536"/>
    </row>
    <row r="4832" spans="33:33">
      <c r="AG4832" s="536"/>
    </row>
    <row r="4833" spans="33:33">
      <c r="AG4833" s="536"/>
    </row>
    <row r="4834" spans="33:33">
      <c r="AG4834" s="536"/>
    </row>
    <row r="4835" spans="33:33">
      <c r="AG4835" s="536"/>
    </row>
    <row r="4836" spans="33:33">
      <c r="AG4836" s="536"/>
    </row>
    <row r="4837" spans="33:33">
      <c r="AG4837" s="536"/>
    </row>
    <row r="4838" spans="33:33">
      <c r="AG4838" s="536"/>
    </row>
    <row r="4839" spans="33:33">
      <c r="AG4839" s="536"/>
    </row>
    <row r="4840" spans="33:33">
      <c r="AG4840" s="536"/>
    </row>
    <row r="4841" spans="33:33">
      <c r="AG4841" s="536"/>
    </row>
    <row r="4842" spans="33:33">
      <c r="AG4842" s="536"/>
    </row>
    <row r="4843" spans="33:33">
      <c r="AG4843" s="536"/>
    </row>
    <row r="4844" spans="33:33">
      <c r="AG4844" s="536"/>
    </row>
    <row r="4845" spans="33:33">
      <c r="AG4845" s="536"/>
    </row>
    <row r="4846" spans="33:33">
      <c r="AG4846" s="536"/>
    </row>
    <row r="4847" spans="33:33">
      <c r="AG4847" s="536"/>
    </row>
    <row r="4848" spans="33:33">
      <c r="AG4848" s="536"/>
    </row>
    <row r="4849" spans="33:33">
      <c r="AG4849" s="536"/>
    </row>
    <row r="4850" spans="33:33">
      <c r="AG4850" s="536"/>
    </row>
    <row r="4851" spans="33:33">
      <c r="AG4851" s="536"/>
    </row>
    <row r="4852" spans="33:33">
      <c r="AG4852" s="536"/>
    </row>
    <row r="4853" spans="33:33">
      <c r="AG4853" s="536"/>
    </row>
    <row r="4854" spans="33:33">
      <c r="AG4854" s="536"/>
    </row>
    <row r="4855" spans="33:33">
      <c r="AG4855" s="536"/>
    </row>
    <row r="4856" spans="33:33">
      <c r="AG4856" s="536"/>
    </row>
    <row r="4857" spans="33:33">
      <c r="AG4857" s="536"/>
    </row>
    <row r="4858" spans="33:33">
      <c r="AG4858" s="536"/>
    </row>
    <row r="4859" spans="33:33">
      <c r="AG4859" s="536"/>
    </row>
    <row r="4860" spans="33:33">
      <c r="AG4860" s="536"/>
    </row>
    <row r="4861" spans="33:33">
      <c r="AG4861" s="536"/>
    </row>
    <row r="4862" spans="33:33">
      <c r="AG4862" s="536"/>
    </row>
    <row r="4863" spans="33:33">
      <c r="AG4863" s="536"/>
    </row>
    <row r="4864" spans="33:33">
      <c r="AG4864" s="536"/>
    </row>
    <row r="4865" spans="33:33">
      <c r="AG4865" s="536"/>
    </row>
    <row r="4866" spans="33:33">
      <c r="AG4866" s="536"/>
    </row>
    <row r="4867" spans="33:33">
      <c r="AG4867" s="536"/>
    </row>
    <row r="4868" spans="33:33">
      <c r="AG4868" s="536"/>
    </row>
    <row r="4869" spans="33:33">
      <c r="AG4869" s="536"/>
    </row>
    <row r="4870" spans="33:33">
      <c r="AG4870" s="536"/>
    </row>
    <row r="4871" spans="33:33">
      <c r="AG4871" s="536"/>
    </row>
    <row r="4872" spans="33:33">
      <c r="AG4872" s="536"/>
    </row>
    <row r="4873" spans="33:33">
      <c r="AG4873" s="536"/>
    </row>
    <row r="4874" spans="33:33">
      <c r="AG4874" s="536"/>
    </row>
    <row r="4875" spans="33:33">
      <c r="AG4875" s="536"/>
    </row>
    <row r="4876" spans="33:33">
      <c r="AG4876" s="536"/>
    </row>
    <row r="4877" spans="33:33">
      <c r="AG4877" s="536"/>
    </row>
    <row r="4878" spans="33:33">
      <c r="AG4878" s="536"/>
    </row>
    <row r="4879" spans="33:33">
      <c r="AG4879" s="536"/>
    </row>
    <row r="4880" spans="33:33">
      <c r="AG4880" s="536"/>
    </row>
    <row r="4881" spans="33:33">
      <c r="AG4881" s="536"/>
    </row>
    <row r="4882" spans="33:33">
      <c r="AG4882" s="536"/>
    </row>
    <row r="4883" spans="33:33">
      <c r="AG4883" s="536"/>
    </row>
    <row r="4884" spans="33:33">
      <c r="AG4884" s="536"/>
    </row>
    <row r="4885" spans="33:33">
      <c r="AG4885" s="536"/>
    </row>
    <row r="4886" spans="33:33">
      <c r="AG4886" s="536"/>
    </row>
    <row r="4887" spans="33:33">
      <c r="AG4887" s="536"/>
    </row>
    <row r="4888" spans="33:33">
      <c r="AG4888" s="536"/>
    </row>
    <row r="4889" spans="33:33">
      <c r="AG4889" s="536"/>
    </row>
    <row r="4890" spans="33:33">
      <c r="AG4890" s="536"/>
    </row>
    <row r="4891" spans="33:33">
      <c r="AG4891" s="536"/>
    </row>
    <row r="4892" spans="33:33">
      <c r="AG4892" s="536"/>
    </row>
    <row r="4893" spans="33:33">
      <c r="AG4893" s="536"/>
    </row>
    <row r="4894" spans="33:33">
      <c r="AG4894" s="536"/>
    </row>
    <row r="4895" spans="33:33">
      <c r="AG4895" s="536"/>
    </row>
    <row r="4896" spans="33:33">
      <c r="AG4896" s="536"/>
    </row>
    <row r="4897" spans="33:33">
      <c r="AG4897" s="536"/>
    </row>
    <row r="4898" spans="33:33">
      <c r="AG4898" s="536"/>
    </row>
    <row r="4899" spans="33:33">
      <c r="AG4899" s="536"/>
    </row>
    <row r="4900" spans="33:33">
      <c r="AG4900" s="536"/>
    </row>
    <row r="4901" spans="33:33">
      <c r="AG4901" s="536"/>
    </row>
    <row r="4902" spans="33:33">
      <c r="AG4902" s="536"/>
    </row>
    <row r="4903" spans="33:33">
      <c r="AG4903" s="536"/>
    </row>
    <row r="4904" spans="33:33">
      <c r="AG4904" s="536"/>
    </row>
    <row r="4905" spans="33:33">
      <c r="AG4905" s="536"/>
    </row>
    <row r="4906" spans="33:33">
      <c r="AG4906" s="536"/>
    </row>
    <row r="4907" spans="33:33">
      <c r="AG4907" s="536"/>
    </row>
    <row r="4908" spans="33:33">
      <c r="AG4908" s="536"/>
    </row>
    <row r="4909" spans="33:33">
      <c r="AG4909" s="536"/>
    </row>
    <row r="4910" spans="33:33">
      <c r="AG4910" s="536"/>
    </row>
    <row r="4911" spans="33:33">
      <c r="AG4911" s="536"/>
    </row>
    <row r="4912" spans="33:33">
      <c r="AG4912" s="536"/>
    </row>
    <row r="4913" spans="33:33">
      <c r="AG4913" s="536"/>
    </row>
    <row r="4914" spans="33:33">
      <c r="AG4914" s="536"/>
    </row>
    <row r="4915" spans="33:33">
      <c r="AG4915" s="536"/>
    </row>
    <row r="4916" spans="33:33">
      <c r="AG4916" s="536"/>
    </row>
    <row r="4917" spans="33:33">
      <c r="AG4917" s="536"/>
    </row>
    <row r="4918" spans="33:33">
      <c r="AG4918" s="536"/>
    </row>
    <row r="4919" spans="33:33">
      <c r="AG4919" s="536"/>
    </row>
    <row r="4920" spans="33:33">
      <c r="AG4920" s="536"/>
    </row>
    <row r="4921" spans="33:33">
      <c r="AG4921" s="536"/>
    </row>
    <row r="4922" spans="33:33">
      <c r="AG4922" s="536"/>
    </row>
    <row r="4923" spans="33:33">
      <c r="AG4923" s="536"/>
    </row>
    <row r="4924" spans="33:33">
      <c r="AG4924" s="536"/>
    </row>
    <row r="4925" spans="33:33">
      <c r="AG4925" s="536"/>
    </row>
    <row r="4926" spans="33:33">
      <c r="AG4926" s="536"/>
    </row>
    <row r="4927" spans="33:33">
      <c r="AG4927" s="536"/>
    </row>
    <row r="4928" spans="33:33">
      <c r="AG4928" s="536"/>
    </row>
    <row r="4929" spans="33:33">
      <c r="AG4929" s="536"/>
    </row>
    <row r="4930" spans="33:33">
      <c r="AG4930" s="536"/>
    </row>
    <row r="4931" spans="33:33">
      <c r="AG4931" s="536"/>
    </row>
    <row r="4932" spans="33:33">
      <c r="AG4932" s="536"/>
    </row>
    <row r="4933" spans="33:33">
      <c r="AG4933" s="536"/>
    </row>
    <row r="4934" spans="33:33">
      <c r="AG4934" s="536"/>
    </row>
    <row r="4935" spans="33:33">
      <c r="AG4935" s="536"/>
    </row>
    <row r="4936" spans="33:33">
      <c r="AG4936" s="536"/>
    </row>
    <row r="4937" spans="33:33">
      <c r="AG4937" s="536"/>
    </row>
    <row r="4938" spans="33:33">
      <c r="AG4938" s="536"/>
    </row>
    <row r="4939" spans="33:33">
      <c r="AG4939" s="536"/>
    </row>
    <row r="4940" spans="33:33">
      <c r="AG4940" s="536"/>
    </row>
    <row r="4941" spans="33:33">
      <c r="AG4941" s="536"/>
    </row>
    <row r="4942" spans="33:33">
      <c r="AG4942" s="536"/>
    </row>
    <row r="4943" spans="33:33">
      <c r="AG4943" s="536"/>
    </row>
    <row r="4944" spans="33:33">
      <c r="AG4944" s="536"/>
    </row>
    <row r="4945" spans="33:33">
      <c r="AG4945" s="536"/>
    </row>
    <row r="4946" spans="33:33">
      <c r="AG4946" s="536"/>
    </row>
    <row r="4947" spans="33:33">
      <c r="AG4947" s="536"/>
    </row>
    <row r="4948" spans="33:33">
      <c r="AG4948" s="536"/>
    </row>
    <row r="4949" spans="33:33">
      <c r="AG4949" s="536"/>
    </row>
    <row r="4950" spans="33:33">
      <c r="AG4950" s="536"/>
    </row>
    <row r="4951" spans="33:33">
      <c r="AG4951" s="536"/>
    </row>
    <row r="4952" spans="33:33">
      <c r="AG4952" s="536"/>
    </row>
    <row r="4953" spans="33:33">
      <c r="AG4953" s="536"/>
    </row>
    <row r="4954" spans="33:33">
      <c r="AG4954" s="536"/>
    </row>
    <row r="4955" spans="33:33">
      <c r="AG4955" s="536"/>
    </row>
    <row r="4956" spans="33:33">
      <c r="AG4956" s="536"/>
    </row>
    <row r="4957" spans="33:33">
      <c r="AG4957" s="536"/>
    </row>
    <row r="4958" spans="33:33">
      <c r="AG4958" s="536"/>
    </row>
    <row r="4959" spans="33:33">
      <c r="AG4959" s="536"/>
    </row>
    <row r="4960" spans="33:33">
      <c r="AG4960" s="536"/>
    </row>
    <row r="4961" spans="33:33">
      <c r="AG4961" s="536"/>
    </row>
    <row r="4962" spans="33:33">
      <c r="AG4962" s="536"/>
    </row>
    <row r="4963" spans="33:33">
      <c r="AG4963" s="536"/>
    </row>
    <row r="4964" spans="33:33">
      <c r="AG4964" s="536"/>
    </row>
    <row r="4965" spans="33:33">
      <c r="AG4965" s="536"/>
    </row>
    <row r="4966" spans="33:33">
      <c r="AG4966" s="536"/>
    </row>
    <row r="4967" spans="33:33">
      <c r="AG4967" s="536"/>
    </row>
    <row r="4968" spans="33:33">
      <c r="AG4968" s="536"/>
    </row>
    <row r="4969" spans="33:33">
      <c r="AG4969" s="536"/>
    </row>
    <row r="4970" spans="33:33">
      <c r="AG4970" s="536"/>
    </row>
    <row r="4971" spans="33:33">
      <c r="AG4971" s="536"/>
    </row>
    <row r="4972" spans="33:33">
      <c r="AG4972" s="536"/>
    </row>
    <row r="4973" spans="33:33">
      <c r="AG4973" s="536"/>
    </row>
    <row r="4974" spans="33:33">
      <c r="AG4974" s="536"/>
    </row>
    <row r="4975" spans="33:33">
      <c r="AG4975" s="536"/>
    </row>
    <row r="4976" spans="33:33">
      <c r="AG4976" s="536"/>
    </row>
    <row r="4977" spans="33:33">
      <c r="AG4977" s="536"/>
    </row>
    <row r="4978" spans="33:33">
      <c r="AG4978" s="536"/>
    </row>
    <row r="4979" spans="33:33">
      <c r="AG4979" s="536"/>
    </row>
    <row r="4980" spans="33:33">
      <c r="AG4980" s="536"/>
    </row>
    <row r="4981" spans="33:33">
      <c r="AG4981" s="536"/>
    </row>
    <row r="4982" spans="33:33">
      <c r="AG4982" s="536"/>
    </row>
    <row r="4983" spans="33:33">
      <c r="AG4983" s="536"/>
    </row>
    <row r="4984" spans="33:33">
      <c r="AG4984" s="536"/>
    </row>
    <row r="4985" spans="33:33">
      <c r="AG4985" s="536"/>
    </row>
    <row r="4986" spans="33:33">
      <c r="AG4986" s="536"/>
    </row>
    <row r="4987" spans="33:33">
      <c r="AG4987" s="536"/>
    </row>
    <row r="4988" spans="33:33">
      <c r="AG4988" s="536"/>
    </row>
    <row r="4989" spans="33:33">
      <c r="AG4989" s="536"/>
    </row>
    <row r="4990" spans="33:33">
      <c r="AG4990" s="536"/>
    </row>
    <row r="4991" spans="33:33">
      <c r="AG4991" s="536"/>
    </row>
    <row r="4992" spans="33:33">
      <c r="AG4992" s="536"/>
    </row>
    <row r="4993" spans="33:33">
      <c r="AG4993" s="536"/>
    </row>
    <row r="4994" spans="33:33">
      <c r="AG4994" s="536"/>
    </row>
    <row r="4995" spans="33:33">
      <c r="AG4995" s="536"/>
    </row>
    <row r="4996" spans="33:33">
      <c r="AG4996" s="536"/>
    </row>
    <row r="4997" spans="33:33">
      <c r="AG4997" s="536"/>
    </row>
    <row r="4998" spans="33:33">
      <c r="AG4998" s="536"/>
    </row>
    <row r="4999" spans="33:33">
      <c r="AG4999" s="536"/>
    </row>
    <row r="5000" spans="33:33">
      <c r="AG5000" s="536"/>
    </row>
    <row r="5001" spans="33:33">
      <c r="AG5001" s="536"/>
    </row>
    <row r="5002" spans="33:33">
      <c r="AG5002" s="536"/>
    </row>
    <row r="5003" spans="33:33">
      <c r="AG5003" s="536"/>
    </row>
    <row r="5004" spans="33:33">
      <c r="AG5004" s="536"/>
    </row>
    <row r="5005" spans="33:33">
      <c r="AG5005" s="536"/>
    </row>
    <row r="5006" spans="33:33">
      <c r="AG5006" s="536"/>
    </row>
    <row r="5007" spans="33:33">
      <c r="AG5007" s="536"/>
    </row>
    <row r="5008" spans="33:33">
      <c r="AG5008" s="536"/>
    </row>
    <row r="5009" spans="33:33">
      <c r="AG5009" s="536"/>
    </row>
    <row r="5010" spans="33:33">
      <c r="AG5010" s="536"/>
    </row>
    <row r="5011" spans="33:33">
      <c r="AG5011" s="536"/>
    </row>
    <row r="5012" spans="33:33">
      <c r="AG5012" s="536"/>
    </row>
    <row r="5013" spans="33:33">
      <c r="AG5013" s="536"/>
    </row>
    <row r="5014" spans="33:33">
      <c r="AG5014" s="536"/>
    </row>
    <row r="5015" spans="33:33">
      <c r="AG5015" s="536"/>
    </row>
    <row r="5016" spans="33:33">
      <c r="AG5016" s="536"/>
    </row>
    <row r="5017" spans="33:33">
      <c r="AG5017" s="536"/>
    </row>
    <row r="5018" spans="33:33">
      <c r="AG5018" s="536"/>
    </row>
    <row r="5019" spans="33:33">
      <c r="AG5019" s="536"/>
    </row>
    <row r="5020" spans="33:33">
      <c r="AG5020" s="536"/>
    </row>
    <row r="5021" spans="33:33">
      <c r="AG5021" s="536"/>
    </row>
    <row r="5022" spans="33:33">
      <c r="AG5022" s="536"/>
    </row>
    <row r="5023" spans="33:33">
      <c r="AG5023" s="536"/>
    </row>
    <row r="5024" spans="33:33">
      <c r="AG5024" s="536"/>
    </row>
    <row r="5025" spans="33:33">
      <c r="AG5025" s="536"/>
    </row>
    <row r="5026" spans="33:33">
      <c r="AG5026" s="536"/>
    </row>
    <row r="5027" spans="33:33">
      <c r="AG5027" s="536"/>
    </row>
    <row r="5028" spans="33:33">
      <c r="AG5028" s="536"/>
    </row>
    <row r="5029" spans="33:33">
      <c r="AG5029" s="536"/>
    </row>
    <row r="5030" spans="33:33">
      <c r="AG5030" s="536"/>
    </row>
    <row r="5031" spans="33:33">
      <c r="AG5031" s="536"/>
    </row>
    <row r="5032" spans="33:33">
      <c r="AG5032" s="536"/>
    </row>
    <row r="5033" spans="33:33">
      <c r="AG5033" s="536"/>
    </row>
    <row r="5034" spans="33:33">
      <c r="AG5034" s="536"/>
    </row>
    <row r="5035" spans="33:33">
      <c r="AG5035" s="536"/>
    </row>
    <row r="5036" spans="33:33">
      <c r="AG5036" s="536"/>
    </row>
    <row r="5037" spans="33:33">
      <c r="AG5037" s="536"/>
    </row>
    <row r="5038" spans="33:33">
      <c r="AG5038" s="536"/>
    </row>
    <row r="5039" spans="33:33">
      <c r="AG5039" s="536"/>
    </row>
    <row r="5040" spans="33:33">
      <c r="AG5040" s="536"/>
    </row>
    <row r="5041" spans="33:33">
      <c r="AG5041" s="536"/>
    </row>
    <row r="5042" spans="33:33">
      <c r="AG5042" s="536"/>
    </row>
    <row r="5043" spans="33:33">
      <c r="AG5043" s="536"/>
    </row>
    <row r="5044" spans="33:33">
      <c r="AG5044" s="536"/>
    </row>
    <row r="5045" spans="33:33">
      <c r="AG5045" s="536"/>
    </row>
    <row r="5046" spans="33:33">
      <c r="AG5046" s="536"/>
    </row>
    <row r="5047" spans="33:33">
      <c r="AG5047" s="536"/>
    </row>
    <row r="5048" spans="33:33">
      <c r="AG5048" s="536"/>
    </row>
    <row r="5049" spans="33:33">
      <c r="AG5049" s="536"/>
    </row>
    <row r="5050" spans="33:33">
      <c r="AG5050" s="536"/>
    </row>
    <row r="5051" spans="33:33">
      <c r="AG5051" s="536"/>
    </row>
    <row r="5052" spans="33:33">
      <c r="AG5052" s="536"/>
    </row>
    <row r="5053" spans="33:33">
      <c r="AG5053" s="536"/>
    </row>
    <row r="5054" spans="33:33">
      <c r="AG5054" s="536"/>
    </row>
    <row r="5055" spans="33:33">
      <c r="AG5055" s="536"/>
    </row>
    <row r="5056" spans="33:33">
      <c r="AG5056" s="536"/>
    </row>
    <row r="5057" spans="33:33">
      <c r="AG5057" s="536"/>
    </row>
    <row r="5058" spans="33:33">
      <c r="AG5058" s="536"/>
    </row>
    <row r="5059" spans="33:33">
      <c r="AG5059" s="536"/>
    </row>
    <row r="5060" spans="33:33">
      <c r="AG5060" s="536"/>
    </row>
    <row r="5061" spans="33:33">
      <c r="AG5061" s="536"/>
    </row>
    <row r="5062" spans="33:33">
      <c r="AG5062" s="536"/>
    </row>
    <row r="5063" spans="33:33">
      <c r="AG5063" s="536"/>
    </row>
    <row r="5064" spans="33:33">
      <c r="AG5064" s="536"/>
    </row>
    <row r="5065" spans="33:33">
      <c r="AG5065" s="536"/>
    </row>
    <row r="5066" spans="33:33">
      <c r="AG5066" s="536"/>
    </row>
    <row r="5067" spans="33:33">
      <c r="AG5067" s="536"/>
    </row>
    <row r="5068" spans="33:33">
      <c r="AG5068" s="536"/>
    </row>
    <row r="5069" spans="33:33">
      <c r="AG5069" s="536"/>
    </row>
    <row r="5070" spans="33:33">
      <c r="AG5070" s="536"/>
    </row>
    <row r="5071" spans="33:33">
      <c r="AG5071" s="536"/>
    </row>
    <row r="5072" spans="33:33">
      <c r="AG5072" s="536"/>
    </row>
    <row r="5073" spans="33:33">
      <c r="AG5073" s="536"/>
    </row>
    <row r="5074" spans="33:33">
      <c r="AG5074" s="536"/>
    </row>
    <row r="5075" spans="33:33">
      <c r="AG5075" s="536"/>
    </row>
    <row r="5076" spans="33:33">
      <c r="AG5076" s="536"/>
    </row>
    <row r="5077" spans="33:33">
      <c r="AG5077" s="536"/>
    </row>
    <row r="5078" spans="33:33">
      <c r="AG5078" s="536"/>
    </row>
    <row r="5079" spans="33:33">
      <c r="AG5079" s="536"/>
    </row>
    <row r="5080" spans="33:33">
      <c r="AG5080" s="536"/>
    </row>
    <row r="5081" spans="33:33">
      <c r="AG5081" s="536"/>
    </row>
    <row r="5082" spans="33:33">
      <c r="AG5082" s="536"/>
    </row>
    <row r="5083" spans="33:33">
      <c r="AG5083" s="536"/>
    </row>
    <row r="5084" spans="33:33">
      <c r="AG5084" s="536"/>
    </row>
    <row r="5085" spans="33:33">
      <c r="AG5085" s="536"/>
    </row>
    <row r="5086" spans="33:33">
      <c r="AG5086" s="536"/>
    </row>
    <row r="5087" spans="33:33">
      <c r="AG5087" s="536"/>
    </row>
    <row r="5088" spans="33:33">
      <c r="AG5088" s="536"/>
    </row>
    <row r="5089" spans="33:33">
      <c r="AG5089" s="536"/>
    </row>
    <row r="5090" spans="33:33">
      <c r="AG5090" s="536"/>
    </row>
    <row r="5091" spans="33:33">
      <c r="AG5091" s="536"/>
    </row>
    <row r="5092" spans="33:33">
      <c r="AG5092" s="536"/>
    </row>
    <row r="5093" spans="33:33">
      <c r="AG5093" s="536"/>
    </row>
    <row r="5094" spans="33:33">
      <c r="AG5094" s="536"/>
    </row>
    <row r="5095" spans="33:33">
      <c r="AG5095" s="536"/>
    </row>
    <row r="5096" spans="33:33">
      <c r="AG5096" s="536"/>
    </row>
    <row r="5097" spans="33:33">
      <c r="AG5097" s="536"/>
    </row>
    <row r="5098" spans="33:33">
      <c r="AG5098" s="536"/>
    </row>
    <row r="5099" spans="33:33">
      <c r="AG5099" s="536"/>
    </row>
    <row r="5100" spans="33:33">
      <c r="AG5100" s="536"/>
    </row>
    <row r="5101" spans="33:33">
      <c r="AG5101" s="536"/>
    </row>
    <row r="5102" spans="33:33">
      <c r="AG5102" s="536"/>
    </row>
    <row r="5103" spans="33:33">
      <c r="AG5103" s="536"/>
    </row>
    <row r="5104" spans="33:33">
      <c r="AG5104" s="536"/>
    </row>
    <row r="5105" spans="33:33">
      <c r="AG5105" s="536"/>
    </row>
    <row r="5106" spans="33:33">
      <c r="AG5106" s="536"/>
    </row>
    <row r="5107" spans="33:33">
      <c r="AG5107" s="536"/>
    </row>
    <row r="5108" spans="33:33">
      <c r="AG5108" s="536"/>
    </row>
    <row r="5109" spans="33:33">
      <c r="AG5109" s="536"/>
    </row>
    <row r="5110" spans="33:33">
      <c r="AG5110" s="536"/>
    </row>
    <row r="5111" spans="33:33">
      <c r="AG5111" s="536"/>
    </row>
    <row r="5112" spans="33:33">
      <c r="AG5112" s="536"/>
    </row>
    <row r="5113" spans="33:33">
      <c r="AG5113" s="536"/>
    </row>
    <row r="5114" spans="33:33">
      <c r="AG5114" s="536"/>
    </row>
    <row r="5115" spans="33:33">
      <c r="AG5115" s="536"/>
    </row>
    <row r="5116" spans="33:33">
      <c r="AG5116" s="536"/>
    </row>
    <row r="5117" spans="33:33">
      <c r="AG5117" s="536"/>
    </row>
    <row r="5118" spans="33:33">
      <c r="AG5118" s="536"/>
    </row>
    <row r="5119" spans="33:33">
      <c r="AG5119" s="536"/>
    </row>
    <row r="5120" spans="33:33">
      <c r="AG5120" s="536"/>
    </row>
    <row r="5121" spans="33:33">
      <c r="AG5121" s="536"/>
    </row>
    <row r="5122" spans="33:33">
      <c r="AG5122" s="536"/>
    </row>
    <row r="5123" spans="33:33">
      <c r="AG5123" s="536"/>
    </row>
    <row r="5124" spans="33:33">
      <c r="AG5124" s="536"/>
    </row>
    <row r="5125" spans="33:33">
      <c r="AG5125" s="536"/>
    </row>
    <row r="5126" spans="33:33">
      <c r="AG5126" s="536"/>
    </row>
    <row r="5127" spans="33:33">
      <c r="AG5127" s="536"/>
    </row>
    <row r="5128" spans="33:33">
      <c r="AG5128" s="536"/>
    </row>
    <row r="5129" spans="33:33">
      <c r="AG5129" s="536"/>
    </row>
    <row r="5130" spans="33:33">
      <c r="AG5130" s="536"/>
    </row>
    <row r="5131" spans="33:33">
      <c r="AG5131" s="536"/>
    </row>
    <row r="5132" spans="33:33">
      <c r="AG5132" s="536"/>
    </row>
    <row r="5133" spans="33:33">
      <c r="AG5133" s="536"/>
    </row>
    <row r="5134" spans="33:33">
      <c r="AG5134" s="536"/>
    </row>
    <row r="5135" spans="33:33">
      <c r="AG5135" s="536"/>
    </row>
    <row r="5136" spans="33:33">
      <c r="AG5136" s="536"/>
    </row>
    <row r="5137" spans="33:33">
      <c r="AG5137" s="536"/>
    </row>
    <row r="5138" spans="33:33">
      <c r="AG5138" s="536"/>
    </row>
    <row r="5139" spans="33:33">
      <c r="AG5139" s="536"/>
    </row>
    <row r="5140" spans="33:33">
      <c r="AG5140" s="536"/>
    </row>
    <row r="5141" spans="33:33">
      <c r="AG5141" s="536"/>
    </row>
    <row r="5142" spans="33:33">
      <c r="AG5142" s="536"/>
    </row>
    <row r="5143" spans="33:33">
      <c r="AG5143" s="536"/>
    </row>
    <row r="5144" spans="33:33">
      <c r="AG5144" s="536"/>
    </row>
    <row r="5145" spans="33:33">
      <c r="AG5145" s="536"/>
    </row>
    <row r="5146" spans="33:33">
      <c r="AG5146" s="536"/>
    </row>
    <row r="5147" spans="33:33">
      <c r="AG5147" s="536"/>
    </row>
    <row r="5148" spans="33:33">
      <c r="AG5148" s="536"/>
    </row>
    <row r="5149" spans="33:33">
      <c r="AG5149" s="536"/>
    </row>
    <row r="5150" spans="33:33">
      <c r="AG5150" s="536"/>
    </row>
    <row r="5151" spans="33:33">
      <c r="AG5151" s="536"/>
    </row>
    <row r="5152" spans="33:33">
      <c r="AG5152" s="536"/>
    </row>
    <row r="5153" spans="33:33">
      <c r="AG5153" s="536"/>
    </row>
    <row r="5154" spans="33:33">
      <c r="AG5154" s="536"/>
    </row>
    <row r="5155" spans="33:33">
      <c r="AG5155" s="536"/>
    </row>
    <row r="5156" spans="33:33">
      <c r="AG5156" s="536"/>
    </row>
    <row r="5157" spans="33:33">
      <c r="AG5157" s="536"/>
    </row>
    <row r="5158" spans="33:33">
      <c r="AG5158" s="536"/>
    </row>
    <row r="5159" spans="33:33">
      <c r="AG5159" s="536"/>
    </row>
    <row r="5160" spans="33:33">
      <c r="AG5160" s="536"/>
    </row>
    <row r="5161" spans="33:33">
      <c r="AG5161" s="536"/>
    </row>
    <row r="5162" spans="33:33">
      <c r="AG5162" s="536"/>
    </row>
    <row r="5163" spans="33:33">
      <c r="AG5163" s="536"/>
    </row>
    <row r="5164" spans="33:33">
      <c r="AG5164" s="536"/>
    </row>
    <row r="5165" spans="33:33">
      <c r="AG5165" s="536"/>
    </row>
    <row r="5166" spans="33:33">
      <c r="AG5166" s="536"/>
    </row>
    <row r="5167" spans="33:33">
      <c r="AG5167" s="536"/>
    </row>
    <row r="5168" spans="33:33">
      <c r="AG5168" s="536"/>
    </row>
    <row r="5169" spans="33:33">
      <c r="AG5169" s="536"/>
    </row>
    <row r="5170" spans="33:33">
      <c r="AG5170" s="536"/>
    </row>
    <row r="5171" spans="33:33">
      <c r="AG5171" s="536"/>
    </row>
    <row r="5172" spans="33:33">
      <c r="AG5172" s="536"/>
    </row>
    <row r="5173" spans="33:33">
      <c r="AG5173" s="536"/>
    </row>
    <row r="5174" spans="33:33">
      <c r="AG5174" s="536"/>
    </row>
    <row r="5175" spans="33:33">
      <c r="AG5175" s="536"/>
    </row>
    <row r="5176" spans="33:33">
      <c r="AG5176" s="536"/>
    </row>
    <row r="5177" spans="33:33">
      <c r="AG5177" s="536"/>
    </row>
    <row r="5178" spans="33:33">
      <c r="AG5178" s="536"/>
    </row>
    <row r="5179" spans="33:33">
      <c r="AG5179" s="536"/>
    </row>
    <row r="5180" spans="33:33">
      <c r="AG5180" s="536"/>
    </row>
    <row r="5181" spans="33:33">
      <c r="AG5181" s="536"/>
    </row>
    <row r="5182" spans="33:33">
      <c r="AG5182" s="536"/>
    </row>
    <row r="5183" spans="33:33">
      <c r="AG5183" s="536"/>
    </row>
    <row r="5184" spans="33:33">
      <c r="AG5184" s="536"/>
    </row>
    <row r="5185" spans="33:33">
      <c r="AG5185" s="536"/>
    </row>
    <row r="5186" spans="33:33">
      <c r="AG5186" s="536"/>
    </row>
    <row r="5187" spans="33:33">
      <c r="AG5187" s="536"/>
    </row>
    <row r="5188" spans="33:33">
      <c r="AG5188" s="536"/>
    </row>
    <row r="5189" spans="33:33">
      <c r="AG5189" s="536"/>
    </row>
    <row r="5190" spans="33:33">
      <c r="AG5190" s="536"/>
    </row>
    <row r="5191" spans="33:33">
      <c r="AG5191" s="536"/>
    </row>
    <row r="5192" spans="33:33">
      <c r="AG5192" s="536"/>
    </row>
    <row r="5193" spans="33:33">
      <c r="AG5193" s="536"/>
    </row>
    <row r="5194" spans="33:33">
      <c r="AG5194" s="536"/>
    </row>
    <row r="5195" spans="33:33">
      <c r="AG5195" s="536"/>
    </row>
    <row r="5196" spans="33:33">
      <c r="AG5196" s="536"/>
    </row>
    <row r="5197" spans="33:33">
      <c r="AG5197" s="536"/>
    </row>
    <row r="5198" spans="33:33">
      <c r="AG5198" s="536"/>
    </row>
    <row r="5199" spans="33:33">
      <c r="AG5199" s="536"/>
    </row>
    <row r="5200" spans="33:33">
      <c r="AG5200" s="536"/>
    </row>
    <row r="5201" spans="33:33">
      <c r="AG5201" s="536"/>
    </row>
    <row r="5202" spans="33:33">
      <c r="AG5202" s="536"/>
    </row>
    <row r="5203" spans="33:33">
      <c r="AG5203" s="536"/>
    </row>
    <row r="5204" spans="33:33">
      <c r="AG5204" s="536"/>
    </row>
    <row r="5205" spans="33:33">
      <c r="AG5205" s="536"/>
    </row>
    <row r="5206" spans="33:33">
      <c r="AG5206" s="536"/>
    </row>
    <row r="5207" spans="33:33">
      <c r="AG5207" s="536"/>
    </row>
    <row r="5208" spans="33:33">
      <c r="AG5208" s="536"/>
    </row>
    <row r="5209" spans="33:33">
      <c r="AG5209" s="536"/>
    </row>
    <row r="5210" spans="33:33">
      <c r="AG5210" s="536"/>
    </row>
    <row r="5211" spans="33:33">
      <c r="AG5211" s="536"/>
    </row>
    <row r="5212" spans="33:33">
      <c r="AG5212" s="536"/>
    </row>
    <row r="5213" spans="33:33">
      <c r="AG5213" s="536"/>
    </row>
    <row r="5214" spans="33:33">
      <c r="AG5214" s="536"/>
    </row>
    <row r="5215" spans="33:33">
      <c r="AG5215" s="536"/>
    </row>
    <row r="5216" spans="33:33">
      <c r="AG5216" s="536"/>
    </row>
    <row r="5217" spans="33:33">
      <c r="AG5217" s="536"/>
    </row>
    <row r="5218" spans="33:33">
      <c r="AG5218" s="536"/>
    </row>
    <row r="5219" spans="33:33">
      <c r="AG5219" s="536"/>
    </row>
    <row r="5220" spans="33:33">
      <c r="AG5220" s="536"/>
    </row>
    <row r="5221" spans="33:33">
      <c r="AG5221" s="536"/>
    </row>
    <row r="5222" spans="33:33">
      <c r="AG5222" s="536"/>
    </row>
    <row r="5223" spans="33:33">
      <c r="AG5223" s="536"/>
    </row>
    <row r="5224" spans="33:33">
      <c r="AG5224" s="536"/>
    </row>
    <row r="5225" spans="33:33">
      <c r="AG5225" s="536"/>
    </row>
    <row r="5226" spans="33:33">
      <c r="AG5226" s="536"/>
    </row>
    <row r="5227" spans="33:33">
      <c r="AG5227" s="536"/>
    </row>
    <row r="5228" spans="33:33">
      <c r="AG5228" s="536"/>
    </row>
    <row r="5229" spans="33:33">
      <c r="AG5229" s="536"/>
    </row>
    <row r="5230" spans="33:33">
      <c r="AG5230" s="536"/>
    </row>
    <row r="5231" spans="33:33">
      <c r="AG5231" s="536"/>
    </row>
    <row r="5232" spans="33:33">
      <c r="AG5232" s="536"/>
    </row>
    <row r="5233" spans="33:33">
      <c r="AG5233" s="536"/>
    </row>
    <row r="5234" spans="33:33">
      <c r="AG5234" s="536"/>
    </row>
    <row r="5235" spans="33:33">
      <c r="AG5235" s="536"/>
    </row>
    <row r="5236" spans="33:33">
      <c r="AG5236" s="536"/>
    </row>
    <row r="5237" spans="33:33">
      <c r="AG5237" s="536"/>
    </row>
    <row r="5238" spans="33:33">
      <c r="AG5238" s="536"/>
    </row>
    <row r="5239" spans="33:33">
      <c r="AG5239" s="536"/>
    </row>
    <row r="5240" spans="33:33">
      <c r="AG5240" s="536"/>
    </row>
    <row r="5241" spans="33:33">
      <c r="AG5241" s="536"/>
    </row>
    <row r="5242" spans="33:33">
      <c r="AG5242" s="536"/>
    </row>
    <row r="5243" spans="33:33">
      <c r="AG5243" s="536"/>
    </row>
    <row r="5244" spans="33:33">
      <c r="AG5244" s="536"/>
    </row>
    <row r="5245" spans="33:33">
      <c r="AG5245" s="536"/>
    </row>
    <row r="5246" spans="33:33">
      <c r="AG5246" s="536"/>
    </row>
    <row r="5247" spans="33:33">
      <c r="AG5247" s="536"/>
    </row>
    <row r="5248" spans="33:33">
      <c r="AG5248" s="536"/>
    </row>
    <row r="5249" spans="33:33">
      <c r="AG5249" s="536"/>
    </row>
    <row r="5250" spans="33:33">
      <c r="AG5250" s="536"/>
    </row>
    <row r="5251" spans="33:33">
      <c r="AG5251" s="536"/>
    </row>
    <row r="5252" spans="33:33">
      <c r="AG5252" s="536"/>
    </row>
    <row r="5253" spans="33:33">
      <c r="AG5253" s="536"/>
    </row>
    <row r="5254" spans="33:33">
      <c r="AG5254" s="536"/>
    </row>
    <row r="5255" spans="33:33">
      <c r="AG5255" s="536"/>
    </row>
    <row r="5256" spans="33:33">
      <c r="AG5256" s="536"/>
    </row>
    <row r="5257" spans="33:33">
      <c r="AG5257" s="536"/>
    </row>
    <row r="5258" spans="33:33">
      <c r="AG5258" s="536"/>
    </row>
    <row r="5259" spans="33:33">
      <c r="AG5259" s="536"/>
    </row>
    <row r="5260" spans="33:33">
      <c r="AG5260" s="536"/>
    </row>
    <row r="5261" spans="33:33">
      <c r="AG5261" s="536"/>
    </row>
    <row r="5262" spans="33:33">
      <c r="AG5262" s="536"/>
    </row>
    <row r="5263" spans="33:33">
      <c r="AG5263" s="536"/>
    </row>
    <row r="5264" spans="33:33">
      <c r="AG5264" s="536"/>
    </row>
    <row r="5265" spans="33:33">
      <c r="AG5265" s="536"/>
    </row>
    <row r="5266" spans="33:33">
      <c r="AG5266" s="536"/>
    </row>
    <row r="5267" spans="33:33">
      <c r="AG5267" s="536"/>
    </row>
    <row r="5268" spans="33:33">
      <c r="AG5268" s="536"/>
    </row>
    <row r="5269" spans="33:33">
      <c r="AG5269" s="536"/>
    </row>
    <row r="5270" spans="33:33">
      <c r="AG5270" s="536"/>
    </row>
    <row r="5271" spans="33:33">
      <c r="AG5271" s="536"/>
    </row>
    <row r="5272" spans="33:33">
      <c r="AG5272" s="536"/>
    </row>
    <row r="5273" spans="33:33">
      <c r="AG5273" s="536"/>
    </row>
    <row r="5274" spans="33:33">
      <c r="AG5274" s="536"/>
    </row>
    <row r="5275" spans="33:33">
      <c r="AG5275" s="536"/>
    </row>
    <row r="5276" spans="33:33">
      <c r="AG5276" s="536"/>
    </row>
    <row r="5277" spans="33:33">
      <c r="AG5277" s="536"/>
    </row>
    <row r="5278" spans="33:33">
      <c r="AG5278" s="536"/>
    </row>
    <row r="5279" spans="33:33">
      <c r="AG5279" s="536"/>
    </row>
    <row r="5280" spans="33:33">
      <c r="AG5280" s="536"/>
    </row>
    <row r="5281" spans="33:33">
      <c r="AG5281" s="536"/>
    </row>
    <row r="5282" spans="33:33">
      <c r="AG5282" s="536"/>
    </row>
    <row r="5283" spans="33:33">
      <c r="AG5283" s="536"/>
    </row>
    <row r="5284" spans="33:33">
      <c r="AG5284" s="536"/>
    </row>
    <row r="5285" spans="33:33">
      <c r="AG5285" s="536"/>
    </row>
    <row r="5286" spans="33:33">
      <c r="AG5286" s="536"/>
    </row>
    <row r="5287" spans="33:33">
      <c r="AG5287" s="536"/>
    </row>
    <row r="5288" spans="33:33">
      <c r="AG5288" s="536"/>
    </row>
    <row r="5289" spans="33:33">
      <c r="AG5289" s="536"/>
    </row>
    <row r="5290" spans="33:33">
      <c r="AG5290" s="536"/>
    </row>
    <row r="5291" spans="33:33">
      <c r="AG5291" s="536"/>
    </row>
    <row r="5292" spans="33:33">
      <c r="AG5292" s="536"/>
    </row>
    <row r="5293" spans="33:33">
      <c r="AG5293" s="536"/>
    </row>
    <row r="5294" spans="33:33">
      <c r="AG5294" s="536"/>
    </row>
    <row r="5295" spans="33:33">
      <c r="AG5295" s="536"/>
    </row>
    <row r="5296" spans="33:33">
      <c r="AG5296" s="536"/>
    </row>
    <row r="5297" spans="33:33">
      <c r="AG5297" s="536"/>
    </row>
    <row r="5298" spans="33:33">
      <c r="AG5298" s="536"/>
    </row>
    <row r="5299" spans="33:33">
      <c r="AG5299" s="536"/>
    </row>
    <row r="5300" spans="33:33">
      <c r="AG5300" s="536"/>
    </row>
    <row r="5301" spans="33:33">
      <c r="AG5301" s="536"/>
    </row>
    <row r="5302" spans="33:33">
      <c r="AG5302" s="536"/>
    </row>
    <row r="5303" spans="33:33">
      <c r="AG5303" s="536"/>
    </row>
    <row r="5304" spans="33:33">
      <c r="AG5304" s="536"/>
    </row>
    <row r="5305" spans="33:33">
      <c r="AG5305" s="536"/>
    </row>
    <row r="5306" spans="33:33">
      <c r="AG5306" s="536"/>
    </row>
    <row r="5307" spans="33:33">
      <c r="AG5307" s="536"/>
    </row>
    <row r="5308" spans="33:33">
      <c r="AG5308" s="536"/>
    </row>
    <row r="5309" spans="33:33">
      <c r="AG5309" s="536"/>
    </row>
    <row r="5310" spans="33:33">
      <c r="AG5310" s="536"/>
    </row>
    <row r="5311" spans="33:33">
      <c r="AG5311" s="536"/>
    </row>
    <row r="5312" spans="33:33">
      <c r="AG5312" s="536"/>
    </row>
    <row r="5313" spans="33:33">
      <c r="AG5313" s="536"/>
    </row>
    <row r="5314" spans="33:33">
      <c r="AG5314" s="536"/>
    </row>
    <row r="5315" spans="33:33">
      <c r="AG5315" s="536"/>
    </row>
    <row r="5316" spans="33:33">
      <c r="AG5316" s="536"/>
    </row>
    <row r="5317" spans="33:33">
      <c r="AG5317" s="536"/>
    </row>
    <row r="5318" spans="33:33">
      <c r="AG5318" s="536"/>
    </row>
    <row r="5319" spans="33:33">
      <c r="AG5319" s="536"/>
    </row>
    <row r="5320" spans="33:33">
      <c r="AG5320" s="536"/>
    </row>
    <row r="5321" spans="33:33">
      <c r="AG5321" s="536"/>
    </row>
    <row r="5322" spans="33:33">
      <c r="AG5322" s="536"/>
    </row>
    <row r="5323" spans="33:33">
      <c r="AG5323" s="536"/>
    </row>
    <row r="5324" spans="33:33">
      <c r="AG5324" s="536"/>
    </row>
    <row r="5325" spans="33:33">
      <c r="AG5325" s="536"/>
    </row>
    <row r="5326" spans="33:33">
      <c r="AG5326" s="536"/>
    </row>
    <row r="5327" spans="33:33">
      <c r="AG5327" s="536"/>
    </row>
    <row r="5328" spans="33:33">
      <c r="AG5328" s="536"/>
    </row>
    <row r="5329" spans="33:33">
      <c r="AG5329" s="536"/>
    </row>
    <row r="5330" spans="33:33">
      <c r="AG5330" s="536"/>
    </row>
    <row r="5331" spans="33:33">
      <c r="AG5331" s="536"/>
    </row>
    <row r="5332" spans="33:33">
      <c r="AG5332" s="536"/>
    </row>
    <row r="5333" spans="33:33">
      <c r="AG5333" s="536"/>
    </row>
    <row r="5334" spans="33:33">
      <c r="AG5334" s="536"/>
    </row>
    <row r="5335" spans="33:33">
      <c r="AG5335" s="536"/>
    </row>
    <row r="5336" spans="33:33">
      <c r="AG5336" s="536"/>
    </row>
    <row r="5337" spans="33:33">
      <c r="AG5337" s="536"/>
    </row>
    <row r="5338" spans="33:33">
      <c r="AG5338" s="536"/>
    </row>
    <row r="5339" spans="33:33">
      <c r="AG5339" s="536"/>
    </row>
    <row r="5340" spans="33:33">
      <c r="AG5340" s="536"/>
    </row>
    <row r="5341" spans="33:33">
      <c r="AG5341" s="536"/>
    </row>
    <row r="5342" spans="33:33">
      <c r="AG5342" s="536"/>
    </row>
    <row r="5343" spans="33:33">
      <c r="AG5343" s="536"/>
    </row>
    <row r="5344" spans="33:33">
      <c r="AG5344" s="536"/>
    </row>
    <row r="5345" spans="33:33">
      <c r="AG5345" s="536"/>
    </row>
    <row r="5346" spans="33:33">
      <c r="AG5346" s="536"/>
    </row>
    <row r="5347" spans="33:33">
      <c r="AG5347" s="536"/>
    </row>
    <row r="5348" spans="33:33">
      <c r="AG5348" s="536"/>
    </row>
    <row r="5349" spans="33:33">
      <c r="AG5349" s="536"/>
    </row>
    <row r="5350" spans="33:33">
      <c r="AG5350" s="536"/>
    </row>
    <row r="5351" spans="33:33">
      <c r="AG5351" s="536"/>
    </row>
    <row r="5352" spans="33:33">
      <c r="AG5352" s="536"/>
    </row>
    <row r="5353" spans="33:33">
      <c r="AG5353" s="536"/>
    </row>
    <row r="5354" spans="33:33">
      <c r="AG5354" s="536"/>
    </row>
    <row r="5355" spans="33:33">
      <c r="AG5355" s="536"/>
    </row>
    <row r="5356" spans="33:33">
      <c r="AG5356" s="536"/>
    </row>
    <row r="5357" spans="33:33">
      <c r="AG5357" s="536"/>
    </row>
    <row r="5358" spans="33:33">
      <c r="AG5358" s="536"/>
    </row>
    <row r="5359" spans="33:33">
      <c r="AG5359" s="536"/>
    </row>
    <row r="5360" spans="33:33">
      <c r="AG5360" s="536"/>
    </row>
    <row r="5361" spans="33:33">
      <c r="AG5361" s="536"/>
    </row>
    <row r="5362" spans="33:33">
      <c r="AG5362" s="536"/>
    </row>
    <row r="5363" spans="33:33">
      <c r="AG5363" s="536"/>
    </row>
    <row r="5364" spans="33:33">
      <c r="AG5364" s="536"/>
    </row>
    <row r="5365" spans="33:33">
      <c r="AG5365" s="536"/>
    </row>
    <row r="5366" spans="33:33">
      <c r="AG5366" s="536"/>
    </row>
    <row r="5367" spans="33:33">
      <c r="AG5367" s="536"/>
    </row>
    <row r="5368" spans="33:33">
      <c r="AG5368" s="536"/>
    </row>
    <row r="5369" spans="33:33">
      <c r="AG5369" s="536"/>
    </row>
    <row r="5370" spans="33:33">
      <c r="AG5370" s="536"/>
    </row>
    <row r="5371" spans="33:33">
      <c r="AG5371" s="536"/>
    </row>
    <row r="5372" spans="33:33">
      <c r="AG5372" s="536"/>
    </row>
    <row r="5373" spans="33:33">
      <c r="AG5373" s="536"/>
    </row>
    <row r="5374" spans="33:33">
      <c r="AG5374" s="536"/>
    </row>
    <row r="5375" spans="33:33">
      <c r="AG5375" s="536"/>
    </row>
    <row r="5376" spans="33:33">
      <c r="AG5376" s="536"/>
    </row>
    <row r="5377" spans="33:33">
      <c r="AG5377" s="536"/>
    </row>
    <row r="5378" spans="33:33">
      <c r="AG5378" s="536"/>
    </row>
    <row r="5379" spans="33:33">
      <c r="AG5379" s="536"/>
    </row>
    <row r="5380" spans="33:33">
      <c r="AG5380" s="536"/>
    </row>
    <row r="5381" spans="33:33">
      <c r="AG5381" s="536"/>
    </row>
    <row r="5382" spans="33:33">
      <c r="AG5382" s="536"/>
    </row>
    <row r="5383" spans="33:33">
      <c r="AG5383" s="536"/>
    </row>
    <row r="5384" spans="33:33">
      <c r="AG5384" s="536"/>
    </row>
    <row r="5385" spans="33:33">
      <c r="AG5385" s="536"/>
    </row>
    <row r="5386" spans="33:33">
      <c r="AG5386" s="536"/>
    </row>
    <row r="5387" spans="33:33">
      <c r="AG5387" s="536"/>
    </row>
    <row r="5388" spans="33:33">
      <c r="AG5388" s="536"/>
    </row>
    <row r="5389" spans="33:33">
      <c r="AG5389" s="536"/>
    </row>
    <row r="5390" spans="33:33">
      <c r="AG5390" s="536"/>
    </row>
    <row r="5391" spans="33:33">
      <c r="AG5391" s="536"/>
    </row>
    <row r="5392" spans="33:33">
      <c r="AG5392" s="536"/>
    </row>
    <row r="5393" spans="33:33">
      <c r="AG5393" s="536"/>
    </row>
    <row r="5394" spans="33:33">
      <c r="AG5394" s="536"/>
    </row>
    <row r="5395" spans="33:33">
      <c r="AG5395" s="536"/>
    </row>
    <row r="5396" spans="33:33">
      <c r="AG5396" s="536"/>
    </row>
    <row r="5397" spans="33:33">
      <c r="AG5397" s="536"/>
    </row>
    <row r="5398" spans="33:33">
      <c r="AG5398" s="536"/>
    </row>
    <row r="5399" spans="33:33">
      <c r="AG5399" s="536"/>
    </row>
    <row r="5400" spans="33:33">
      <c r="AG5400" s="536"/>
    </row>
    <row r="5401" spans="33:33">
      <c r="AG5401" s="536"/>
    </row>
    <row r="5402" spans="33:33">
      <c r="AG5402" s="536"/>
    </row>
    <row r="5403" spans="33:33">
      <c r="AG5403" s="536"/>
    </row>
    <row r="5404" spans="33:33">
      <c r="AG5404" s="536"/>
    </row>
    <row r="5405" spans="33:33">
      <c r="AG5405" s="536"/>
    </row>
    <row r="5406" spans="33:33">
      <c r="AG5406" s="536"/>
    </row>
    <row r="5407" spans="33:33">
      <c r="AG5407" s="536"/>
    </row>
    <row r="5408" spans="33:33">
      <c r="AG5408" s="536"/>
    </row>
    <row r="5409" spans="33:33">
      <c r="AG5409" s="536"/>
    </row>
    <row r="5410" spans="33:33">
      <c r="AG5410" s="536"/>
    </row>
    <row r="5411" spans="33:33">
      <c r="AG5411" s="536"/>
    </row>
    <row r="5412" spans="33:33">
      <c r="AG5412" s="536"/>
    </row>
    <row r="5413" spans="33:33">
      <c r="AG5413" s="536"/>
    </row>
    <row r="5414" spans="33:33">
      <c r="AG5414" s="536"/>
    </row>
    <row r="5415" spans="33:33">
      <c r="AG5415" s="536"/>
    </row>
    <row r="5416" spans="33:33">
      <c r="AG5416" s="536"/>
    </row>
    <row r="5417" spans="33:33">
      <c r="AG5417" s="536"/>
    </row>
    <row r="5418" spans="33:33">
      <c r="AG5418" s="536"/>
    </row>
    <row r="5419" spans="33:33">
      <c r="AG5419" s="536"/>
    </row>
    <row r="5420" spans="33:33">
      <c r="AG5420" s="536"/>
    </row>
    <row r="5421" spans="33:33">
      <c r="AG5421" s="536"/>
    </row>
    <row r="5422" spans="33:33">
      <c r="AG5422" s="536"/>
    </row>
    <row r="5423" spans="33:33">
      <c r="AG5423" s="536"/>
    </row>
    <row r="5424" spans="33:33">
      <c r="AG5424" s="536"/>
    </row>
    <row r="5425" spans="33:33">
      <c r="AG5425" s="536"/>
    </row>
    <row r="5426" spans="33:33">
      <c r="AG5426" s="536"/>
    </row>
    <row r="5427" spans="33:33">
      <c r="AG5427" s="536"/>
    </row>
    <row r="5428" spans="33:33">
      <c r="AG5428" s="536"/>
    </row>
    <row r="5429" spans="33:33">
      <c r="AG5429" s="536"/>
    </row>
    <row r="5430" spans="33:33">
      <c r="AG5430" s="536"/>
    </row>
    <row r="5431" spans="33:33">
      <c r="AG5431" s="536"/>
    </row>
    <row r="5432" spans="33:33">
      <c r="AG5432" s="536"/>
    </row>
    <row r="5433" spans="33:33">
      <c r="AG5433" s="536"/>
    </row>
    <row r="5434" spans="33:33">
      <c r="AG5434" s="536"/>
    </row>
    <row r="5435" spans="33:33">
      <c r="AG5435" s="536"/>
    </row>
    <row r="5436" spans="33:33">
      <c r="AG5436" s="536"/>
    </row>
    <row r="5437" spans="33:33">
      <c r="AG5437" s="536"/>
    </row>
    <row r="5438" spans="33:33">
      <c r="AG5438" s="536"/>
    </row>
    <row r="5439" spans="33:33">
      <c r="AG5439" s="536"/>
    </row>
    <row r="5440" spans="33:33">
      <c r="AG5440" s="536"/>
    </row>
    <row r="5441" spans="33:33">
      <c r="AG5441" s="536"/>
    </row>
    <row r="5442" spans="33:33">
      <c r="AG5442" s="536"/>
    </row>
    <row r="5443" spans="33:33">
      <c r="AG5443" s="536"/>
    </row>
    <row r="5444" spans="33:33">
      <c r="AG5444" s="536"/>
    </row>
    <row r="5445" spans="33:33">
      <c r="AG5445" s="536"/>
    </row>
    <row r="5446" spans="33:33">
      <c r="AG5446" s="536"/>
    </row>
    <row r="5447" spans="33:33">
      <c r="AG5447" s="536"/>
    </row>
    <row r="5448" spans="33:33">
      <c r="AG5448" s="536"/>
    </row>
    <row r="5449" spans="33:33">
      <c r="AG5449" s="536"/>
    </row>
    <row r="5450" spans="33:33">
      <c r="AG5450" s="536"/>
    </row>
    <row r="5451" spans="33:33">
      <c r="AG5451" s="536"/>
    </row>
    <row r="5452" spans="33:33">
      <c r="AG5452" s="536"/>
    </row>
    <row r="5453" spans="33:33">
      <c r="AG5453" s="536"/>
    </row>
    <row r="5454" spans="33:33">
      <c r="AG5454" s="536"/>
    </row>
    <row r="5455" spans="33:33">
      <c r="AG5455" s="536"/>
    </row>
    <row r="5456" spans="33:33">
      <c r="AG5456" s="536"/>
    </row>
    <row r="5457" spans="33:33">
      <c r="AG5457" s="536"/>
    </row>
    <row r="5458" spans="33:33">
      <c r="AG5458" s="536"/>
    </row>
    <row r="5459" spans="33:33">
      <c r="AG5459" s="536"/>
    </row>
    <row r="5460" spans="33:33">
      <c r="AG5460" s="536"/>
    </row>
    <row r="5461" spans="33:33">
      <c r="AG5461" s="536"/>
    </row>
    <row r="5462" spans="33:33">
      <c r="AG5462" s="536"/>
    </row>
    <row r="5463" spans="33:33">
      <c r="AG5463" s="536"/>
    </row>
    <row r="5464" spans="33:33">
      <c r="AG5464" s="536"/>
    </row>
    <row r="5465" spans="33:33">
      <c r="AG5465" s="536"/>
    </row>
    <row r="5466" spans="33:33">
      <c r="AG5466" s="536"/>
    </row>
    <row r="5467" spans="33:33">
      <c r="AG5467" s="536"/>
    </row>
    <row r="5468" spans="33:33">
      <c r="AG5468" s="536"/>
    </row>
    <row r="5469" spans="33:33">
      <c r="AG5469" s="536"/>
    </row>
    <row r="5470" spans="33:33">
      <c r="AG5470" s="536"/>
    </row>
    <row r="5471" spans="33:33">
      <c r="AG5471" s="536"/>
    </row>
    <row r="5472" spans="33:33">
      <c r="AG5472" s="536"/>
    </row>
    <row r="5473" spans="33:33">
      <c r="AG5473" s="536"/>
    </row>
    <row r="5474" spans="33:33">
      <c r="AG5474" s="536"/>
    </row>
    <row r="5475" spans="33:33">
      <c r="AG5475" s="536"/>
    </row>
    <row r="5476" spans="33:33">
      <c r="AG5476" s="536"/>
    </row>
    <row r="5477" spans="33:33">
      <c r="AG5477" s="536"/>
    </row>
    <row r="5478" spans="33:33">
      <c r="AG5478" s="536"/>
    </row>
    <row r="5479" spans="33:33">
      <c r="AG5479" s="536"/>
    </row>
    <row r="5480" spans="33:33">
      <c r="AG5480" s="536"/>
    </row>
    <row r="5481" spans="33:33">
      <c r="AG5481" s="536"/>
    </row>
    <row r="5482" spans="33:33">
      <c r="AG5482" s="536"/>
    </row>
    <row r="5483" spans="33:33">
      <c r="AG5483" s="536"/>
    </row>
    <row r="5484" spans="33:33">
      <c r="AG5484" s="536"/>
    </row>
    <row r="5485" spans="33:33">
      <c r="AG5485" s="536"/>
    </row>
    <row r="5486" spans="33:33">
      <c r="AG5486" s="536"/>
    </row>
    <row r="5487" spans="33:33">
      <c r="AG5487" s="536"/>
    </row>
    <row r="5488" spans="33:33">
      <c r="AG5488" s="536"/>
    </row>
    <row r="5489" spans="33:33">
      <c r="AG5489" s="536"/>
    </row>
    <row r="5490" spans="33:33">
      <c r="AG5490" s="536"/>
    </row>
    <row r="5491" spans="33:33">
      <c r="AG5491" s="536"/>
    </row>
    <row r="5492" spans="33:33">
      <c r="AG5492" s="536"/>
    </row>
    <row r="5493" spans="33:33">
      <c r="AG5493" s="536"/>
    </row>
    <row r="5494" spans="33:33">
      <c r="AG5494" s="536"/>
    </row>
    <row r="5495" spans="33:33">
      <c r="AG5495" s="536"/>
    </row>
    <row r="5496" spans="33:33">
      <c r="AG5496" s="536"/>
    </row>
    <row r="5497" spans="33:33">
      <c r="AG5497" s="536"/>
    </row>
    <row r="5498" spans="33:33">
      <c r="AG5498" s="536"/>
    </row>
    <row r="5499" spans="33:33">
      <c r="AG5499" s="536"/>
    </row>
    <row r="5500" spans="33:33">
      <c r="AG5500" s="536"/>
    </row>
    <row r="5501" spans="33:33">
      <c r="AG5501" s="536"/>
    </row>
    <row r="5502" spans="33:33">
      <c r="AG5502" s="536"/>
    </row>
    <row r="5503" spans="33:33">
      <c r="AG5503" s="536"/>
    </row>
    <row r="5504" spans="33:33">
      <c r="AG5504" s="536"/>
    </row>
    <row r="5505" spans="33:33">
      <c r="AG5505" s="536"/>
    </row>
    <row r="5506" spans="33:33">
      <c r="AG5506" s="536"/>
    </row>
    <row r="5507" spans="33:33">
      <c r="AG5507" s="536"/>
    </row>
    <row r="5508" spans="33:33">
      <c r="AG5508" s="536"/>
    </row>
    <row r="5509" spans="33:33">
      <c r="AG5509" s="536"/>
    </row>
    <row r="5510" spans="33:33">
      <c r="AG5510" s="536"/>
    </row>
    <row r="5511" spans="33:33">
      <c r="AG5511" s="536"/>
    </row>
    <row r="5512" spans="33:33">
      <c r="AG5512" s="536"/>
    </row>
    <row r="5513" spans="33:33">
      <c r="AG5513" s="536"/>
    </row>
    <row r="5514" spans="33:33">
      <c r="AG5514" s="536"/>
    </row>
    <row r="5515" spans="33:33">
      <c r="AG5515" s="536"/>
    </row>
    <row r="5516" spans="33:33">
      <c r="AG5516" s="536"/>
    </row>
    <row r="5517" spans="33:33">
      <c r="AG5517" s="536"/>
    </row>
    <row r="5518" spans="33:33">
      <c r="AG5518" s="536"/>
    </row>
    <row r="5519" spans="33:33">
      <c r="AG5519" s="536"/>
    </row>
    <row r="5520" spans="33:33">
      <c r="AG5520" s="536"/>
    </row>
    <row r="5521" spans="33:33">
      <c r="AG5521" s="536"/>
    </row>
    <row r="5522" spans="33:33">
      <c r="AG5522" s="536"/>
    </row>
    <row r="5523" spans="33:33">
      <c r="AG5523" s="536"/>
    </row>
    <row r="5524" spans="33:33">
      <c r="AG5524" s="536"/>
    </row>
    <row r="5525" spans="33:33">
      <c r="AG5525" s="536"/>
    </row>
    <row r="5526" spans="33:33">
      <c r="AG5526" s="536"/>
    </row>
    <row r="5527" spans="33:33">
      <c r="AG5527" s="536"/>
    </row>
    <row r="5528" spans="33:33">
      <c r="AG5528" s="536"/>
    </row>
    <row r="5529" spans="33:33">
      <c r="AG5529" s="536"/>
    </row>
    <row r="5530" spans="33:33">
      <c r="AG5530" s="536"/>
    </row>
    <row r="5531" spans="33:33">
      <c r="AG5531" s="536"/>
    </row>
    <row r="5532" spans="33:33">
      <c r="AG5532" s="536"/>
    </row>
    <row r="5533" spans="33:33">
      <c r="AG5533" s="536"/>
    </row>
    <row r="5534" spans="33:33">
      <c r="AG5534" s="536"/>
    </row>
    <row r="5535" spans="33:33">
      <c r="AG5535" s="536"/>
    </row>
    <row r="5536" spans="33:33">
      <c r="AG5536" s="536"/>
    </row>
    <row r="5537" spans="33:33">
      <c r="AG5537" s="536"/>
    </row>
    <row r="5538" spans="33:33">
      <c r="AG5538" s="536"/>
    </row>
    <row r="5539" spans="33:33">
      <c r="AG5539" s="536"/>
    </row>
    <row r="5540" spans="33:33">
      <c r="AG5540" s="536"/>
    </row>
    <row r="5541" spans="33:33">
      <c r="AG5541" s="536"/>
    </row>
    <row r="5542" spans="33:33">
      <c r="AG5542" s="536"/>
    </row>
    <row r="5543" spans="33:33">
      <c r="AG5543" s="536"/>
    </row>
    <row r="5544" spans="33:33">
      <c r="AG5544" s="536"/>
    </row>
    <row r="5545" spans="33:33">
      <c r="AG5545" s="536"/>
    </row>
    <row r="5546" spans="33:33">
      <c r="AG5546" s="536"/>
    </row>
    <row r="5547" spans="33:33">
      <c r="AG5547" s="536"/>
    </row>
    <row r="5548" spans="33:33">
      <c r="AG5548" s="536"/>
    </row>
    <row r="5549" spans="33:33">
      <c r="AG5549" s="536"/>
    </row>
    <row r="5550" spans="33:33">
      <c r="AG5550" s="536"/>
    </row>
    <row r="5551" spans="33:33">
      <c r="AG5551" s="536"/>
    </row>
    <row r="5552" spans="33:33">
      <c r="AG5552" s="536"/>
    </row>
    <row r="5553" spans="33:33">
      <c r="AG5553" s="536"/>
    </row>
    <row r="5554" spans="33:33">
      <c r="AG5554" s="536"/>
    </row>
    <row r="5555" spans="33:33">
      <c r="AG5555" s="536"/>
    </row>
    <row r="5556" spans="33:33">
      <c r="AG5556" s="536"/>
    </row>
    <row r="5557" spans="33:33">
      <c r="AG5557" s="536"/>
    </row>
    <row r="5558" spans="33:33">
      <c r="AG5558" s="536"/>
    </row>
    <row r="5559" spans="33:33">
      <c r="AG5559" s="536"/>
    </row>
    <row r="5560" spans="33:33">
      <c r="AG5560" s="536"/>
    </row>
    <row r="5561" spans="33:33">
      <c r="AG5561" s="536"/>
    </row>
    <row r="5562" spans="33:33">
      <c r="AG5562" s="536"/>
    </row>
    <row r="5563" spans="33:33">
      <c r="AG5563" s="536"/>
    </row>
    <row r="5564" spans="33:33">
      <c r="AG5564" s="536"/>
    </row>
    <row r="5565" spans="33:33">
      <c r="AG5565" s="536"/>
    </row>
    <row r="5566" spans="33:33">
      <c r="AG5566" s="536"/>
    </row>
    <row r="5567" spans="33:33">
      <c r="AG5567" s="536"/>
    </row>
    <row r="5568" spans="33:33">
      <c r="AG5568" s="536"/>
    </row>
    <row r="5569" spans="33:33">
      <c r="AG5569" s="536"/>
    </row>
    <row r="5570" spans="33:33">
      <c r="AG5570" s="536"/>
    </row>
    <row r="5571" spans="33:33">
      <c r="AG5571" s="536"/>
    </row>
    <row r="5572" spans="33:33">
      <c r="AG5572" s="536"/>
    </row>
    <row r="5573" spans="33:33">
      <c r="AG5573" s="536"/>
    </row>
    <row r="5574" spans="33:33">
      <c r="AG5574" s="536"/>
    </row>
    <row r="5575" spans="33:33">
      <c r="AG5575" s="536"/>
    </row>
    <row r="5576" spans="33:33">
      <c r="AG5576" s="536"/>
    </row>
    <row r="5577" spans="33:33">
      <c r="AG5577" s="536"/>
    </row>
    <row r="5578" spans="33:33">
      <c r="AG5578" s="536"/>
    </row>
    <row r="5579" spans="33:33">
      <c r="AG5579" s="536"/>
    </row>
    <row r="5580" spans="33:33">
      <c r="AG5580" s="536"/>
    </row>
    <row r="5581" spans="33:33">
      <c r="AG5581" s="536"/>
    </row>
    <row r="5582" spans="33:33">
      <c r="AG5582" s="536"/>
    </row>
    <row r="5583" spans="33:33">
      <c r="AG5583" s="536"/>
    </row>
    <row r="5584" spans="33:33">
      <c r="AG5584" s="536"/>
    </row>
    <row r="5585" spans="33:33">
      <c r="AG5585" s="536"/>
    </row>
    <row r="5586" spans="33:33">
      <c r="AG5586" s="536"/>
    </row>
    <row r="5587" spans="33:33">
      <c r="AG5587" s="536"/>
    </row>
    <row r="5588" spans="33:33">
      <c r="AG5588" s="536"/>
    </row>
    <row r="5589" spans="33:33">
      <c r="AG5589" s="536"/>
    </row>
    <row r="5590" spans="33:33">
      <c r="AG5590" s="536"/>
    </row>
    <row r="5591" spans="33:33">
      <c r="AG5591" s="536"/>
    </row>
    <row r="5592" spans="33:33">
      <c r="AG5592" s="536"/>
    </row>
    <row r="5593" spans="33:33">
      <c r="AG5593" s="536"/>
    </row>
    <row r="5594" spans="33:33">
      <c r="AG5594" s="536"/>
    </row>
    <row r="5595" spans="33:33">
      <c r="AG5595" s="536"/>
    </row>
    <row r="5596" spans="33:33">
      <c r="AG5596" s="536"/>
    </row>
    <row r="5597" spans="33:33">
      <c r="AG5597" s="536"/>
    </row>
    <row r="5598" spans="33:33">
      <c r="AG5598" s="536"/>
    </row>
    <row r="5599" spans="33:33">
      <c r="AG5599" s="536"/>
    </row>
    <row r="5600" spans="33:33">
      <c r="AG5600" s="536"/>
    </row>
    <row r="5601" spans="33:33">
      <c r="AG5601" s="536"/>
    </row>
    <row r="5602" spans="33:33">
      <c r="AG5602" s="536"/>
    </row>
    <row r="5603" spans="33:33">
      <c r="AG5603" s="536"/>
    </row>
    <row r="5604" spans="33:33">
      <c r="AG5604" s="536"/>
    </row>
    <row r="5605" spans="33:33">
      <c r="AG5605" s="536"/>
    </row>
    <row r="5606" spans="33:33">
      <c r="AG5606" s="536"/>
    </row>
    <row r="5607" spans="33:33">
      <c r="AG5607" s="536"/>
    </row>
    <row r="5608" spans="33:33">
      <c r="AG5608" s="536"/>
    </row>
    <row r="5609" spans="33:33">
      <c r="AG5609" s="536"/>
    </row>
    <row r="5610" spans="33:33">
      <c r="AG5610" s="536"/>
    </row>
    <row r="5611" spans="33:33">
      <c r="AG5611" s="536"/>
    </row>
    <row r="5612" spans="33:33">
      <c r="AG5612" s="536"/>
    </row>
    <row r="5613" spans="33:33">
      <c r="AG5613" s="536"/>
    </row>
    <row r="5614" spans="33:33">
      <c r="AG5614" s="536"/>
    </row>
    <row r="5615" spans="33:33">
      <c r="AG5615" s="536"/>
    </row>
    <row r="5616" spans="33:33">
      <c r="AG5616" s="536"/>
    </row>
    <row r="5617" spans="33:33">
      <c r="AG5617" s="536"/>
    </row>
    <row r="5618" spans="33:33">
      <c r="AG5618" s="536"/>
    </row>
    <row r="5619" spans="33:33">
      <c r="AG5619" s="536"/>
    </row>
    <row r="5620" spans="33:33">
      <c r="AG5620" s="536"/>
    </row>
    <row r="5621" spans="33:33">
      <c r="AG5621" s="536"/>
    </row>
    <row r="5622" spans="33:33">
      <c r="AG5622" s="536"/>
    </row>
    <row r="5623" spans="33:33">
      <c r="AG5623" s="536"/>
    </row>
    <row r="5624" spans="33:33">
      <c r="AG5624" s="536"/>
    </row>
    <row r="5625" spans="33:33">
      <c r="AG5625" s="536"/>
    </row>
    <row r="5626" spans="33:33">
      <c r="AG5626" s="536"/>
    </row>
    <row r="5627" spans="33:33">
      <c r="AG5627" s="536"/>
    </row>
    <row r="5628" spans="33:33">
      <c r="AG5628" s="536"/>
    </row>
    <row r="5629" spans="33:33">
      <c r="AG5629" s="536"/>
    </row>
    <row r="5630" spans="33:33">
      <c r="AG5630" s="536"/>
    </row>
    <row r="5631" spans="33:33">
      <c r="AG5631" s="536"/>
    </row>
    <row r="5632" spans="33:33">
      <c r="AG5632" s="536"/>
    </row>
    <row r="5633" spans="33:33">
      <c r="AG5633" s="536"/>
    </row>
    <row r="5634" spans="33:33">
      <c r="AG5634" s="536"/>
    </row>
    <row r="5635" spans="33:33">
      <c r="AG5635" s="536"/>
    </row>
    <row r="5636" spans="33:33">
      <c r="AG5636" s="536"/>
    </row>
    <row r="5637" spans="33:33">
      <c r="AG5637" s="536"/>
    </row>
    <row r="5638" spans="33:33">
      <c r="AG5638" s="536"/>
    </row>
    <row r="5639" spans="33:33">
      <c r="AG5639" s="536"/>
    </row>
    <row r="5640" spans="33:33">
      <c r="AG5640" s="536"/>
    </row>
    <row r="5641" spans="33:33">
      <c r="AG5641" s="536"/>
    </row>
    <row r="5642" spans="33:33">
      <c r="AG5642" s="536"/>
    </row>
    <row r="5643" spans="33:33">
      <c r="AG5643" s="536"/>
    </row>
    <row r="5644" spans="33:33">
      <c r="AG5644" s="536"/>
    </row>
    <row r="5645" spans="33:33">
      <c r="AG5645" s="536"/>
    </row>
    <row r="5646" spans="33:33">
      <c r="AG5646" s="536"/>
    </row>
    <row r="5647" spans="33:33">
      <c r="AG5647" s="536"/>
    </row>
    <row r="5648" spans="33:33">
      <c r="AG5648" s="536"/>
    </row>
    <row r="5649" spans="33:33">
      <c r="AG5649" s="536"/>
    </row>
    <row r="5650" spans="33:33">
      <c r="AG5650" s="536"/>
    </row>
    <row r="5651" spans="33:33">
      <c r="AG5651" s="536"/>
    </row>
    <row r="5652" spans="33:33">
      <c r="AG5652" s="536"/>
    </row>
    <row r="5653" spans="33:33">
      <c r="AG5653" s="536"/>
    </row>
    <row r="5654" spans="33:33">
      <c r="AG5654" s="536"/>
    </row>
    <row r="5655" spans="33:33">
      <c r="AG5655" s="536"/>
    </row>
    <row r="5656" spans="33:33">
      <c r="AG5656" s="536"/>
    </row>
    <row r="5657" spans="33:33">
      <c r="AG5657" s="536"/>
    </row>
    <row r="5658" spans="33:33">
      <c r="AG5658" s="536"/>
    </row>
    <row r="5659" spans="33:33">
      <c r="AG5659" s="536"/>
    </row>
    <row r="5660" spans="33:33">
      <c r="AG5660" s="536"/>
    </row>
    <row r="5661" spans="33:33">
      <c r="AG5661" s="536"/>
    </row>
    <row r="5662" spans="33:33">
      <c r="AG5662" s="536"/>
    </row>
    <row r="5663" spans="33:33">
      <c r="AG5663" s="536"/>
    </row>
    <row r="5664" spans="33:33">
      <c r="AG5664" s="536"/>
    </row>
    <row r="5665" spans="33:33">
      <c r="AG5665" s="536"/>
    </row>
    <row r="5666" spans="33:33">
      <c r="AG5666" s="536"/>
    </row>
    <row r="5667" spans="33:33">
      <c r="AG5667" s="536"/>
    </row>
    <row r="5668" spans="33:33">
      <c r="AG5668" s="536"/>
    </row>
    <row r="5669" spans="33:33">
      <c r="AG5669" s="536"/>
    </row>
    <row r="5670" spans="33:33">
      <c r="AG5670" s="536"/>
    </row>
    <row r="5671" spans="33:33">
      <c r="AG5671" s="536"/>
    </row>
    <row r="5672" spans="33:33">
      <c r="AG5672" s="536"/>
    </row>
    <row r="5673" spans="33:33">
      <c r="AG5673" s="536"/>
    </row>
    <row r="5674" spans="33:33">
      <c r="AG5674" s="536"/>
    </row>
    <row r="5675" spans="33:33">
      <c r="AG5675" s="536"/>
    </row>
    <row r="5676" spans="33:33">
      <c r="AG5676" s="536"/>
    </row>
    <row r="5677" spans="33:33">
      <c r="AG5677" s="536"/>
    </row>
    <row r="5678" spans="33:33">
      <c r="AG5678" s="536"/>
    </row>
    <row r="5679" spans="33:33">
      <c r="AG5679" s="536"/>
    </row>
    <row r="5680" spans="33:33">
      <c r="AG5680" s="536"/>
    </row>
    <row r="5681" spans="33:33">
      <c r="AG5681" s="536"/>
    </row>
    <row r="5682" spans="33:33">
      <c r="AG5682" s="536"/>
    </row>
    <row r="5683" spans="33:33">
      <c r="AG5683" s="536"/>
    </row>
    <row r="5684" spans="33:33">
      <c r="AG5684" s="536"/>
    </row>
    <row r="5685" spans="33:33">
      <c r="AG5685" s="536"/>
    </row>
    <row r="5686" spans="33:33">
      <c r="AG5686" s="536"/>
    </row>
    <row r="5687" spans="33:33">
      <c r="AG5687" s="536"/>
    </row>
    <row r="5688" spans="33:33">
      <c r="AG5688" s="536"/>
    </row>
    <row r="5689" spans="33:33">
      <c r="AG5689" s="536"/>
    </row>
    <row r="5690" spans="33:33">
      <c r="AG5690" s="536"/>
    </row>
    <row r="5691" spans="33:33">
      <c r="AG5691" s="536"/>
    </row>
    <row r="5692" spans="33:33">
      <c r="AG5692" s="536"/>
    </row>
    <row r="5693" spans="33:33">
      <c r="AG5693" s="536"/>
    </row>
    <row r="5694" spans="33:33">
      <c r="AG5694" s="536"/>
    </row>
    <row r="5695" spans="33:33">
      <c r="AG5695" s="536"/>
    </row>
    <row r="5696" spans="33:33">
      <c r="AG5696" s="536"/>
    </row>
    <row r="5697" spans="33:33">
      <c r="AG5697" s="536"/>
    </row>
    <row r="5698" spans="33:33">
      <c r="AG5698" s="536"/>
    </row>
    <row r="5699" spans="33:33">
      <c r="AG5699" s="536"/>
    </row>
    <row r="5700" spans="33:33">
      <c r="AG5700" s="536"/>
    </row>
    <row r="5701" spans="33:33">
      <c r="AG5701" s="536"/>
    </row>
    <row r="5702" spans="33:33">
      <c r="AG5702" s="536"/>
    </row>
    <row r="5703" spans="33:33">
      <c r="AG5703" s="536"/>
    </row>
    <row r="5704" spans="33:33">
      <c r="AG5704" s="536"/>
    </row>
    <row r="5705" spans="33:33">
      <c r="AG5705" s="536"/>
    </row>
    <row r="5706" spans="33:33">
      <c r="AG5706" s="536"/>
    </row>
    <row r="5707" spans="33:33">
      <c r="AG5707" s="536"/>
    </row>
    <row r="5708" spans="33:33">
      <c r="AG5708" s="536"/>
    </row>
    <row r="5709" spans="33:33">
      <c r="AG5709" s="536"/>
    </row>
    <row r="5710" spans="33:33">
      <c r="AG5710" s="536"/>
    </row>
    <row r="5711" spans="33:33">
      <c r="AG5711" s="536"/>
    </row>
    <row r="5712" spans="33:33">
      <c r="AG5712" s="536"/>
    </row>
    <row r="5713" spans="33:33">
      <c r="AG5713" s="536"/>
    </row>
    <row r="5714" spans="33:33">
      <c r="AG5714" s="536"/>
    </row>
    <row r="5715" spans="33:33">
      <c r="AG5715" s="536"/>
    </row>
    <row r="5716" spans="33:33">
      <c r="AG5716" s="536"/>
    </row>
    <row r="5717" spans="33:33">
      <c r="AG5717" s="536"/>
    </row>
    <row r="5718" spans="33:33">
      <c r="AG5718" s="536"/>
    </row>
    <row r="5719" spans="33:33">
      <c r="AG5719" s="536"/>
    </row>
    <row r="5720" spans="33:33">
      <c r="AG5720" s="536"/>
    </row>
    <row r="5721" spans="33:33">
      <c r="AG5721" s="536"/>
    </row>
    <row r="5722" spans="33:33">
      <c r="AG5722" s="536"/>
    </row>
    <row r="5723" spans="33:33">
      <c r="AG5723" s="536"/>
    </row>
    <row r="5724" spans="33:33">
      <c r="AG5724" s="536"/>
    </row>
    <row r="5725" spans="33:33">
      <c r="AG5725" s="536"/>
    </row>
    <row r="5726" spans="33:33">
      <c r="AG5726" s="536"/>
    </row>
    <row r="5727" spans="33:33">
      <c r="AG5727" s="536"/>
    </row>
    <row r="5728" spans="33:33">
      <c r="AG5728" s="536"/>
    </row>
    <row r="5729" spans="33:33">
      <c r="AG5729" s="536"/>
    </row>
    <row r="5730" spans="33:33">
      <c r="AG5730" s="536"/>
    </row>
    <row r="5731" spans="33:33">
      <c r="AG5731" s="536"/>
    </row>
    <row r="5732" spans="33:33">
      <c r="AG5732" s="536"/>
    </row>
    <row r="5733" spans="33:33">
      <c r="AG5733" s="536"/>
    </row>
    <row r="5734" spans="33:33">
      <c r="AG5734" s="536"/>
    </row>
    <row r="5735" spans="33:33">
      <c r="AG5735" s="536"/>
    </row>
    <row r="5736" spans="33:33">
      <c r="AG5736" s="536"/>
    </row>
    <row r="5737" spans="33:33">
      <c r="AG5737" s="536"/>
    </row>
    <row r="5738" spans="33:33">
      <c r="AG5738" s="536"/>
    </row>
    <row r="5739" spans="33:33">
      <c r="AG5739" s="536"/>
    </row>
    <row r="5740" spans="33:33">
      <c r="AG5740" s="536"/>
    </row>
    <row r="5741" spans="33:33">
      <c r="AG5741" s="536"/>
    </row>
    <row r="5742" spans="33:33">
      <c r="AG5742" s="536"/>
    </row>
    <row r="5743" spans="33:33">
      <c r="AG5743" s="536"/>
    </row>
    <row r="5744" spans="33:33">
      <c r="AG5744" s="536"/>
    </row>
    <row r="5745" spans="33:33">
      <c r="AG5745" s="536"/>
    </row>
    <row r="5746" spans="33:33">
      <c r="AG5746" s="536"/>
    </row>
    <row r="5747" spans="33:33">
      <c r="AG5747" s="536"/>
    </row>
    <row r="5748" spans="33:33">
      <c r="AG5748" s="536"/>
    </row>
    <row r="5749" spans="33:33">
      <c r="AG5749" s="536"/>
    </row>
    <row r="5750" spans="33:33">
      <c r="AG5750" s="536"/>
    </row>
    <row r="5751" spans="33:33">
      <c r="AG5751" s="536"/>
    </row>
    <row r="5752" spans="33:33">
      <c r="AG5752" s="536"/>
    </row>
    <row r="5753" spans="33:33">
      <c r="AG5753" s="536"/>
    </row>
    <row r="5754" spans="33:33">
      <c r="AG5754" s="536"/>
    </row>
    <row r="5755" spans="33:33">
      <c r="AG5755" s="536"/>
    </row>
    <row r="5756" spans="33:33">
      <c r="AG5756" s="536"/>
    </row>
    <row r="5757" spans="33:33">
      <c r="AG5757" s="536"/>
    </row>
    <row r="5758" spans="33:33">
      <c r="AG5758" s="536"/>
    </row>
    <row r="5759" spans="33:33">
      <c r="AG5759" s="536"/>
    </row>
    <row r="5760" spans="33:33">
      <c r="AG5760" s="536"/>
    </row>
    <row r="5761" spans="33:33">
      <c r="AG5761" s="536"/>
    </row>
    <row r="5762" spans="33:33">
      <c r="AG5762" s="536"/>
    </row>
    <row r="5763" spans="33:33">
      <c r="AG5763" s="536"/>
    </row>
    <row r="5764" spans="33:33">
      <c r="AG5764" s="536"/>
    </row>
    <row r="5765" spans="33:33">
      <c r="AG5765" s="536"/>
    </row>
    <row r="5766" spans="33:33">
      <c r="AG5766" s="536"/>
    </row>
    <row r="5767" spans="33:33">
      <c r="AG5767" s="536"/>
    </row>
    <row r="5768" spans="33:33">
      <c r="AG5768" s="536"/>
    </row>
    <row r="5769" spans="33:33">
      <c r="AG5769" s="536"/>
    </row>
    <row r="5770" spans="33:33">
      <c r="AG5770" s="536"/>
    </row>
    <row r="5771" spans="33:33">
      <c r="AG5771" s="536"/>
    </row>
    <row r="5772" spans="33:33">
      <c r="AG5772" s="536"/>
    </row>
    <row r="5773" spans="33:33">
      <c r="AG5773" s="536"/>
    </row>
    <row r="5774" spans="33:33">
      <c r="AG5774" s="536"/>
    </row>
    <row r="5775" spans="33:33">
      <c r="AG5775" s="536"/>
    </row>
    <row r="5776" spans="33:33">
      <c r="AG5776" s="536"/>
    </row>
    <row r="5777" spans="33:33">
      <c r="AG5777" s="536"/>
    </row>
    <row r="5778" spans="33:33">
      <c r="AG5778" s="536"/>
    </row>
    <row r="5779" spans="33:33">
      <c r="AG5779" s="536"/>
    </row>
    <row r="5780" spans="33:33">
      <c r="AG5780" s="536"/>
    </row>
    <row r="5781" spans="33:33">
      <c r="AG5781" s="536"/>
    </row>
    <row r="5782" spans="33:33">
      <c r="AG5782" s="536"/>
    </row>
    <row r="5783" spans="33:33">
      <c r="AG5783" s="536"/>
    </row>
    <row r="5784" spans="33:33">
      <c r="AG5784" s="536"/>
    </row>
    <row r="5785" spans="33:33">
      <c r="AG5785" s="536"/>
    </row>
    <row r="5786" spans="33:33">
      <c r="AG5786" s="536"/>
    </row>
    <row r="5787" spans="33:33">
      <c r="AG5787" s="536"/>
    </row>
    <row r="5788" spans="33:33">
      <c r="AG5788" s="536"/>
    </row>
    <row r="5789" spans="33:33">
      <c r="AG5789" s="536"/>
    </row>
    <row r="5790" spans="33:33">
      <c r="AG5790" s="536"/>
    </row>
    <row r="5791" spans="33:33">
      <c r="AG5791" s="536"/>
    </row>
    <row r="5792" spans="33:33">
      <c r="AG5792" s="536"/>
    </row>
    <row r="5793" spans="33:33">
      <c r="AG5793" s="536"/>
    </row>
    <row r="5794" spans="33:33">
      <c r="AG5794" s="536"/>
    </row>
    <row r="5795" spans="33:33">
      <c r="AG5795" s="536"/>
    </row>
    <row r="5796" spans="33:33">
      <c r="AG5796" s="536"/>
    </row>
    <row r="5797" spans="33:33">
      <c r="AG5797" s="536"/>
    </row>
    <row r="5798" spans="33:33">
      <c r="AG5798" s="536"/>
    </row>
    <row r="5799" spans="33:33">
      <c r="AG5799" s="536"/>
    </row>
    <row r="5800" spans="33:33">
      <c r="AG5800" s="536"/>
    </row>
    <row r="5801" spans="33:33">
      <c r="AG5801" s="536"/>
    </row>
    <row r="5802" spans="33:33">
      <c r="AG5802" s="536"/>
    </row>
    <row r="5803" spans="33:33">
      <c r="AG5803" s="536"/>
    </row>
    <row r="5804" spans="33:33">
      <c r="AG5804" s="536"/>
    </row>
    <row r="5805" spans="33:33">
      <c r="AG5805" s="536"/>
    </row>
    <row r="5806" spans="33:33">
      <c r="AG5806" s="536"/>
    </row>
    <row r="5807" spans="33:33">
      <c r="AG5807" s="536"/>
    </row>
    <row r="5808" spans="33:33">
      <c r="AG5808" s="536"/>
    </row>
    <row r="5809" spans="33:33">
      <c r="AG5809" s="536"/>
    </row>
    <row r="5810" spans="33:33">
      <c r="AG5810" s="536"/>
    </row>
    <row r="5811" spans="33:33">
      <c r="AG5811" s="536"/>
    </row>
    <row r="5812" spans="33:33">
      <c r="AG5812" s="536"/>
    </row>
    <row r="5813" spans="33:33">
      <c r="AG5813" s="536"/>
    </row>
    <row r="5814" spans="33:33">
      <c r="AG5814" s="536"/>
    </row>
    <row r="5815" spans="33:33">
      <c r="AG5815" s="536"/>
    </row>
    <row r="5816" spans="33:33">
      <c r="AG5816" s="536"/>
    </row>
    <row r="5817" spans="33:33">
      <c r="AG5817" s="536"/>
    </row>
    <row r="5818" spans="33:33">
      <c r="AG5818" s="536"/>
    </row>
    <row r="5819" spans="33:33">
      <c r="AG5819" s="536"/>
    </row>
    <row r="5820" spans="33:33">
      <c r="AG5820" s="536"/>
    </row>
    <row r="5821" spans="33:33">
      <c r="AG5821" s="536"/>
    </row>
    <row r="5822" spans="33:33">
      <c r="AG5822" s="536"/>
    </row>
    <row r="5823" spans="33:33">
      <c r="AG5823" s="536"/>
    </row>
    <row r="5824" spans="33:33">
      <c r="AG5824" s="536"/>
    </row>
    <row r="5825" spans="33:33">
      <c r="AG5825" s="536"/>
    </row>
    <row r="5826" spans="33:33">
      <c r="AG5826" s="536"/>
    </row>
    <row r="5827" spans="33:33">
      <c r="AG5827" s="536"/>
    </row>
    <row r="5828" spans="33:33">
      <c r="AG5828" s="536"/>
    </row>
    <row r="5829" spans="33:33">
      <c r="AG5829" s="536"/>
    </row>
    <row r="5830" spans="33:33">
      <c r="AG5830" s="536"/>
    </row>
    <row r="5831" spans="33:33">
      <c r="AG5831" s="536"/>
    </row>
    <row r="5832" spans="33:33">
      <c r="AG5832" s="536"/>
    </row>
    <row r="5833" spans="33:33">
      <c r="AG5833" s="536"/>
    </row>
    <row r="5834" spans="33:33">
      <c r="AG5834" s="536"/>
    </row>
    <row r="5835" spans="33:33">
      <c r="AG5835" s="536"/>
    </row>
    <row r="5836" spans="33:33">
      <c r="AG5836" s="536"/>
    </row>
    <row r="5837" spans="33:33">
      <c r="AG5837" s="536"/>
    </row>
    <row r="5838" spans="33:33">
      <c r="AG5838" s="536"/>
    </row>
    <row r="5839" spans="33:33">
      <c r="AG5839" s="536"/>
    </row>
    <row r="5840" spans="33:33">
      <c r="AG5840" s="536"/>
    </row>
    <row r="5841" spans="33:33">
      <c r="AG5841" s="536"/>
    </row>
    <row r="5842" spans="33:33">
      <c r="AG5842" s="536"/>
    </row>
    <row r="5843" spans="33:33">
      <c r="AG5843" s="536"/>
    </row>
    <row r="5844" spans="33:33">
      <c r="AG5844" s="536"/>
    </row>
    <row r="5845" spans="33:33">
      <c r="AG5845" s="536"/>
    </row>
    <row r="5846" spans="33:33">
      <c r="AG5846" s="536"/>
    </row>
    <row r="5847" spans="33:33">
      <c r="AG5847" s="536"/>
    </row>
    <row r="5848" spans="33:33">
      <c r="AG5848" s="536"/>
    </row>
    <row r="5849" spans="33:33">
      <c r="AG5849" s="536"/>
    </row>
    <row r="5850" spans="33:33">
      <c r="AG5850" s="536"/>
    </row>
    <row r="5851" spans="33:33">
      <c r="AG5851" s="536"/>
    </row>
    <row r="5852" spans="33:33">
      <c r="AG5852" s="536"/>
    </row>
    <row r="5853" spans="33:33">
      <c r="AG5853" s="536"/>
    </row>
    <row r="5854" spans="33:33">
      <c r="AG5854" s="536"/>
    </row>
    <row r="5855" spans="33:33">
      <c r="AG5855" s="536"/>
    </row>
    <row r="5856" spans="33:33">
      <c r="AG5856" s="536"/>
    </row>
    <row r="5857" spans="33:33">
      <c r="AG5857" s="536"/>
    </row>
    <row r="5858" spans="33:33">
      <c r="AG5858" s="536"/>
    </row>
    <row r="5859" spans="33:33">
      <c r="AG5859" s="536"/>
    </row>
    <row r="5860" spans="33:33">
      <c r="AG5860" s="536"/>
    </row>
    <row r="5861" spans="33:33">
      <c r="AG5861" s="536"/>
    </row>
    <row r="5862" spans="33:33">
      <c r="AG5862" s="536"/>
    </row>
    <row r="5863" spans="33:33">
      <c r="AG5863" s="536"/>
    </row>
    <row r="5864" spans="33:33">
      <c r="AG5864" s="536"/>
    </row>
    <row r="5865" spans="33:33">
      <c r="AG5865" s="536"/>
    </row>
    <row r="5866" spans="33:33">
      <c r="AG5866" s="536"/>
    </row>
    <row r="5867" spans="33:33">
      <c r="AG5867" s="536"/>
    </row>
    <row r="5868" spans="33:33">
      <c r="AG5868" s="536"/>
    </row>
    <row r="5869" spans="33:33">
      <c r="AG5869" s="536"/>
    </row>
    <row r="5870" spans="33:33">
      <c r="AG5870" s="536"/>
    </row>
    <row r="5871" spans="33:33">
      <c r="AG5871" s="536"/>
    </row>
    <row r="5872" spans="33:33">
      <c r="AG5872" s="536"/>
    </row>
    <row r="5873" spans="33:33">
      <c r="AG5873" s="536"/>
    </row>
    <row r="5874" spans="33:33">
      <c r="AG5874" s="536"/>
    </row>
    <row r="5875" spans="33:33">
      <c r="AG5875" s="536"/>
    </row>
    <row r="5876" spans="33:33">
      <c r="AG5876" s="536"/>
    </row>
    <row r="5877" spans="33:33">
      <c r="AG5877" s="536"/>
    </row>
    <row r="5878" spans="33:33">
      <c r="AG5878" s="536"/>
    </row>
    <row r="5879" spans="33:33">
      <c r="AG5879" s="536"/>
    </row>
    <row r="5880" spans="33:33">
      <c r="AG5880" s="536"/>
    </row>
    <row r="5881" spans="33:33">
      <c r="AG5881" s="536"/>
    </row>
    <row r="5882" spans="33:33">
      <c r="AG5882" s="536"/>
    </row>
    <row r="5883" spans="33:33">
      <c r="AG5883" s="536"/>
    </row>
    <row r="5884" spans="33:33">
      <c r="AG5884" s="536"/>
    </row>
    <row r="5885" spans="33:33">
      <c r="AG5885" s="536"/>
    </row>
    <row r="5886" spans="33:33">
      <c r="AG5886" s="536"/>
    </row>
    <row r="5887" spans="33:33">
      <c r="AG5887" s="536"/>
    </row>
    <row r="5888" spans="33:33">
      <c r="AG5888" s="536"/>
    </row>
    <row r="5889" spans="33:33">
      <c r="AG5889" s="536"/>
    </row>
    <row r="5890" spans="33:33">
      <c r="AG5890" s="536"/>
    </row>
    <row r="5891" spans="33:33">
      <c r="AG5891" s="536"/>
    </row>
    <row r="5892" spans="33:33">
      <c r="AG5892" s="536"/>
    </row>
    <row r="5893" spans="33:33">
      <c r="AG5893" s="536"/>
    </row>
    <row r="5894" spans="33:33">
      <c r="AG5894" s="536"/>
    </row>
    <row r="5895" spans="33:33">
      <c r="AG5895" s="536"/>
    </row>
    <row r="5896" spans="33:33">
      <c r="AG5896" s="536"/>
    </row>
    <row r="5897" spans="33:33">
      <c r="AG5897" s="536"/>
    </row>
    <row r="5898" spans="33:33">
      <c r="AG5898" s="536"/>
    </row>
    <row r="5899" spans="33:33">
      <c r="AG5899" s="536"/>
    </row>
    <row r="5900" spans="33:33">
      <c r="AG5900" s="536"/>
    </row>
    <row r="5901" spans="33:33">
      <c r="AG5901" s="536"/>
    </row>
    <row r="5902" spans="33:33">
      <c r="AG5902" s="536"/>
    </row>
    <row r="5903" spans="33:33">
      <c r="AG5903" s="536"/>
    </row>
    <row r="5904" spans="33:33">
      <c r="AG5904" s="536"/>
    </row>
    <row r="5905" spans="33:33">
      <c r="AG5905" s="536"/>
    </row>
    <row r="5906" spans="33:33">
      <c r="AG5906" s="536"/>
    </row>
    <row r="5907" spans="33:33">
      <c r="AG5907" s="536"/>
    </row>
    <row r="5908" spans="33:33">
      <c r="AG5908" s="536"/>
    </row>
    <row r="5909" spans="33:33">
      <c r="AG5909" s="536"/>
    </row>
    <row r="5910" spans="33:33">
      <c r="AG5910" s="536"/>
    </row>
    <row r="5911" spans="33:33">
      <c r="AG5911" s="536"/>
    </row>
    <row r="5912" spans="33:33">
      <c r="AG5912" s="536"/>
    </row>
    <row r="5913" spans="33:33">
      <c r="AG5913" s="536"/>
    </row>
    <row r="5914" spans="33:33">
      <c r="AG5914" s="536"/>
    </row>
    <row r="5915" spans="33:33">
      <c r="AG5915" s="536"/>
    </row>
    <row r="5916" spans="33:33">
      <c r="AG5916" s="536"/>
    </row>
    <row r="5917" spans="33:33">
      <c r="AG5917" s="536"/>
    </row>
    <row r="5918" spans="33:33">
      <c r="AG5918" s="536"/>
    </row>
    <row r="5919" spans="33:33">
      <c r="AG5919" s="536"/>
    </row>
    <row r="5920" spans="33:33">
      <c r="AG5920" s="536"/>
    </row>
    <row r="5921" spans="33:33">
      <c r="AG5921" s="536"/>
    </row>
    <row r="5922" spans="33:33">
      <c r="AG5922" s="536"/>
    </row>
    <row r="5923" spans="33:33">
      <c r="AG5923" s="536"/>
    </row>
    <row r="5924" spans="33:33">
      <c r="AG5924" s="536"/>
    </row>
    <row r="5925" spans="33:33">
      <c r="AG5925" s="536"/>
    </row>
    <row r="5926" spans="33:33">
      <c r="AG5926" s="536"/>
    </row>
    <row r="5927" spans="33:33">
      <c r="AG5927" s="536"/>
    </row>
    <row r="5928" spans="33:33">
      <c r="AG5928" s="536"/>
    </row>
    <row r="5929" spans="33:33">
      <c r="AG5929" s="536"/>
    </row>
    <row r="5930" spans="33:33">
      <c r="AG5930" s="536"/>
    </row>
    <row r="5931" spans="33:33">
      <c r="AG5931" s="536"/>
    </row>
    <row r="5932" spans="33:33">
      <c r="AG5932" s="536"/>
    </row>
    <row r="5933" spans="33:33">
      <c r="AG5933" s="536"/>
    </row>
    <row r="5934" spans="33:33">
      <c r="AG5934" s="536"/>
    </row>
    <row r="5935" spans="33:33">
      <c r="AG5935" s="536"/>
    </row>
    <row r="5936" spans="33:33">
      <c r="AG5936" s="536"/>
    </row>
    <row r="5937" spans="33:33">
      <c r="AG5937" s="536"/>
    </row>
    <row r="5938" spans="33:33">
      <c r="AG5938" s="536"/>
    </row>
    <row r="5939" spans="33:33">
      <c r="AG5939" s="536"/>
    </row>
    <row r="5940" spans="33:33">
      <c r="AG5940" s="536"/>
    </row>
    <row r="5941" spans="33:33">
      <c r="AG5941" s="536"/>
    </row>
    <row r="5942" spans="33:33">
      <c r="AG5942" s="536"/>
    </row>
    <row r="5943" spans="33:33">
      <c r="AG5943" s="536"/>
    </row>
    <row r="5944" spans="33:33">
      <c r="AG5944" s="536"/>
    </row>
    <row r="5945" spans="33:33">
      <c r="AG5945" s="536"/>
    </row>
    <row r="5946" spans="33:33">
      <c r="AG5946" s="536"/>
    </row>
    <row r="5947" spans="33:33">
      <c r="AG5947" s="536"/>
    </row>
    <row r="5948" spans="33:33">
      <c r="AG5948" s="536"/>
    </row>
    <row r="5949" spans="33:33">
      <c r="AG5949" s="536"/>
    </row>
    <row r="5950" spans="33:33">
      <c r="AG5950" s="536"/>
    </row>
    <row r="5951" spans="33:33">
      <c r="AG5951" s="536"/>
    </row>
    <row r="5952" spans="33:33">
      <c r="AG5952" s="536"/>
    </row>
    <row r="5953" spans="33:33">
      <c r="AG5953" s="536"/>
    </row>
    <row r="5954" spans="33:33">
      <c r="AG5954" s="536"/>
    </row>
    <row r="5955" spans="33:33">
      <c r="AG5955" s="536"/>
    </row>
    <row r="5956" spans="33:33">
      <c r="AG5956" s="536"/>
    </row>
    <row r="5957" spans="33:33">
      <c r="AG5957" s="536"/>
    </row>
    <row r="5958" spans="33:33">
      <c r="AG5958" s="536"/>
    </row>
    <row r="5959" spans="33:33">
      <c r="AG5959" s="536"/>
    </row>
    <row r="5960" spans="33:33">
      <c r="AG5960" s="536"/>
    </row>
    <row r="5961" spans="33:33">
      <c r="AG5961" s="536"/>
    </row>
    <row r="5962" spans="33:33">
      <c r="AG5962" s="536"/>
    </row>
    <row r="5963" spans="33:33">
      <c r="AG5963" s="536"/>
    </row>
    <row r="5964" spans="33:33">
      <c r="AG5964" s="536"/>
    </row>
    <row r="5965" spans="33:33">
      <c r="AG5965" s="536"/>
    </row>
    <row r="5966" spans="33:33">
      <c r="AG5966" s="536"/>
    </row>
    <row r="5967" spans="33:33">
      <c r="AG5967" s="536"/>
    </row>
    <row r="5968" spans="33:33">
      <c r="AG5968" s="536"/>
    </row>
    <row r="5969" spans="33:33">
      <c r="AG5969" s="536"/>
    </row>
    <row r="5970" spans="33:33">
      <c r="AG5970" s="536"/>
    </row>
    <row r="5971" spans="33:33">
      <c r="AG5971" s="536"/>
    </row>
    <row r="5972" spans="33:33">
      <c r="AG5972" s="536"/>
    </row>
    <row r="5973" spans="33:33">
      <c r="AG5973" s="536"/>
    </row>
    <row r="5974" spans="33:33">
      <c r="AG5974" s="536"/>
    </row>
    <row r="5975" spans="33:33">
      <c r="AG5975" s="536"/>
    </row>
    <row r="5976" spans="33:33">
      <c r="AG5976" s="536"/>
    </row>
    <row r="5977" spans="33:33">
      <c r="AG5977" s="536"/>
    </row>
    <row r="5978" spans="33:33">
      <c r="AG5978" s="536"/>
    </row>
    <row r="5979" spans="33:33">
      <c r="AG5979" s="536"/>
    </row>
    <row r="5980" spans="33:33">
      <c r="AG5980" s="536"/>
    </row>
    <row r="5981" spans="33:33">
      <c r="AG5981" s="536"/>
    </row>
    <row r="5982" spans="33:33">
      <c r="AG5982" s="536"/>
    </row>
    <row r="5983" spans="33:33">
      <c r="AG5983" s="536"/>
    </row>
    <row r="5984" spans="33:33">
      <c r="AG5984" s="536"/>
    </row>
    <row r="5985" spans="33:33">
      <c r="AG5985" s="536"/>
    </row>
    <row r="5986" spans="33:33">
      <c r="AG5986" s="536"/>
    </row>
    <row r="5987" spans="33:33">
      <c r="AG5987" s="536"/>
    </row>
    <row r="5988" spans="33:33">
      <c r="AG5988" s="536"/>
    </row>
    <row r="5989" spans="33:33">
      <c r="AG5989" s="536"/>
    </row>
    <row r="5990" spans="33:33">
      <c r="AG5990" s="536"/>
    </row>
    <row r="5991" spans="33:33">
      <c r="AG5991" s="536"/>
    </row>
    <row r="5992" spans="33:33">
      <c r="AG5992" s="536"/>
    </row>
    <row r="5993" spans="33:33">
      <c r="AG5993" s="536"/>
    </row>
    <row r="5994" spans="33:33">
      <c r="AG5994" s="536"/>
    </row>
    <row r="5995" spans="33:33">
      <c r="AG5995" s="536"/>
    </row>
    <row r="5996" spans="33:33">
      <c r="AG5996" s="536"/>
    </row>
    <row r="5997" spans="33:33">
      <c r="AG5997" s="536"/>
    </row>
    <row r="5998" spans="33:33">
      <c r="AG5998" s="536"/>
    </row>
    <row r="5999" spans="33:33">
      <c r="AG5999" s="536"/>
    </row>
    <row r="6000" spans="33:33">
      <c r="AG6000" s="536"/>
    </row>
    <row r="6001" spans="33:33">
      <c r="AG6001" s="536"/>
    </row>
    <row r="6002" spans="33:33">
      <c r="AG6002" s="536"/>
    </row>
    <row r="6003" spans="33:33">
      <c r="AG6003" s="536"/>
    </row>
    <row r="6004" spans="33:33">
      <c r="AG6004" s="536"/>
    </row>
    <row r="6005" spans="33:33">
      <c r="AG6005" s="536"/>
    </row>
    <row r="6006" spans="33:33">
      <c r="AG6006" s="536"/>
    </row>
    <row r="6007" spans="33:33">
      <c r="AG6007" s="536"/>
    </row>
    <row r="6008" spans="33:33">
      <c r="AG6008" s="536"/>
    </row>
    <row r="6009" spans="33:33">
      <c r="AG6009" s="536"/>
    </row>
    <row r="6010" spans="33:33">
      <c r="AG6010" s="536"/>
    </row>
    <row r="6011" spans="33:33">
      <c r="AG6011" s="536"/>
    </row>
    <row r="6012" spans="33:33">
      <c r="AG6012" s="536"/>
    </row>
    <row r="6013" spans="33:33">
      <c r="AG6013" s="536"/>
    </row>
    <row r="6014" spans="33:33">
      <c r="AG6014" s="536"/>
    </row>
    <row r="6015" spans="33:33">
      <c r="AG6015" s="536"/>
    </row>
    <row r="6016" spans="33:33">
      <c r="AG6016" s="536"/>
    </row>
    <row r="6017" spans="33:33">
      <c r="AG6017" s="536"/>
    </row>
    <row r="6018" spans="33:33">
      <c r="AG6018" s="536"/>
    </row>
    <row r="6019" spans="33:33">
      <c r="AG6019" s="536"/>
    </row>
    <row r="6020" spans="33:33">
      <c r="AG6020" s="536"/>
    </row>
    <row r="6021" spans="33:33">
      <c r="AG6021" s="536"/>
    </row>
    <row r="6022" spans="33:33">
      <c r="AG6022" s="536"/>
    </row>
    <row r="6023" spans="33:33">
      <c r="AG6023" s="536"/>
    </row>
    <row r="6024" spans="33:33">
      <c r="AG6024" s="536"/>
    </row>
    <row r="6025" spans="33:33">
      <c r="AG6025" s="536"/>
    </row>
    <row r="6026" spans="33:33">
      <c r="AG6026" s="536"/>
    </row>
    <row r="6027" spans="33:33">
      <c r="AG6027" s="536"/>
    </row>
    <row r="6028" spans="33:33">
      <c r="AG6028" s="536"/>
    </row>
    <row r="6029" spans="33:33">
      <c r="AG6029" s="536"/>
    </row>
    <row r="6030" spans="33:33">
      <c r="AG6030" s="536"/>
    </row>
    <row r="6031" spans="33:33">
      <c r="AG6031" s="536"/>
    </row>
    <row r="6032" spans="33:33">
      <c r="AG6032" s="536"/>
    </row>
    <row r="6033" spans="33:33">
      <c r="AG6033" s="536"/>
    </row>
    <row r="6034" spans="33:33">
      <c r="AG6034" s="536"/>
    </row>
    <row r="6035" spans="33:33">
      <c r="AG6035" s="536"/>
    </row>
    <row r="6036" spans="33:33">
      <c r="AG6036" s="536"/>
    </row>
    <row r="6037" spans="33:33">
      <c r="AG6037" s="536"/>
    </row>
    <row r="6038" spans="33:33">
      <c r="AG6038" s="536"/>
    </row>
    <row r="6039" spans="33:33">
      <c r="AG6039" s="536"/>
    </row>
    <row r="6040" spans="33:33">
      <c r="AG6040" s="536"/>
    </row>
    <row r="6041" spans="33:33">
      <c r="AG6041" s="536"/>
    </row>
    <row r="6042" spans="33:33">
      <c r="AG6042" s="536"/>
    </row>
    <row r="6043" spans="33:33">
      <c r="AG6043" s="536"/>
    </row>
    <row r="6044" spans="33:33">
      <c r="AG6044" s="536"/>
    </row>
    <row r="6045" spans="33:33">
      <c r="AG6045" s="536"/>
    </row>
    <row r="6046" spans="33:33">
      <c r="AG6046" s="536"/>
    </row>
    <row r="6047" spans="33:33">
      <c r="AG6047" s="536"/>
    </row>
    <row r="6048" spans="33:33">
      <c r="AG6048" s="536"/>
    </row>
    <row r="6049" spans="33:33">
      <c r="AG6049" s="536"/>
    </row>
    <row r="6050" spans="33:33">
      <c r="AG6050" s="536"/>
    </row>
    <row r="6051" spans="33:33">
      <c r="AG6051" s="536"/>
    </row>
    <row r="6052" spans="33:33">
      <c r="AG6052" s="536"/>
    </row>
    <row r="6053" spans="33:33">
      <c r="AG6053" s="536"/>
    </row>
    <row r="6054" spans="33:33">
      <c r="AG6054" s="536"/>
    </row>
    <row r="6055" spans="33:33">
      <c r="AG6055" s="536"/>
    </row>
    <row r="6056" spans="33:33">
      <c r="AG6056" s="536"/>
    </row>
    <row r="6057" spans="33:33">
      <c r="AG6057" s="536"/>
    </row>
    <row r="6058" spans="33:33">
      <c r="AG6058" s="536"/>
    </row>
    <row r="6059" spans="33:33">
      <c r="AG6059" s="536"/>
    </row>
    <row r="6060" spans="33:33">
      <c r="AG6060" s="536"/>
    </row>
    <row r="6061" spans="33:33">
      <c r="AG6061" s="536"/>
    </row>
    <row r="6062" spans="33:33">
      <c r="AG6062" s="536"/>
    </row>
    <row r="6063" spans="33:33">
      <c r="AG6063" s="536"/>
    </row>
    <row r="6064" spans="33:33">
      <c r="AG6064" s="536"/>
    </row>
    <row r="6065" spans="33:33">
      <c r="AG6065" s="536"/>
    </row>
    <row r="6066" spans="33:33">
      <c r="AG6066" s="536"/>
    </row>
    <row r="6067" spans="33:33">
      <c r="AG6067" s="536"/>
    </row>
    <row r="6068" spans="33:33">
      <c r="AG6068" s="536"/>
    </row>
    <row r="6069" spans="33:33">
      <c r="AG6069" s="536"/>
    </row>
    <row r="6070" spans="33:33">
      <c r="AG6070" s="536"/>
    </row>
    <row r="6071" spans="33:33">
      <c r="AG6071" s="536"/>
    </row>
    <row r="6072" spans="33:33">
      <c r="AG6072" s="536"/>
    </row>
    <row r="6073" spans="33:33">
      <c r="AG6073" s="536"/>
    </row>
    <row r="6074" spans="33:33">
      <c r="AG6074" s="536"/>
    </row>
    <row r="6075" spans="33:33">
      <c r="AG6075" s="536"/>
    </row>
    <row r="6076" spans="33:33">
      <c r="AG6076" s="536"/>
    </row>
    <row r="6077" spans="33:33">
      <c r="AG6077" s="536"/>
    </row>
    <row r="6078" spans="33:33">
      <c r="AG6078" s="536"/>
    </row>
    <row r="6079" spans="33:33">
      <c r="AG6079" s="536"/>
    </row>
    <row r="6080" spans="33:33">
      <c r="AG6080" s="536"/>
    </row>
    <row r="6081" spans="33:33">
      <c r="AG6081" s="536"/>
    </row>
    <row r="6082" spans="33:33">
      <c r="AG6082" s="536"/>
    </row>
    <row r="6083" spans="33:33">
      <c r="AG6083" s="536"/>
    </row>
    <row r="6084" spans="33:33">
      <c r="AG6084" s="536"/>
    </row>
    <row r="6085" spans="33:33">
      <c r="AG6085" s="536"/>
    </row>
    <row r="6086" spans="33:33">
      <c r="AG6086" s="536"/>
    </row>
    <row r="6087" spans="33:33">
      <c r="AG6087" s="536"/>
    </row>
    <row r="6088" spans="33:33">
      <c r="AG6088" s="536"/>
    </row>
    <row r="6089" spans="33:33">
      <c r="AG6089" s="536"/>
    </row>
    <row r="6090" spans="33:33">
      <c r="AG6090" s="536"/>
    </row>
    <row r="6091" spans="33:33">
      <c r="AG6091" s="536"/>
    </row>
    <row r="6092" spans="33:33">
      <c r="AG6092" s="536"/>
    </row>
    <row r="6093" spans="33:33">
      <c r="AG6093" s="536"/>
    </row>
    <row r="6094" spans="33:33">
      <c r="AG6094" s="536"/>
    </row>
    <row r="6095" spans="33:33">
      <c r="AG6095" s="536"/>
    </row>
    <row r="6096" spans="33:33">
      <c r="AG6096" s="536"/>
    </row>
    <row r="6097" spans="33:33">
      <c r="AG6097" s="536"/>
    </row>
    <row r="6098" spans="33:33">
      <c r="AG6098" s="536"/>
    </row>
    <row r="6099" spans="33:33">
      <c r="AG6099" s="536"/>
    </row>
    <row r="6100" spans="33:33">
      <c r="AG6100" s="536"/>
    </row>
    <row r="6101" spans="33:33">
      <c r="AG6101" s="536"/>
    </row>
    <row r="6102" spans="33:33">
      <c r="AG6102" s="536"/>
    </row>
    <row r="6103" spans="33:33">
      <c r="AG6103" s="536"/>
    </row>
    <row r="6104" spans="33:33">
      <c r="AG6104" s="536"/>
    </row>
    <row r="6105" spans="33:33">
      <c r="AG6105" s="536"/>
    </row>
    <row r="6106" spans="33:33">
      <c r="AG6106" s="536"/>
    </row>
    <row r="6107" spans="33:33">
      <c r="AG6107" s="536"/>
    </row>
    <row r="6108" spans="33:33">
      <c r="AG6108" s="536"/>
    </row>
    <row r="6109" spans="33:33">
      <c r="AG6109" s="536"/>
    </row>
    <row r="6110" spans="33:33">
      <c r="AG6110" s="536"/>
    </row>
    <row r="6111" spans="33:33">
      <c r="AG6111" s="536"/>
    </row>
    <row r="6112" spans="33:33">
      <c r="AG6112" s="536"/>
    </row>
    <row r="6113" spans="33:33">
      <c r="AG6113" s="536"/>
    </row>
    <row r="6114" spans="33:33">
      <c r="AG6114" s="536"/>
    </row>
    <row r="6115" spans="33:33">
      <c r="AG6115" s="536"/>
    </row>
    <row r="6116" spans="33:33">
      <c r="AG6116" s="536"/>
    </row>
    <row r="6117" spans="33:33">
      <c r="AG6117" s="536"/>
    </row>
    <row r="6118" spans="33:33">
      <c r="AG6118" s="536"/>
    </row>
    <row r="6119" spans="33:33">
      <c r="AG6119" s="536"/>
    </row>
    <row r="6120" spans="33:33">
      <c r="AG6120" s="536"/>
    </row>
    <row r="6121" spans="33:33">
      <c r="AG6121" s="536"/>
    </row>
    <row r="6122" spans="33:33">
      <c r="AG6122" s="536"/>
    </row>
    <row r="6123" spans="33:33">
      <c r="AG6123" s="536"/>
    </row>
    <row r="6124" spans="33:33">
      <c r="AG6124" s="536"/>
    </row>
    <row r="6125" spans="33:33">
      <c r="AG6125" s="536"/>
    </row>
    <row r="6126" spans="33:33">
      <c r="AG6126" s="536"/>
    </row>
    <row r="6127" spans="33:33">
      <c r="AG6127" s="536"/>
    </row>
    <row r="6128" spans="33:33">
      <c r="AG6128" s="536"/>
    </row>
    <row r="6129" spans="33:33">
      <c r="AG6129" s="536"/>
    </row>
    <row r="6130" spans="33:33">
      <c r="AG6130" s="536"/>
    </row>
    <row r="6131" spans="33:33">
      <c r="AG6131" s="536"/>
    </row>
    <row r="6132" spans="33:33">
      <c r="AG6132" s="536"/>
    </row>
    <row r="6133" spans="33:33">
      <c r="AG6133" s="536"/>
    </row>
    <row r="6134" spans="33:33">
      <c r="AG6134" s="536"/>
    </row>
    <row r="6135" spans="33:33">
      <c r="AG6135" s="536"/>
    </row>
    <row r="6136" spans="33:33">
      <c r="AG6136" s="536"/>
    </row>
    <row r="6137" spans="33:33">
      <c r="AG6137" s="536"/>
    </row>
    <row r="6138" spans="33:33">
      <c r="AG6138" s="536"/>
    </row>
    <row r="6139" spans="33:33">
      <c r="AG6139" s="536"/>
    </row>
    <row r="6140" spans="33:33">
      <c r="AG6140" s="536"/>
    </row>
    <row r="6141" spans="33:33">
      <c r="AG6141" s="536"/>
    </row>
    <row r="6142" spans="33:33">
      <c r="AG6142" s="536"/>
    </row>
    <row r="6143" spans="33:33">
      <c r="AG6143" s="536"/>
    </row>
    <row r="6144" spans="33:33">
      <c r="AG6144" s="536"/>
    </row>
    <row r="6145" spans="33:33">
      <c r="AG6145" s="536"/>
    </row>
    <row r="6146" spans="33:33">
      <c r="AG6146" s="536"/>
    </row>
    <row r="6147" spans="33:33">
      <c r="AG6147" s="536"/>
    </row>
    <row r="6148" spans="33:33">
      <c r="AG6148" s="536"/>
    </row>
    <row r="6149" spans="33:33">
      <c r="AG6149" s="536"/>
    </row>
    <row r="6150" spans="33:33">
      <c r="AG6150" s="536"/>
    </row>
    <row r="6151" spans="33:33">
      <c r="AG6151" s="536"/>
    </row>
    <row r="6152" spans="33:33">
      <c r="AG6152" s="536"/>
    </row>
    <row r="6153" spans="33:33">
      <c r="AG6153" s="536"/>
    </row>
    <row r="6154" spans="33:33">
      <c r="AG6154" s="536"/>
    </row>
    <row r="6155" spans="33:33">
      <c r="AG6155" s="536"/>
    </row>
    <row r="6156" spans="33:33">
      <c r="AG6156" s="536"/>
    </row>
    <row r="6157" spans="33:33">
      <c r="AG6157" s="536"/>
    </row>
    <row r="6158" spans="33:33">
      <c r="AG6158" s="536"/>
    </row>
    <row r="6159" spans="33:33">
      <c r="AG6159" s="536"/>
    </row>
    <row r="6160" spans="33:33">
      <c r="AG6160" s="536"/>
    </row>
    <row r="6161" spans="33:33">
      <c r="AG6161" s="536"/>
    </row>
    <row r="6162" spans="33:33">
      <c r="AG6162" s="536"/>
    </row>
    <row r="6163" spans="33:33">
      <c r="AG6163" s="536"/>
    </row>
    <row r="6164" spans="33:33">
      <c r="AG6164" s="536"/>
    </row>
    <row r="6165" spans="33:33">
      <c r="AG6165" s="536"/>
    </row>
    <row r="6166" spans="33:33">
      <c r="AG6166" s="536"/>
    </row>
    <row r="6167" spans="33:33">
      <c r="AG6167" s="536"/>
    </row>
    <row r="6168" spans="33:33">
      <c r="AG6168" s="536"/>
    </row>
    <row r="6169" spans="33:33">
      <c r="AG6169" s="536"/>
    </row>
    <row r="6170" spans="33:33">
      <c r="AG6170" s="536"/>
    </row>
    <row r="6171" spans="33:33">
      <c r="AG6171" s="536"/>
    </row>
    <row r="6172" spans="33:33">
      <c r="AG6172" s="536"/>
    </row>
    <row r="6173" spans="33:33">
      <c r="AG6173" s="536"/>
    </row>
    <row r="6174" spans="33:33">
      <c r="AG6174" s="536"/>
    </row>
    <row r="6175" spans="33:33">
      <c r="AG6175" s="536"/>
    </row>
    <row r="6176" spans="33:33">
      <c r="AG6176" s="536"/>
    </row>
    <row r="6177" spans="33:33">
      <c r="AG6177" s="536"/>
    </row>
    <row r="6178" spans="33:33">
      <c r="AG6178" s="536"/>
    </row>
    <row r="6179" spans="33:33">
      <c r="AG6179" s="536"/>
    </row>
    <row r="6180" spans="33:33">
      <c r="AG6180" s="536"/>
    </row>
    <row r="6181" spans="33:33">
      <c r="AG6181" s="536"/>
    </row>
    <row r="6182" spans="33:33">
      <c r="AG6182" s="536"/>
    </row>
    <row r="6183" spans="33:33">
      <c r="AG6183" s="536"/>
    </row>
    <row r="6184" spans="33:33">
      <c r="AG6184" s="536"/>
    </row>
    <row r="6185" spans="33:33">
      <c r="AG6185" s="536"/>
    </row>
    <row r="6186" spans="33:33">
      <c r="AG6186" s="536"/>
    </row>
    <row r="6187" spans="33:33">
      <c r="AG6187" s="536"/>
    </row>
    <row r="6188" spans="33:33">
      <c r="AG6188" s="536"/>
    </row>
    <row r="6189" spans="33:33">
      <c r="AG6189" s="536"/>
    </row>
    <row r="6190" spans="33:33">
      <c r="AG6190" s="536"/>
    </row>
    <row r="6191" spans="33:33">
      <c r="AG6191" s="536"/>
    </row>
    <row r="6192" spans="33:33">
      <c r="AG6192" s="536"/>
    </row>
    <row r="6193" spans="33:33">
      <c r="AG6193" s="536"/>
    </row>
    <row r="6194" spans="33:33">
      <c r="AG6194" s="536"/>
    </row>
    <row r="6195" spans="33:33">
      <c r="AG6195" s="536"/>
    </row>
    <row r="6196" spans="33:33">
      <c r="AG6196" s="536"/>
    </row>
    <row r="6197" spans="33:33">
      <c r="AG6197" s="536"/>
    </row>
    <row r="6198" spans="33:33">
      <c r="AG6198" s="536"/>
    </row>
    <row r="6199" spans="33:33">
      <c r="AG6199" s="536"/>
    </row>
    <row r="6200" spans="33:33">
      <c r="AG6200" s="536"/>
    </row>
    <row r="6201" spans="33:33">
      <c r="AG6201" s="536"/>
    </row>
    <row r="6202" spans="33:33">
      <c r="AG6202" s="536"/>
    </row>
    <row r="6203" spans="33:33">
      <c r="AG6203" s="536"/>
    </row>
    <row r="6204" spans="33:33">
      <c r="AG6204" s="536"/>
    </row>
    <row r="6205" spans="33:33">
      <c r="AG6205" s="536"/>
    </row>
    <row r="6206" spans="33:33">
      <c r="AG6206" s="536"/>
    </row>
    <row r="6207" spans="33:33">
      <c r="AG6207" s="536"/>
    </row>
    <row r="6208" spans="33:33">
      <c r="AG6208" s="536"/>
    </row>
    <row r="6209" spans="33:33">
      <c r="AG6209" s="536"/>
    </row>
    <row r="6210" spans="33:33">
      <c r="AG6210" s="536"/>
    </row>
    <row r="6211" spans="33:33">
      <c r="AG6211" s="536"/>
    </row>
    <row r="6212" spans="33:33">
      <c r="AG6212" s="536"/>
    </row>
    <row r="6213" spans="33:33">
      <c r="AG6213" s="536"/>
    </row>
    <row r="6214" spans="33:33">
      <c r="AG6214" s="536"/>
    </row>
    <row r="6215" spans="33:33">
      <c r="AG6215" s="536"/>
    </row>
    <row r="6216" spans="33:33">
      <c r="AG6216" s="536"/>
    </row>
    <row r="6217" spans="33:33">
      <c r="AG6217" s="536"/>
    </row>
    <row r="6218" spans="33:33">
      <c r="AG6218" s="536"/>
    </row>
    <row r="6219" spans="33:33">
      <c r="AG6219" s="536"/>
    </row>
    <row r="6220" spans="33:33">
      <c r="AG6220" s="536"/>
    </row>
    <row r="6221" spans="33:33">
      <c r="AG6221" s="536"/>
    </row>
    <row r="6222" spans="33:33">
      <c r="AG6222" s="536"/>
    </row>
    <row r="6223" spans="33:33">
      <c r="AG6223" s="536"/>
    </row>
    <row r="6224" spans="33:33">
      <c r="AG6224" s="536"/>
    </row>
    <row r="6225" spans="33:33">
      <c r="AG6225" s="536"/>
    </row>
    <row r="6226" spans="33:33">
      <c r="AG6226" s="536"/>
    </row>
    <row r="6227" spans="33:33">
      <c r="AG6227" s="536"/>
    </row>
    <row r="6228" spans="33:33">
      <c r="AG6228" s="536"/>
    </row>
    <row r="6229" spans="33:33">
      <c r="AG6229" s="536"/>
    </row>
    <row r="6230" spans="33:33">
      <c r="AG6230" s="536"/>
    </row>
    <row r="6231" spans="33:33">
      <c r="AG6231" s="536"/>
    </row>
    <row r="6232" spans="33:33">
      <c r="AG6232" s="536"/>
    </row>
    <row r="6233" spans="33:33">
      <c r="AG6233" s="536"/>
    </row>
    <row r="6234" spans="33:33">
      <c r="AG6234" s="536"/>
    </row>
    <row r="6235" spans="33:33">
      <c r="AG6235" s="536"/>
    </row>
    <row r="6236" spans="33:33">
      <c r="AG6236" s="536"/>
    </row>
    <row r="6237" spans="33:33">
      <c r="AG6237" s="536"/>
    </row>
    <row r="6238" spans="33:33">
      <c r="AG6238" s="536"/>
    </row>
    <row r="6239" spans="33:33">
      <c r="AG6239" s="536"/>
    </row>
    <row r="6240" spans="33:33">
      <c r="AG6240" s="536"/>
    </row>
    <row r="6241" spans="33:33">
      <c r="AG6241" s="536"/>
    </row>
    <row r="6242" spans="33:33">
      <c r="AG6242" s="536"/>
    </row>
    <row r="6243" spans="33:33">
      <c r="AG6243" s="536"/>
    </row>
    <row r="6244" spans="33:33">
      <c r="AG6244" s="536"/>
    </row>
    <row r="6245" spans="33:33">
      <c r="AG6245" s="536"/>
    </row>
    <row r="6246" spans="33:33">
      <c r="AG6246" s="536"/>
    </row>
    <row r="6247" spans="33:33">
      <c r="AG6247" s="536"/>
    </row>
    <row r="6248" spans="33:33">
      <c r="AG6248" s="536"/>
    </row>
    <row r="6249" spans="33:33">
      <c r="AG6249" s="536"/>
    </row>
    <row r="6250" spans="33:33">
      <c r="AG6250" s="536"/>
    </row>
    <row r="6251" spans="33:33">
      <c r="AG6251" s="536"/>
    </row>
    <row r="6252" spans="33:33">
      <c r="AG6252" s="536"/>
    </row>
    <row r="6253" spans="33:33">
      <c r="AG6253" s="536"/>
    </row>
    <row r="6254" spans="33:33">
      <c r="AG6254" s="536"/>
    </row>
    <row r="6255" spans="33:33">
      <c r="AG6255" s="536"/>
    </row>
    <row r="6256" spans="33:33">
      <c r="AG6256" s="536"/>
    </row>
    <row r="6257" spans="33:33">
      <c r="AG6257" s="536"/>
    </row>
    <row r="6258" spans="33:33">
      <c r="AG6258" s="536"/>
    </row>
    <row r="6259" spans="33:33">
      <c r="AG6259" s="536"/>
    </row>
    <row r="6260" spans="33:33">
      <c r="AG6260" s="536"/>
    </row>
    <row r="6261" spans="33:33">
      <c r="AG6261" s="536"/>
    </row>
    <row r="6262" spans="33:33">
      <c r="AG6262" s="536"/>
    </row>
    <row r="6263" spans="33:33">
      <c r="AG6263" s="536"/>
    </row>
    <row r="6264" spans="33:33">
      <c r="AG6264" s="536"/>
    </row>
    <row r="6265" spans="33:33">
      <c r="AG6265" s="536"/>
    </row>
    <row r="6266" spans="33:33">
      <c r="AG6266" s="536"/>
    </row>
    <row r="6267" spans="33:33">
      <c r="AG6267" s="536"/>
    </row>
    <row r="6268" spans="33:33">
      <c r="AG6268" s="536"/>
    </row>
    <row r="6269" spans="33:33">
      <c r="AG6269" s="536"/>
    </row>
    <row r="6270" spans="33:33">
      <c r="AG6270" s="536"/>
    </row>
    <row r="6271" spans="33:33">
      <c r="AG6271" s="536"/>
    </row>
    <row r="6272" spans="33:33">
      <c r="AG6272" s="536"/>
    </row>
    <row r="6273" spans="33:33">
      <c r="AG6273" s="536"/>
    </row>
    <row r="6274" spans="33:33">
      <c r="AG6274" s="536"/>
    </row>
    <row r="6275" spans="33:33">
      <c r="AG6275" s="536"/>
    </row>
    <row r="6276" spans="33:33">
      <c r="AG6276" s="536"/>
    </row>
    <row r="6277" spans="33:33">
      <c r="AG6277" s="536"/>
    </row>
    <row r="6278" spans="33:33">
      <c r="AG6278" s="536"/>
    </row>
    <row r="6279" spans="33:33">
      <c r="AG6279" s="536"/>
    </row>
    <row r="6280" spans="33:33">
      <c r="AG6280" s="536"/>
    </row>
    <row r="6281" spans="33:33">
      <c r="AG6281" s="536"/>
    </row>
    <row r="6282" spans="33:33">
      <c r="AG6282" s="536"/>
    </row>
    <row r="6283" spans="33:33">
      <c r="AG6283" s="536"/>
    </row>
    <row r="6284" spans="33:33">
      <c r="AG6284" s="536"/>
    </row>
    <row r="6285" spans="33:33">
      <c r="AG6285" s="536"/>
    </row>
    <row r="6286" spans="33:33">
      <c r="AG6286" s="536"/>
    </row>
    <row r="6287" spans="33:33">
      <c r="AG6287" s="536"/>
    </row>
    <row r="6288" spans="33:33">
      <c r="AG6288" s="536"/>
    </row>
    <row r="6289" spans="33:33">
      <c r="AG6289" s="536"/>
    </row>
    <row r="6290" spans="33:33">
      <c r="AG6290" s="536"/>
    </row>
    <row r="6291" spans="33:33">
      <c r="AG6291" s="536"/>
    </row>
    <row r="6292" spans="33:33">
      <c r="AG6292" s="536"/>
    </row>
    <row r="6293" spans="33:33">
      <c r="AG6293" s="536"/>
    </row>
    <row r="6294" spans="33:33">
      <c r="AG6294" s="536"/>
    </row>
    <row r="6295" spans="33:33">
      <c r="AG6295" s="536"/>
    </row>
    <row r="6296" spans="33:33">
      <c r="AG6296" s="536"/>
    </row>
    <row r="6297" spans="33:33">
      <c r="AG6297" s="536"/>
    </row>
    <row r="6298" spans="33:33">
      <c r="AG6298" s="536"/>
    </row>
    <row r="6299" spans="33:33">
      <c r="AG6299" s="536"/>
    </row>
    <row r="6300" spans="33:33">
      <c r="AG6300" s="536"/>
    </row>
    <row r="6301" spans="33:33">
      <c r="AG6301" s="536"/>
    </row>
    <row r="6302" spans="33:33">
      <c r="AG6302" s="536"/>
    </row>
    <row r="6303" spans="33:33">
      <c r="AG6303" s="536"/>
    </row>
    <row r="6304" spans="33:33">
      <c r="AG6304" s="536"/>
    </row>
    <row r="6305" spans="33:33">
      <c r="AG6305" s="536"/>
    </row>
    <row r="6306" spans="33:33">
      <c r="AG6306" s="536"/>
    </row>
    <row r="6307" spans="33:33">
      <c r="AG6307" s="536"/>
    </row>
    <row r="6308" spans="33:33">
      <c r="AG6308" s="536"/>
    </row>
    <row r="6309" spans="33:33">
      <c r="AG6309" s="536"/>
    </row>
    <row r="6310" spans="33:33">
      <c r="AG6310" s="536"/>
    </row>
    <row r="6311" spans="33:33">
      <c r="AG6311" s="536"/>
    </row>
    <row r="6312" spans="33:33">
      <c r="AG6312" s="536"/>
    </row>
    <row r="6313" spans="33:33">
      <c r="AG6313" s="536"/>
    </row>
    <row r="6314" spans="33:33">
      <c r="AG6314" s="536"/>
    </row>
    <row r="6315" spans="33:33">
      <c r="AG6315" s="536"/>
    </row>
    <row r="6316" spans="33:33">
      <c r="AG6316" s="536"/>
    </row>
    <row r="6317" spans="33:33">
      <c r="AG6317" s="536"/>
    </row>
    <row r="6318" spans="33:33">
      <c r="AG6318" s="536"/>
    </row>
    <row r="6319" spans="33:33">
      <c r="AG6319" s="536"/>
    </row>
    <row r="6320" spans="33:33">
      <c r="AG6320" s="536"/>
    </row>
    <row r="6321" spans="33:33">
      <c r="AG6321" s="536"/>
    </row>
    <row r="6322" spans="33:33">
      <c r="AG6322" s="536"/>
    </row>
    <row r="6323" spans="33:33">
      <c r="AG6323" s="536"/>
    </row>
    <row r="6324" spans="33:33">
      <c r="AG6324" s="536"/>
    </row>
    <row r="6325" spans="33:33">
      <c r="AG6325" s="536"/>
    </row>
    <row r="6326" spans="33:33">
      <c r="AG6326" s="536"/>
    </row>
    <row r="6327" spans="33:33">
      <c r="AG6327" s="536"/>
    </row>
    <row r="6328" spans="33:33">
      <c r="AG6328" s="536"/>
    </row>
    <row r="6329" spans="33:33">
      <c r="AG6329" s="536"/>
    </row>
    <row r="6330" spans="33:33">
      <c r="AG6330" s="536"/>
    </row>
    <row r="6331" spans="33:33">
      <c r="AG6331" s="536"/>
    </row>
    <row r="6332" spans="33:33">
      <c r="AG6332" s="536"/>
    </row>
    <row r="6333" spans="33:33">
      <c r="AG6333" s="536"/>
    </row>
    <row r="6334" spans="33:33">
      <c r="AG6334" s="536"/>
    </row>
    <row r="6335" spans="33:33">
      <c r="AG6335" s="536"/>
    </row>
    <row r="6336" spans="33:33">
      <c r="AG6336" s="536"/>
    </row>
    <row r="6337" spans="33:33">
      <c r="AG6337" s="536"/>
    </row>
    <row r="6338" spans="33:33">
      <c r="AG6338" s="536"/>
    </row>
    <row r="6339" spans="33:33">
      <c r="AG6339" s="536"/>
    </row>
    <row r="6340" spans="33:33">
      <c r="AG6340" s="536"/>
    </row>
    <row r="6341" spans="33:33">
      <c r="AG6341" s="536"/>
    </row>
    <row r="6342" spans="33:33">
      <c r="AG6342" s="536"/>
    </row>
    <row r="6343" spans="33:33">
      <c r="AG6343" s="536"/>
    </row>
    <row r="6344" spans="33:33">
      <c r="AG6344" s="536"/>
    </row>
    <row r="6345" spans="33:33">
      <c r="AG6345" s="536"/>
    </row>
    <row r="6346" spans="33:33">
      <c r="AG6346" s="536"/>
    </row>
    <row r="6347" spans="33:33">
      <c r="AG6347" s="536"/>
    </row>
    <row r="6348" spans="33:33">
      <c r="AG6348" s="536"/>
    </row>
    <row r="6349" spans="33:33">
      <c r="AG6349" s="536"/>
    </row>
    <row r="6350" spans="33:33">
      <c r="AG6350" s="536"/>
    </row>
    <row r="6351" spans="33:33">
      <c r="AG6351" s="536"/>
    </row>
    <row r="6352" spans="33:33">
      <c r="AG6352" s="536"/>
    </row>
    <row r="6353" spans="33:33">
      <c r="AG6353" s="536"/>
    </row>
    <row r="6354" spans="33:33">
      <c r="AG6354" s="536"/>
    </row>
    <row r="6355" spans="33:33">
      <c r="AG6355" s="536"/>
    </row>
    <row r="6356" spans="33:33">
      <c r="AG6356" s="536"/>
    </row>
    <row r="6357" spans="33:33">
      <c r="AG6357" s="536"/>
    </row>
    <row r="6358" spans="33:33">
      <c r="AG6358" s="536"/>
    </row>
    <row r="6359" spans="33:33">
      <c r="AG6359" s="536"/>
    </row>
    <row r="6360" spans="33:33">
      <c r="AG6360" s="536"/>
    </row>
    <row r="6361" spans="33:33">
      <c r="AG6361" s="536"/>
    </row>
    <row r="6362" spans="33:33">
      <c r="AG6362" s="536"/>
    </row>
    <row r="6363" spans="33:33">
      <c r="AG6363" s="536"/>
    </row>
    <row r="6364" spans="33:33">
      <c r="AG6364" s="536"/>
    </row>
    <row r="6365" spans="33:33">
      <c r="AG6365" s="536"/>
    </row>
    <row r="6366" spans="33:33">
      <c r="AG6366" s="536"/>
    </row>
    <row r="6367" spans="33:33">
      <c r="AG6367" s="536"/>
    </row>
    <row r="6368" spans="33:33">
      <c r="AG6368" s="536"/>
    </row>
    <row r="6369" spans="33:33">
      <c r="AG6369" s="536"/>
    </row>
    <row r="6370" spans="33:33">
      <c r="AG6370" s="536"/>
    </row>
    <row r="6371" spans="33:33">
      <c r="AG6371" s="536"/>
    </row>
    <row r="6372" spans="33:33">
      <c r="AG6372" s="536"/>
    </row>
    <row r="6373" spans="33:33">
      <c r="AG6373" s="536"/>
    </row>
    <row r="6374" spans="33:33">
      <c r="AG6374" s="536"/>
    </row>
    <row r="6375" spans="33:33">
      <c r="AG6375" s="536"/>
    </row>
    <row r="6376" spans="33:33">
      <c r="AG6376" s="536"/>
    </row>
    <row r="6377" spans="33:33">
      <c r="AG6377" s="536"/>
    </row>
    <row r="6378" spans="33:33">
      <c r="AG6378" s="536"/>
    </row>
    <row r="6379" spans="33:33">
      <c r="AG6379" s="536"/>
    </row>
    <row r="6380" spans="33:33">
      <c r="AG6380" s="536"/>
    </row>
    <row r="6381" spans="33:33">
      <c r="AG6381" s="536"/>
    </row>
    <row r="6382" spans="33:33">
      <c r="AG6382" s="536"/>
    </row>
    <row r="6383" spans="33:33">
      <c r="AG6383" s="536"/>
    </row>
    <row r="6384" spans="33:33">
      <c r="AG6384" s="536"/>
    </row>
    <row r="6385" spans="33:33">
      <c r="AG6385" s="536"/>
    </row>
    <row r="6386" spans="33:33">
      <c r="AG6386" s="536"/>
    </row>
    <row r="6387" spans="33:33">
      <c r="AG6387" s="536"/>
    </row>
    <row r="6388" spans="33:33">
      <c r="AG6388" s="536"/>
    </row>
    <row r="6389" spans="33:33">
      <c r="AG6389" s="536"/>
    </row>
    <row r="6390" spans="33:33">
      <c r="AG6390" s="536"/>
    </row>
    <row r="6391" spans="33:33">
      <c r="AG6391" s="536"/>
    </row>
    <row r="6392" spans="33:33">
      <c r="AG6392" s="536"/>
    </row>
    <row r="6393" spans="33:33">
      <c r="AG6393" s="536"/>
    </row>
    <row r="6394" spans="33:33">
      <c r="AG6394" s="536"/>
    </row>
    <row r="6395" spans="33:33">
      <c r="AG6395" s="536"/>
    </row>
    <row r="6396" spans="33:33">
      <c r="AG6396" s="536"/>
    </row>
    <row r="6397" spans="33:33">
      <c r="AG6397" s="536"/>
    </row>
    <row r="6398" spans="33:33">
      <c r="AG6398" s="536"/>
    </row>
    <row r="6399" spans="33:33">
      <c r="AG6399" s="536"/>
    </row>
    <row r="6400" spans="33:33">
      <c r="AG6400" s="536"/>
    </row>
    <row r="6401" spans="33:33">
      <c r="AG6401" s="536"/>
    </row>
    <row r="6402" spans="33:33">
      <c r="AG6402" s="536"/>
    </row>
    <row r="6403" spans="33:33">
      <c r="AG6403" s="536"/>
    </row>
    <row r="6404" spans="33:33">
      <c r="AG6404" s="536"/>
    </row>
    <row r="6405" spans="33:33">
      <c r="AG6405" s="536"/>
    </row>
    <row r="6406" spans="33:33">
      <c r="AG6406" s="536"/>
    </row>
    <row r="6407" spans="33:33">
      <c r="AG6407" s="536"/>
    </row>
    <row r="6408" spans="33:33">
      <c r="AG6408" s="536"/>
    </row>
    <row r="6409" spans="33:33">
      <c r="AG6409" s="536"/>
    </row>
    <row r="6410" spans="33:33">
      <c r="AG6410" s="536"/>
    </row>
    <row r="6411" spans="33:33">
      <c r="AG6411" s="536"/>
    </row>
    <row r="6412" spans="33:33">
      <c r="AG6412" s="536"/>
    </row>
    <row r="6413" spans="33:33">
      <c r="AG6413" s="536"/>
    </row>
    <row r="6414" spans="33:33">
      <c r="AG6414" s="536"/>
    </row>
    <row r="6415" spans="33:33">
      <c r="AG6415" s="536"/>
    </row>
    <row r="6416" spans="33:33">
      <c r="AG6416" s="536"/>
    </row>
    <row r="6417" spans="33:33">
      <c r="AG6417" s="536"/>
    </row>
    <row r="6418" spans="33:33">
      <c r="AG6418" s="536"/>
    </row>
    <row r="6419" spans="33:33">
      <c r="AG6419" s="536"/>
    </row>
    <row r="6420" spans="33:33">
      <c r="AG6420" s="536"/>
    </row>
    <row r="6421" spans="33:33">
      <c r="AG6421" s="536"/>
    </row>
    <row r="6422" spans="33:33">
      <c r="AG6422" s="536"/>
    </row>
    <row r="6423" spans="33:33">
      <c r="AG6423" s="536"/>
    </row>
    <row r="6424" spans="33:33">
      <c r="AG6424" s="536"/>
    </row>
    <row r="6425" spans="33:33">
      <c r="AG6425" s="536"/>
    </row>
    <row r="6426" spans="33:33">
      <c r="AG6426" s="536"/>
    </row>
    <row r="6427" spans="33:33">
      <c r="AG6427" s="536"/>
    </row>
    <row r="6428" spans="33:33">
      <c r="AG6428" s="536"/>
    </row>
    <row r="6429" spans="33:33">
      <c r="AG6429" s="536"/>
    </row>
    <row r="6430" spans="33:33">
      <c r="AG6430" s="536"/>
    </row>
    <row r="6431" spans="33:33">
      <c r="AG6431" s="536"/>
    </row>
    <row r="6432" spans="33:33">
      <c r="AG6432" s="536"/>
    </row>
    <row r="6433" spans="33:33">
      <c r="AG6433" s="536"/>
    </row>
    <row r="6434" spans="33:33">
      <c r="AG6434" s="536"/>
    </row>
    <row r="6435" spans="33:33">
      <c r="AG6435" s="536"/>
    </row>
    <row r="6436" spans="33:33">
      <c r="AG6436" s="536"/>
    </row>
    <row r="6437" spans="33:33">
      <c r="AG6437" s="536"/>
    </row>
    <row r="6438" spans="33:33">
      <c r="AG6438" s="536"/>
    </row>
    <row r="6439" spans="33:33">
      <c r="AG6439" s="536"/>
    </row>
    <row r="6440" spans="33:33">
      <c r="AG6440" s="536"/>
    </row>
    <row r="6441" spans="33:33">
      <c r="AG6441" s="536"/>
    </row>
    <row r="6442" spans="33:33">
      <c r="AG6442" s="536"/>
    </row>
    <row r="6443" spans="33:33">
      <c r="AG6443" s="536"/>
    </row>
    <row r="6444" spans="33:33">
      <c r="AG6444" s="536"/>
    </row>
    <row r="6445" spans="33:33">
      <c r="AG6445" s="536"/>
    </row>
    <row r="6446" spans="33:33">
      <c r="AG6446" s="536"/>
    </row>
    <row r="6447" spans="33:33">
      <c r="AG6447" s="536"/>
    </row>
    <row r="6448" spans="33:33">
      <c r="AG6448" s="536"/>
    </row>
    <row r="6449" spans="33:33">
      <c r="AG6449" s="536"/>
    </row>
    <row r="6450" spans="33:33">
      <c r="AG6450" s="536"/>
    </row>
    <row r="6451" spans="33:33">
      <c r="AG6451" s="536"/>
    </row>
    <row r="6452" spans="33:33">
      <c r="AG6452" s="536"/>
    </row>
    <row r="6453" spans="33:33">
      <c r="AG6453" s="536"/>
    </row>
    <row r="6454" spans="33:33">
      <c r="AG6454" s="536"/>
    </row>
    <row r="6455" spans="33:33">
      <c r="AG6455" s="536"/>
    </row>
    <row r="6456" spans="33:33">
      <c r="AG6456" s="536"/>
    </row>
    <row r="6457" spans="33:33">
      <c r="AG6457" s="536"/>
    </row>
    <row r="6458" spans="33:33">
      <c r="AG6458" s="536"/>
    </row>
    <row r="6459" spans="33:33">
      <c r="AG6459" s="536"/>
    </row>
    <row r="6460" spans="33:33">
      <c r="AG6460" s="536"/>
    </row>
    <row r="6461" spans="33:33">
      <c r="AG6461" s="536"/>
    </row>
    <row r="6462" spans="33:33">
      <c r="AG6462" s="536"/>
    </row>
    <row r="6463" spans="33:33">
      <c r="AG6463" s="536"/>
    </row>
    <row r="6464" spans="33:33">
      <c r="AG6464" s="536"/>
    </row>
    <row r="6465" spans="33:33">
      <c r="AG6465" s="536"/>
    </row>
    <row r="6466" spans="33:33">
      <c r="AG6466" s="536"/>
    </row>
    <row r="6467" spans="33:33">
      <c r="AG6467" s="536"/>
    </row>
    <row r="6468" spans="33:33">
      <c r="AG6468" s="536"/>
    </row>
    <row r="6469" spans="33:33">
      <c r="AG6469" s="536"/>
    </row>
    <row r="6470" spans="33:33">
      <c r="AG6470" s="536"/>
    </row>
    <row r="6471" spans="33:33">
      <c r="AG6471" s="536"/>
    </row>
    <row r="6472" spans="33:33">
      <c r="AG6472" s="536"/>
    </row>
    <row r="6473" spans="33:33">
      <c r="AG6473" s="536"/>
    </row>
    <row r="6474" spans="33:33">
      <c r="AG6474" s="536"/>
    </row>
    <row r="6475" spans="33:33">
      <c r="AG6475" s="536"/>
    </row>
    <row r="6476" spans="33:33">
      <c r="AG6476" s="536"/>
    </row>
    <row r="6477" spans="33:33">
      <c r="AG6477" s="536"/>
    </row>
    <row r="6478" spans="33:33">
      <c r="AG6478" s="536"/>
    </row>
    <row r="6479" spans="33:33">
      <c r="AG6479" s="536"/>
    </row>
    <row r="6480" spans="33:33">
      <c r="AG6480" s="536"/>
    </row>
    <row r="6481" spans="33:33">
      <c r="AG6481" s="536"/>
    </row>
    <row r="6482" spans="33:33">
      <c r="AG6482" s="536"/>
    </row>
    <row r="6483" spans="33:33">
      <c r="AG6483" s="536"/>
    </row>
    <row r="6484" spans="33:33">
      <c r="AG6484" s="536"/>
    </row>
    <row r="6485" spans="33:33">
      <c r="AG6485" s="536"/>
    </row>
    <row r="6486" spans="33:33">
      <c r="AG6486" s="536"/>
    </row>
    <row r="6487" spans="33:33">
      <c r="AG6487" s="536"/>
    </row>
    <row r="6488" spans="33:33">
      <c r="AG6488" s="536"/>
    </row>
    <row r="6489" spans="33:33">
      <c r="AG6489" s="536"/>
    </row>
    <row r="6490" spans="33:33">
      <c r="AG6490" s="536"/>
    </row>
    <row r="6491" spans="33:33">
      <c r="AG6491" s="536"/>
    </row>
    <row r="6492" spans="33:33">
      <c r="AG6492" s="536"/>
    </row>
    <row r="6493" spans="33:33">
      <c r="AG6493" s="536"/>
    </row>
    <row r="6494" spans="33:33">
      <c r="AG6494" s="536"/>
    </row>
    <row r="6495" spans="33:33">
      <c r="AG6495" s="536"/>
    </row>
    <row r="6496" spans="33:33">
      <c r="AG6496" s="536"/>
    </row>
    <row r="6497" spans="33:33">
      <c r="AG6497" s="536"/>
    </row>
    <row r="6498" spans="33:33">
      <c r="AG6498" s="536"/>
    </row>
    <row r="6499" spans="33:33">
      <c r="AG6499" s="536"/>
    </row>
    <row r="6500" spans="33:33">
      <c r="AG6500" s="536"/>
    </row>
    <row r="6501" spans="33:33">
      <c r="AG6501" s="536"/>
    </row>
    <row r="6502" spans="33:33">
      <c r="AG6502" s="536"/>
    </row>
    <row r="6503" spans="33:33">
      <c r="AG6503" s="536"/>
    </row>
    <row r="6504" spans="33:33">
      <c r="AG6504" s="536"/>
    </row>
    <row r="6505" spans="33:33">
      <c r="AG6505" s="536"/>
    </row>
    <row r="6506" spans="33:33">
      <c r="AG6506" s="536"/>
    </row>
    <row r="6507" spans="33:33">
      <c r="AG6507" s="536"/>
    </row>
    <row r="6508" spans="33:33">
      <c r="AG6508" s="536"/>
    </row>
    <row r="6509" spans="33:33">
      <c r="AG6509" s="536"/>
    </row>
    <row r="6510" spans="33:33">
      <c r="AG6510" s="536"/>
    </row>
    <row r="6511" spans="33:33">
      <c r="AG6511" s="536"/>
    </row>
    <row r="6512" spans="33:33">
      <c r="AG6512" s="536"/>
    </row>
    <row r="6513" spans="33:33">
      <c r="AG6513" s="536"/>
    </row>
    <row r="6514" spans="33:33">
      <c r="AG6514" s="536"/>
    </row>
    <row r="6515" spans="33:33">
      <c r="AG6515" s="536"/>
    </row>
    <row r="6516" spans="33:33">
      <c r="AG6516" s="536"/>
    </row>
    <row r="6517" spans="33:33">
      <c r="AG6517" s="536"/>
    </row>
    <row r="6518" spans="33:33">
      <c r="AG6518" s="536"/>
    </row>
    <row r="6519" spans="33:33">
      <c r="AG6519" s="536"/>
    </row>
    <row r="6520" spans="33:33">
      <c r="AG6520" s="536"/>
    </row>
    <row r="6521" spans="33:33">
      <c r="AG6521" s="536"/>
    </row>
    <row r="6522" spans="33:33">
      <c r="AG6522" s="536"/>
    </row>
    <row r="6523" spans="33:33">
      <c r="AG6523" s="536"/>
    </row>
    <row r="6524" spans="33:33">
      <c r="AG6524" s="536"/>
    </row>
    <row r="6525" spans="33:33">
      <c r="AG6525" s="536"/>
    </row>
    <row r="6526" spans="33:33">
      <c r="AG6526" s="536"/>
    </row>
    <row r="6527" spans="33:33">
      <c r="AG6527" s="536"/>
    </row>
    <row r="6528" spans="33:33">
      <c r="AG6528" s="536"/>
    </row>
    <row r="6529" spans="33:33">
      <c r="AG6529" s="536"/>
    </row>
    <row r="6530" spans="33:33">
      <c r="AG6530" s="536"/>
    </row>
    <row r="6531" spans="33:33">
      <c r="AG6531" s="536"/>
    </row>
    <row r="6532" spans="33:33">
      <c r="AG6532" s="536"/>
    </row>
    <row r="6533" spans="33:33">
      <c r="AG6533" s="536"/>
    </row>
    <row r="6534" spans="33:33">
      <c r="AG6534" s="536"/>
    </row>
    <row r="6535" spans="33:33">
      <c r="AG6535" s="536"/>
    </row>
    <row r="6536" spans="33:33">
      <c r="AG6536" s="536"/>
    </row>
    <row r="6537" spans="33:33">
      <c r="AG6537" s="536"/>
    </row>
    <row r="6538" spans="33:33">
      <c r="AG6538" s="536"/>
    </row>
    <row r="6539" spans="33:33">
      <c r="AG6539" s="536"/>
    </row>
    <row r="6540" spans="33:33">
      <c r="AG6540" s="536"/>
    </row>
    <row r="6541" spans="33:33">
      <c r="AG6541" s="536"/>
    </row>
    <row r="6542" spans="33:33">
      <c r="AG6542" s="536"/>
    </row>
    <row r="6543" spans="33:33">
      <c r="AG6543" s="536"/>
    </row>
    <row r="6544" spans="33:33">
      <c r="AG6544" s="536"/>
    </row>
    <row r="6545" spans="33:33">
      <c r="AG6545" s="536"/>
    </row>
    <row r="6546" spans="33:33">
      <c r="AG6546" s="536"/>
    </row>
    <row r="6547" spans="33:33">
      <c r="AG6547" s="536"/>
    </row>
    <row r="6548" spans="33:33">
      <c r="AG6548" s="536"/>
    </row>
    <row r="6549" spans="33:33">
      <c r="AG6549" s="536"/>
    </row>
    <row r="6550" spans="33:33">
      <c r="AG6550" s="536"/>
    </row>
    <row r="6551" spans="33:33">
      <c r="AG6551" s="536"/>
    </row>
    <row r="6552" spans="33:33">
      <c r="AG6552" s="536"/>
    </row>
    <row r="6553" spans="33:33">
      <c r="AG6553" s="536"/>
    </row>
    <row r="6554" spans="33:33">
      <c r="AG6554" s="536"/>
    </row>
    <row r="6555" spans="33:33">
      <c r="AG6555" s="536"/>
    </row>
    <row r="6556" spans="33:33">
      <c r="AG6556" s="536"/>
    </row>
    <row r="6557" spans="33:33">
      <c r="AG6557" s="536"/>
    </row>
    <row r="6558" spans="33:33">
      <c r="AG6558" s="536"/>
    </row>
    <row r="6559" spans="33:33">
      <c r="AG6559" s="536"/>
    </row>
    <row r="6560" spans="33:33">
      <c r="AG6560" s="536"/>
    </row>
    <row r="6561" spans="33:33">
      <c r="AG6561" s="536"/>
    </row>
    <row r="6562" spans="33:33">
      <c r="AG6562" s="536"/>
    </row>
    <row r="6563" spans="33:33">
      <c r="AG6563" s="536"/>
    </row>
    <row r="6564" spans="33:33">
      <c r="AG6564" s="536"/>
    </row>
    <row r="6565" spans="33:33">
      <c r="AG6565" s="536"/>
    </row>
    <row r="6566" spans="33:33">
      <c r="AG6566" s="536"/>
    </row>
    <row r="6567" spans="33:33">
      <c r="AG6567" s="536"/>
    </row>
    <row r="6568" spans="33:33">
      <c r="AG6568" s="536"/>
    </row>
    <row r="6569" spans="33:33">
      <c r="AG6569" s="536"/>
    </row>
    <row r="6570" spans="33:33">
      <c r="AG6570" s="536"/>
    </row>
    <row r="6571" spans="33:33">
      <c r="AG6571" s="536"/>
    </row>
    <row r="6572" spans="33:33">
      <c r="AG6572" s="536"/>
    </row>
    <row r="6573" spans="33:33">
      <c r="AG6573" s="536"/>
    </row>
    <row r="6574" spans="33:33">
      <c r="AG6574" s="536"/>
    </row>
    <row r="6575" spans="33:33">
      <c r="AG6575" s="536"/>
    </row>
    <row r="6576" spans="33:33">
      <c r="AG6576" s="536"/>
    </row>
    <row r="6577" spans="33:33">
      <c r="AG6577" s="536"/>
    </row>
    <row r="6578" spans="33:33">
      <c r="AG6578" s="536"/>
    </row>
    <row r="6579" spans="33:33">
      <c r="AG6579" s="536"/>
    </row>
    <row r="6580" spans="33:33">
      <c r="AG6580" s="536"/>
    </row>
    <row r="6581" spans="33:33">
      <c r="AG6581" s="536"/>
    </row>
    <row r="6582" spans="33:33">
      <c r="AG6582" s="536"/>
    </row>
    <row r="6583" spans="33:33">
      <c r="AG6583" s="536"/>
    </row>
    <row r="6584" spans="33:33">
      <c r="AG6584" s="536"/>
    </row>
    <row r="6585" spans="33:33">
      <c r="AG6585" s="536"/>
    </row>
    <row r="6586" spans="33:33">
      <c r="AG6586" s="536"/>
    </row>
    <row r="6587" spans="33:33">
      <c r="AG6587" s="536"/>
    </row>
    <row r="6588" spans="33:33">
      <c r="AG6588" s="536"/>
    </row>
    <row r="6589" spans="33:33">
      <c r="AG6589" s="536"/>
    </row>
    <row r="6590" spans="33:33">
      <c r="AG6590" s="536"/>
    </row>
    <row r="6591" spans="33:33">
      <c r="AG6591" s="536"/>
    </row>
    <row r="6592" spans="33:33">
      <c r="AG6592" s="536"/>
    </row>
    <row r="6593" spans="33:33">
      <c r="AG6593" s="536"/>
    </row>
    <row r="6594" spans="33:33">
      <c r="AG6594" s="536"/>
    </row>
    <row r="6595" spans="33:33">
      <c r="AG6595" s="536"/>
    </row>
    <row r="6596" spans="33:33">
      <c r="AG6596" s="536"/>
    </row>
    <row r="6597" spans="33:33">
      <c r="AG6597" s="536"/>
    </row>
    <row r="6598" spans="33:33">
      <c r="AG6598" s="536"/>
    </row>
    <row r="6599" spans="33:33">
      <c r="AG6599" s="536"/>
    </row>
    <row r="6600" spans="33:33">
      <c r="AG6600" s="536"/>
    </row>
    <row r="6601" spans="33:33">
      <c r="AG6601" s="536"/>
    </row>
    <row r="6602" spans="33:33">
      <c r="AG6602" s="536"/>
    </row>
    <row r="6603" spans="33:33">
      <c r="AG6603" s="536"/>
    </row>
    <row r="6604" spans="33:33">
      <c r="AG6604" s="536"/>
    </row>
    <row r="6605" spans="33:33">
      <c r="AG6605" s="536"/>
    </row>
    <row r="6606" spans="33:33">
      <c r="AG6606" s="536"/>
    </row>
    <row r="6607" spans="33:33">
      <c r="AG6607" s="536"/>
    </row>
    <row r="6608" spans="33:33">
      <c r="AG6608" s="536"/>
    </row>
    <row r="6609" spans="33:33">
      <c r="AG6609" s="536"/>
    </row>
    <row r="6610" spans="33:33">
      <c r="AG6610" s="536"/>
    </row>
    <row r="6611" spans="33:33">
      <c r="AG6611" s="536"/>
    </row>
    <row r="6612" spans="33:33">
      <c r="AG6612" s="536"/>
    </row>
    <row r="6613" spans="33:33">
      <c r="AG6613" s="536"/>
    </row>
    <row r="6614" spans="33:33">
      <c r="AG6614" s="536"/>
    </row>
    <row r="6615" spans="33:33">
      <c r="AG6615" s="536"/>
    </row>
    <row r="6616" spans="33:33">
      <c r="AG6616" s="536"/>
    </row>
    <row r="6617" spans="33:33">
      <c r="AG6617" s="536"/>
    </row>
    <row r="6618" spans="33:33">
      <c r="AG6618" s="536"/>
    </row>
    <row r="6619" spans="33:33">
      <c r="AG6619" s="536"/>
    </row>
    <row r="6620" spans="33:33">
      <c r="AG6620" s="536"/>
    </row>
    <row r="6621" spans="33:33">
      <c r="AG6621" s="536"/>
    </row>
    <row r="6622" spans="33:33">
      <c r="AG6622" s="536"/>
    </row>
    <row r="6623" spans="33:33">
      <c r="AG6623" s="536"/>
    </row>
    <row r="6624" spans="33:33">
      <c r="AG6624" s="536"/>
    </row>
    <row r="6625" spans="33:33">
      <c r="AG6625" s="536"/>
    </row>
    <row r="6626" spans="33:33">
      <c r="AG6626" s="536"/>
    </row>
    <row r="6627" spans="33:33">
      <c r="AG6627" s="536"/>
    </row>
    <row r="6628" spans="33:33">
      <c r="AG6628" s="536"/>
    </row>
    <row r="6629" spans="33:33">
      <c r="AG6629" s="536"/>
    </row>
    <row r="6630" spans="33:33">
      <c r="AG6630" s="536"/>
    </row>
    <row r="6631" spans="33:33">
      <c r="AG6631" s="536"/>
    </row>
    <row r="6632" spans="33:33">
      <c r="AG6632" s="536"/>
    </row>
    <row r="6633" spans="33:33">
      <c r="AG6633" s="536"/>
    </row>
    <row r="6634" spans="33:33">
      <c r="AG6634" s="536"/>
    </row>
    <row r="6635" spans="33:33">
      <c r="AG6635" s="536"/>
    </row>
    <row r="6636" spans="33:33">
      <c r="AG6636" s="536"/>
    </row>
    <row r="6637" spans="33:33">
      <c r="AG6637" s="536"/>
    </row>
    <row r="6638" spans="33:33">
      <c r="AG6638" s="536"/>
    </row>
    <row r="6639" spans="33:33">
      <c r="AG6639" s="536"/>
    </row>
    <row r="6640" spans="33:33">
      <c r="AG6640" s="536"/>
    </row>
    <row r="6641" spans="33:33">
      <c r="AG6641" s="536"/>
    </row>
    <row r="6642" spans="33:33">
      <c r="AG6642" s="536"/>
    </row>
    <row r="6643" spans="33:33">
      <c r="AG6643" s="536"/>
    </row>
    <row r="6644" spans="33:33">
      <c r="AG6644" s="536"/>
    </row>
    <row r="6645" spans="33:33">
      <c r="AG6645" s="536"/>
    </row>
    <row r="6646" spans="33:33">
      <c r="AG6646" s="536"/>
    </row>
    <row r="6647" spans="33:33">
      <c r="AG6647" s="536"/>
    </row>
    <row r="6648" spans="33:33">
      <c r="AG6648" s="536"/>
    </row>
    <row r="6649" spans="33:33">
      <c r="AG6649" s="536"/>
    </row>
    <row r="6650" spans="33:33">
      <c r="AG6650" s="536"/>
    </row>
    <row r="6651" spans="33:33">
      <c r="AG6651" s="536"/>
    </row>
    <row r="6652" spans="33:33">
      <c r="AG6652" s="536"/>
    </row>
    <row r="6653" spans="33:33">
      <c r="AG6653" s="536"/>
    </row>
    <row r="6654" spans="33:33">
      <c r="AG6654" s="536"/>
    </row>
    <row r="6655" spans="33:33">
      <c r="AG6655" s="536"/>
    </row>
    <row r="6656" spans="33:33">
      <c r="AG6656" s="536"/>
    </row>
    <row r="6657" spans="33:33">
      <c r="AG6657" s="536"/>
    </row>
    <row r="6658" spans="33:33">
      <c r="AG6658" s="536"/>
    </row>
    <row r="6659" spans="33:33">
      <c r="AG6659" s="536"/>
    </row>
    <row r="6660" spans="33:33">
      <c r="AG6660" s="536"/>
    </row>
    <row r="6661" spans="33:33">
      <c r="AG6661" s="536"/>
    </row>
    <row r="6662" spans="33:33">
      <c r="AG6662" s="536"/>
    </row>
    <row r="6663" spans="33:33">
      <c r="AG6663" s="536"/>
    </row>
    <row r="6664" spans="33:33">
      <c r="AG6664" s="536"/>
    </row>
    <row r="6665" spans="33:33">
      <c r="AG6665" s="536"/>
    </row>
    <row r="6666" spans="33:33">
      <c r="AG6666" s="536"/>
    </row>
    <row r="6667" spans="33:33">
      <c r="AG6667" s="536"/>
    </row>
    <row r="6668" spans="33:33">
      <c r="AG6668" s="536"/>
    </row>
    <row r="6669" spans="33:33">
      <c r="AG6669" s="536"/>
    </row>
    <row r="6670" spans="33:33">
      <c r="AG6670" s="536"/>
    </row>
    <row r="6671" spans="33:33">
      <c r="AG6671" s="536"/>
    </row>
    <row r="6672" spans="33:33">
      <c r="AG6672" s="536"/>
    </row>
    <row r="6673" spans="33:33">
      <c r="AG6673" s="536"/>
    </row>
    <row r="6674" spans="33:33">
      <c r="AG6674" s="536"/>
    </row>
    <row r="6675" spans="33:33">
      <c r="AG6675" s="536"/>
    </row>
    <row r="6676" spans="33:33">
      <c r="AG6676" s="536"/>
    </row>
    <row r="6677" spans="33:33">
      <c r="AG6677" s="536"/>
    </row>
    <row r="6678" spans="33:33">
      <c r="AG6678" s="536"/>
    </row>
    <row r="6679" spans="33:33">
      <c r="AG6679" s="536"/>
    </row>
    <row r="6680" spans="33:33">
      <c r="AG6680" s="536"/>
    </row>
    <row r="6681" spans="33:33">
      <c r="AG6681" s="536"/>
    </row>
    <row r="6682" spans="33:33">
      <c r="AG6682" s="536"/>
    </row>
    <row r="6683" spans="33:33">
      <c r="AG6683" s="536"/>
    </row>
    <row r="6684" spans="33:33">
      <c r="AG6684" s="536"/>
    </row>
    <row r="6685" spans="33:33">
      <c r="AG6685" s="536"/>
    </row>
    <row r="6686" spans="33:33">
      <c r="AG6686" s="536"/>
    </row>
    <row r="6687" spans="33:33">
      <c r="AG6687" s="536"/>
    </row>
    <row r="6688" spans="33:33">
      <c r="AG6688" s="536"/>
    </row>
    <row r="6689" spans="33:33">
      <c r="AG6689" s="536"/>
    </row>
    <row r="6690" spans="33:33">
      <c r="AG6690" s="536"/>
    </row>
    <row r="6691" spans="33:33">
      <c r="AG6691" s="536"/>
    </row>
    <row r="6692" spans="33:33">
      <c r="AG6692" s="536"/>
    </row>
    <row r="6693" spans="33:33">
      <c r="AG6693" s="536"/>
    </row>
    <row r="6694" spans="33:33">
      <c r="AG6694" s="536"/>
    </row>
    <row r="6695" spans="33:33">
      <c r="AG6695" s="536"/>
    </row>
    <row r="6696" spans="33:33">
      <c r="AG6696" s="536"/>
    </row>
    <row r="6697" spans="33:33">
      <c r="AG6697" s="536"/>
    </row>
    <row r="6698" spans="33:33">
      <c r="AG6698" s="536"/>
    </row>
    <row r="6699" spans="33:33">
      <c r="AG6699" s="536"/>
    </row>
    <row r="6700" spans="33:33">
      <c r="AG6700" s="536"/>
    </row>
    <row r="6701" spans="33:33">
      <c r="AG6701" s="536"/>
    </row>
    <row r="6702" spans="33:33">
      <c r="AG6702" s="536"/>
    </row>
    <row r="6703" spans="33:33">
      <c r="AG6703" s="536"/>
    </row>
    <row r="6704" spans="33:33">
      <c r="AG6704" s="536"/>
    </row>
    <row r="6705" spans="33:33">
      <c r="AG6705" s="536"/>
    </row>
    <row r="6706" spans="33:33">
      <c r="AG6706" s="536"/>
    </row>
    <row r="6707" spans="33:33">
      <c r="AG6707" s="536"/>
    </row>
    <row r="6708" spans="33:33">
      <c r="AG6708" s="536"/>
    </row>
    <row r="6709" spans="33:33">
      <c r="AG6709" s="536"/>
    </row>
    <row r="6710" spans="33:33">
      <c r="AG6710" s="536"/>
    </row>
    <row r="6711" spans="33:33">
      <c r="AG6711" s="536"/>
    </row>
    <row r="6712" spans="33:33">
      <c r="AG6712" s="536"/>
    </row>
    <row r="6713" spans="33:33">
      <c r="AG6713" s="536"/>
    </row>
    <row r="6714" spans="33:33">
      <c r="AG6714" s="536"/>
    </row>
    <row r="6715" spans="33:33">
      <c r="AG6715" s="536"/>
    </row>
    <row r="6716" spans="33:33">
      <c r="AG6716" s="536"/>
    </row>
    <row r="6717" spans="33:33">
      <c r="AG6717" s="536"/>
    </row>
    <row r="6718" spans="33:33">
      <c r="AG6718" s="536"/>
    </row>
    <row r="6719" spans="33:33">
      <c r="AG6719" s="536"/>
    </row>
    <row r="6720" spans="33:33">
      <c r="AG6720" s="536"/>
    </row>
    <row r="6721" spans="33:33">
      <c r="AG6721" s="536"/>
    </row>
    <row r="6722" spans="33:33">
      <c r="AG6722" s="536"/>
    </row>
    <row r="6723" spans="33:33">
      <c r="AG6723" s="536"/>
    </row>
    <row r="6724" spans="33:33">
      <c r="AG6724" s="536"/>
    </row>
    <row r="6725" spans="33:33">
      <c r="AG6725" s="536"/>
    </row>
    <row r="6726" spans="33:33">
      <c r="AG6726" s="536"/>
    </row>
    <row r="6727" spans="33:33">
      <c r="AG6727" s="536"/>
    </row>
    <row r="6728" spans="33:33">
      <c r="AG6728" s="536"/>
    </row>
    <row r="6729" spans="33:33">
      <c r="AG6729" s="536"/>
    </row>
    <row r="6730" spans="33:33">
      <c r="AG6730" s="536"/>
    </row>
    <row r="6731" spans="33:33">
      <c r="AG6731" s="536"/>
    </row>
    <row r="6732" spans="33:33">
      <c r="AG6732" s="536"/>
    </row>
    <row r="6733" spans="33:33">
      <c r="AG6733" s="536"/>
    </row>
    <row r="6734" spans="33:33">
      <c r="AG6734" s="536"/>
    </row>
    <row r="6735" spans="33:33">
      <c r="AG6735" s="536"/>
    </row>
    <row r="6736" spans="33:33">
      <c r="AG6736" s="536"/>
    </row>
    <row r="6737" spans="33:33">
      <c r="AG6737" s="536"/>
    </row>
    <row r="6738" spans="33:33">
      <c r="AG6738" s="536"/>
    </row>
    <row r="6739" spans="33:33">
      <c r="AG6739" s="536"/>
    </row>
    <row r="6740" spans="33:33">
      <c r="AG6740" s="536"/>
    </row>
    <row r="6741" spans="33:33">
      <c r="AG6741" s="536"/>
    </row>
    <row r="6742" spans="33:33">
      <c r="AG6742" s="536"/>
    </row>
    <row r="6743" spans="33:33">
      <c r="AG6743" s="536"/>
    </row>
    <row r="6744" spans="33:33">
      <c r="AG6744" s="536"/>
    </row>
    <row r="6745" spans="33:33">
      <c r="AG6745" s="536"/>
    </row>
    <row r="6746" spans="33:33">
      <c r="AG6746" s="536"/>
    </row>
    <row r="6747" spans="33:33">
      <c r="AG6747" s="536"/>
    </row>
    <row r="6748" spans="33:33">
      <c r="AG6748" s="536"/>
    </row>
    <row r="6749" spans="33:33">
      <c r="AG6749" s="536"/>
    </row>
    <row r="6750" spans="33:33">
      <c r="AG6750" s="536"/>
    </row>
    <row r="6751" spans="33:33">
      <c r="AG6751" s="536"/>
    </row>
    <row r="6752" spans="33:33">
      <c r="AG6752" s="536"/>
    </row>
    <row r="6753" spans="33:33">
      <c r="AG6753" s="536"/>
    </row>
    <row r="6754" spans="33:33">
      <c r="AG6754" s="536"/>
    </row>
    <row r="6755" spans="33:33">
      <c r="AG6755" s="536"/>
    </row>
    <row r="6756" spans="33:33">
      <c r="AG6756" s="536"/>
    </row>
    <row r="6757" spans="33:33">
      <c r="AG6757" s="536"/>
    </row>
    <row r="6758" spans="33:33">
      <c r="AG6758" s="536"/>
    </row>
    <row r="6759" spans="33:33">
      <c r="AG6759" s="536"/>
    </row>
    <row r="6760" spans="33:33">
      <c r="AG6760" s="536"/>
    </row>
    <row r="6761" spans="33:33">
      <c r="AG6761" s="536"/>
    </row>
    <row r="6762" spans="33:33">
      <c r="AG6762" s="536"/>
    </row>
    <row r="6763" spans="33:33">
      <c r="AG6763" s="536"/>
    </row>
    <row r="6764" spans="33:33">
      <c r="AG6764" s="536"/>
    </row>
    <row r="6765" spans="33:33">
      <c r="AG6765" s="536"/>
    </row>
    <row r="6766" spans="33:33">
      <c r="AG6766" s="536"/>
    </row>
    <row r="6767" spans="33:33">
      <c r="AG6767" s="536"/>
    </row>
    <row r="6768" spans="33:33">
      <c r="AG6768" s="536"/>
    </row>
    <row r="6769" spans="33:33">
      <c r="AG6769" s="536"/>
    </row>
    <row r="6770" spans="33:33">
      <c r="AG6770" s="536"/>
    </row>
    <row r="6771" spans="33:33">
      <c r="AG6771" s="536"/>
    </row>
    <row r="6772" spans="33:33">
      <c r="AG6772" s="536"/>
    </row>
    <row r="6773" spans="33:33">
      <c r="AG6773" s="536"/>
    </row>
    <row r="6774" spans="33:33">
      <c r="AG6774" s="536"/>
    </row>
    <row r="6775" spans="33:33">
      <c r="AG6775" s="536"/>
    </row>
    <row r="6776" spans="33:33">
      <c r="AG6776" s="536"/>
    </row>
    <row r="6777" spans="33:33">
      <c r="AG6777" s="536"/>
    </row>
    <row r="6778" spans="33:33">
      <c r="AG6778" s="536"/>
    </row>
    <row r="6779" spans="33:33">
      <c r="AG6779" s="536"/>
    </row>
    <row r="6780" spans="33:33">
      <c r="AG6780" s="536"/>
    </row>
    <row r="6781" spans="33:33">
      <c r="AG6781" s="536"/>
    </row>
    <row r="6782" spans="33:33">
      <c r="AG6782" s="536"/>
    </row>
    <row r="6783" spans="33:33">
      <c r="AG6783" s="536"/>
    </row>
    <row r="6784" spans="33:33">
      <c r="AG6784" s="536"/>
    </row>
    <row r="6785" spans="33:33">
      <c r="AG6785" s="536"/>
    </row>
    <row r="6786" spans="33:33">
      <c r="AG6786" s="536"/>
    </row>
    <row r="6787" spans="33:33">
      <c r="AG6787" s="536"/>
    </row>
    <row r="6788" spans="33:33">
      <c r="AG6788" s="536"/>
    </row>
    <row r="6789" spans="33:33">
      <c r="AG6789" s="536"/>
    </row>
    <row r="6790" spans="33:33">
      <c r="AG6790" s="536"/>
    </row>
    <row r="6791" spans="33:33">
      <c r="AG6791" s="536"/>
    </row>
    <row r="6792" spans="33:33">
      <c r="AG6792" s="536"/>
    </row>
    <row r="6793" spans="33:33">
      <c r="AG6793" s="536"/>
    </row>
    <row r="6794" spans="33:33">
      <c r="AG6794" s="536"/>
    </row>
    <row r="6795" spans="33:33">
      <c r="AG6795" s="536"/>
    </row>
    <row r="6796" spans="33:33">
      <c r="AG6796" s="536"/>
    </row>
    <row r="6797" spans="33:33">
      <c r="AG6797" s="536"/>
    </row>
    <row r="6798" spans="33:33">
      <c r="AG6798" s="536"/>
    </row>
    <row r="6799" spans="33:33">
      <c r="AG6799" s="536"/>
    </row>
    <row r="6800" spans="33:33">
      <c r="AG6800" s="536"/>
    </row>
    <row r="6801" spans="33:33">
      <c r="AG6801" s="536"/>
    </row>
    <row r="6802" spans="33:33">
      <c r="AG6802" s="536"/>
    </row>
    <row r="6803" spans="33:33">
      <c r="AG6803" s="536"/>
    </row>
    <row r="6804" spans="33:33">
      <c r="AG6804" s="536"/>
    </row>
    <row r="6805" spans="33:33">
      <c r="AG6805" s="536"/>
    </row>
    <row r="6806" spans="33:33">
      <c r="AG6806" s="536"/>
    </row>
    <row r="6807" spans="33:33">
      <c r="AG6807" s="536"/>
    </row>
    <row r="6808" spans="33:33">
      <c r="AG6808" s="536"/>
    </row>
    <row r="6809" spans="33:33">
      <c r="AG6809" s="536"/>
    </row>
    <row r="6810" spans="33:33">
      <c r="AG6810" s="536"/>
    </row>
    <row r="6811" spans="33:33">
      <c r="AG6811" s="536"/>
    </row>
    <row r="6812" spans="33:33">
      <c r="AG6812" s="536"/>
    </row>
    <row r="6813" spans="33:33">
      <c r="AG6813" s="536"/>
    </row>
    <row r="6814" spans="33:33">
      <c r="AG6814" s="536"/>
    </row>
    <row r="6815" spans="33:33">
      <c r="AG6815" s="536"/>
    </row>
    <row r="6816" spans="33:33">
      <c r="AG6816" s="536"/>
    </row>
    <row r="6817" spans="33:33">
      <c r="AG6817" s="536"/>
    </row>
    <row r="6818" spans="33:33">
      <c r="AG6818" s="536"/>
    </row>
    <row r="6819" spans="33:33">
      <c r="AG6819" s="536"/>
    </row>
    <row r="6820" spans="33:33">
      <c r="AG6820" s="536"/>
    </row>
    <row r="6821" spans="33:33">
      <c r="AG6821" s="536"/>
    </row>
    <row r="6822" spans="33:33">
      <c r="AG6822" s="536"/>
    </row>
    <row r="6823" spans="33:33">
      <c r="AG6823" s="536"/>
    </row>
    <row r="6824" spans="33:33">
      <c r="AG6824" s="536"/>
    </row>
    <row r="6825" spans="33:33">
      <c r="AG6825" s="536"/>
    </row>
    <row r="6826" spans="33:33">
      <c r="AG6826" s="536"/>
    </row>
    <row r="6827" spans="33:33">
      <c r="AG6827" s="536"/>
    </row>
    <row r="6828" spans="33:33">
      <c r="AG6828" s="536"/>
    </row>
    <row r="6829" spans="33:33">
      <c r="AG6829" s="536"/>
    </row>
    <row r="6830" spans="33:33">
      <c r="AG6830" s="536"/>
    </row>
    <row r="6831" spans="33:33">
      <c r="AG6831" s="536"/>
    </row>
    <row r="6832" spans="33:33">
      <c r="AG6832" s="536"/>
    </row>
    <row r="6833" spans="33:33">
      <c r="AG6833" s="536"/>
    </row>
    <row r="6834" spans="33:33">
      <c r="AG6834" s="536"/>
    </row>
    <row r="6835" spans="33:33">
      <c r="AG6835" s="536"/>
    </row>
    <row r="6836" spans="33:33">
      <c r="AG6836" s="536"/>
    </row>
    <row r="6837" spans="33:33">
      <c r="AG6837" s="536"/>
    </row>
    <row r="6838" spans="33:33">
      <c r="AG6838" s="536"/>
    </row>
    <row r="6839" spans="33:33">
      <c r="AG6839" s="536"/>
    </row>
    <row r="6840" spans="33:33">
      <c r="AG6840" s="536"/>
    </row>
    <row r="6841" spans="33:33">
      <c r="AG6841" s="536"/>
    </row>
    <row r="6842" spans="33:33">
      <c r="AG6842" s="536"/>
    </row>
    <row r="6843" spans="33:33">
      <c r="AG6843" s="536"/>
    </row>
    <row r="6844" spans="33:33">
      <c r="AG6844" s="536"/>
    </row>
    <row r="6845" spans="33:33">
      <c r="AG6845" s="536"/>
    </row>
    <row r="6846" spans="33:33">
      <c r="AG6846" s="536"/>
    </row>
    <row r="6847" spans="33:33">
      <c r="AG6847" s="536"/>
    </row>
    <row r="6848" spans="33:33">
      <c r="AG6848" s="536"/>
    </row>
    <row r="6849" spans="33:33">
      <c r="AG6849" s="536"/>
    </row>
    <row r="6850" spans="33:33">
      <c r="AG6850" s="536"/>
    </row>
    <row r="6851" spans="33:33">
      <c r="AG6851" s="536"/>
    </row>
    <row r="6852" spans="33:33">
      <c r="AG6852" s="536"/>
    </row>
    <row r="6853" spans="33:33">
      <c r="AG6853" s="536"/>
    </row>
    <row r="6854" spans="33:33">
      <c r="AG6854" s="536"/>
    </row>
    <row r="6855" spans="33:33">
      <c r="AG6855" s="536"/>
    </row>
    <row r="6856" spans="33:33">
      <c r="AG6856" s="536"/>
    </row>
    <row r="6857" spans="33:33">
      <c r="AG6857" s="536"/>
    </row>
    <row r="6858" spans="33:33">
      <c r="AG6858" s="536"/>
    </row>
    <row r="6859" spans="33:33">
      <c r="AG6859" s="536"/>
    </row>
    <row r="6860" spans="33:33">
      <c r="AG6860" s="536"/>
    </row>
    <row r="6861" spans="33:33">
      <c r="AG6861" s="536"/>
    </row>
    <row r="6862" spans="33:33">
      <c r="AG6862" s="536"/>
    </row>
    <row r="6863" spans="33:33">
      <c r="AG6863" s="536"/>
    </row>
    <row r="6864" spans="33:33">
      <c r="AG6864" s="536"/>
    </row>
    <row r="6865" spans="33:33">
      <c r="AG6865" s="536"/>
    </row>
    <row r="6866" spans="33:33">
      <c r="AG6866" s="536"/>
    </row>
    <row r="6867" spans="33:33">
      <c r="AG6867" s="536"/>
    </row>
    <row r="6868" spans="33:33">
      <c r="AG6868" s="536"/>
    </row>
    <row r="6869" spans="33:33">
      <c r="AG6869" s="536"/>
    </row>
    <row r="6870" spans="33:33">
      <c r="AG6870" s="536"/>
    </row>
    <row r="6871" spans="33:33">
      <c r="AG6871" s="536"/>
    </row>
    <row r="6872" spans="33:33">
      <c r="AG6872" s="536"/>
    </row>
    <row r="6873" spans="33:33">
      <c r="AG6873" s="536"/>
    </row>
    <row r="6874" spans="33:33">
      <c r="AG6874" s="536"/>
    </row>
    <row r="6875" spans="33:33">
      <c r="AG6875" s="536"/>
    </row>
    <row r="6876" spans="33:33">
      <c r="AG6876" s="536"/>
    </row>
    <row r="6877" spans="33:33">
      <c r="AG6877" s="536"/>
    </row>
    <row r="6878" spans="33:33">
      <c r="AG6878" s="536"/>
    </row>
    <row r="6879" spans="33:33">
      <c r="AG6879" s="536"/>
    </row>
    <row r="6880" spans="33:33">
      <c r="AG6880" s="536"/>
    </row>
    <row r="6881" spans="33:33">
      <c r="AG6881" s="536"/>
    </row>
    <row r="6882" spans="33:33">
      <c r="AG6882" s="536"/>
    </row>
    <row r="6883" spans="33:33">
      <c r="AG6883" s="536"/>
    </row>
    <row r="6884" spans="33:33">
      <c r="AG6884" s="536"/>
    </row>
    <row r="6885" spans="33:33">
      <c r="AG6885" s="536"/>
    </row>
    <row r="6886" spans="33:33">
      <c r="AG6886" s="536"/>
    </row>
    <row r="6887" spans="33:33">
      <c r="AG6887" s="536"/>
    </row>
    <row r="6888" spans="33:33">
      <c r="AG6888" s="536"/>
    </row>
    <row r="6889" spans="33:33">
      <c r="AG6889" s="536"/>
    </row>
    <row r="6890" spans="33:33">
      <c r="AG6890" s="536"/>
    </row>
    <row r="6891" spans="33:33">
      <c r="AG6891" s="536"/>
    </row>
    <row r="6892" spans="33:33">
      <c r="AG6892" s="536"/>
    </row>
    <row r="6893" spans="33:33">
      <c r="AG6893" s="536"/>
    </row>
    <row r="6894" spans="33:33">
      <c r="AG6894" s="536"/>
    </row>
    <row r="6895" spans="33:33">
      <c r="AG6895" s="536"/>
    </row>
    <row r="6896" spans="33:33">
      <c r="AG6896" s="536"/>
    </row>
    <row r="6897" spans="33:33">
      <c r="AG6897" s="536"/>
    </row>
    <row r="6898" spans="33:33">
      <c r="AG6898" s="536"/>
    </row>
    <row r="6899" spans="33:33">
      <c r="AG6899" s="536"/>
    </row>
    <row r="6900" spans="33:33">
      <c r="AG6900" s="536"/>
    </row>
    <row r="6901" spans="33:33">
      <c r="AG6901" s="536"/>
    </row>
    <row r="6902" spans="33:33">
      <c r="AG6902" s="536"/>
    </row>
    <row r="6903" spans="33:33">
      <c r="AG6903" s="536"/>
    </row>
    <row r="6904" spans="33:33">
      <c r="AG6904" s="536"/>
    </row>
    <row r="6905" spans="33:33">
      <c r="AG6905" s="536"/>
    </row>
    <row r="6906" spans="33:33">
      <c r="AG6906" s="536"/>
    </row>
    <row r="6907" spans="33:33">
      <c r="AG6907" s="536"/>
    </row>
    <row r="6908" spans="33:33">
      <c r="AG6908" s="536"/>
    </row>
    <row r="6909" spans="33:33">
      <c r="AG6909" s="536"/>
    </row>
    <row r="6910" spans="33:33">
      <c r="AG6910" s="536"/>
    </row>
    <row r="6911" spans="33:33">
      <c r="AG6911" s="536"/>
    </row>
    <row r="6912" spans="33:33">
      <c r="AG6912" s="536"/>
    </row>
    <row r="6913" spans="33:33">
      <c r="AG6913" s="536"/>
    </row>
    <row r="6914" spans="33:33">
      <c r="AG6914" s="536"/>
    </row>
    <row r="6915" spans="33:33">
      <c r="AG6915" s="536"/>
    </row>
    <row r="6916" spans="33:33">
      <c r="AG6916" s="536"/>
    </row>
    <row r="6917" spans="33:33">
      <c r="AG6917" s="536"/>
    </row>
    <row r="6918" spans="33:33">
      <c r="AG6918" s="536"/>
    </row>
    <row r="6919" spans="33:33">
      <c r="AG6919" s="536"/>
    </row>
    <row r="6920" spans="33:33">
      <c r="AG6920" s="536"/>
    </row>
    <row r="6921" spans="33:33">
      <c r="AG6921" s="536"/>
    </row>
    <row r="6922" spans="33:33">
      <c r="AG6922" s="536"/>
    </row>
    <row r="6923" spans="33:33">
      <c r="AG6923" s="536"/>
    </row>
    <row r="6924" spans="33:33">
      <c r="AG6924" s="536"/>
    </row>
    <row r="6925" spans="33:33">
      <c r="AG6925" s="536"/>
    </row>
    <row r="6926" spans="33:33">
      <c r="AG6926" s="536"/>
    </row>
    <row r="6927" spans="33:33">
      <c r="AG6927" s="536"/>
    </row>
    <row r="6928" spans="33:33">
      <c r="AG6928" s="536"/>
    </row>
    <row r="6929" spans="33:33">
      <c r="AG6929" s="536"/>
    </row>
    <row r="6930" spans="33:33">
      <c r="AG6930" s="536"/>
    </row>
    <row r="6931" spans="33:33">
      <c r="AG6931" s="536"/>
    </row>
    <row r="6932" spans="33:33">
      <c r="AG6932" s="536"/>
    </row>
    <row r="6933" spans="33:33">
      <c r="AG6933" s="536"/>
    </row>
    <row r="6934" spans="33:33">
      <c r="AG6934" s="536"/>
    </row>
    <row r="6935" spans="33:33">
      <c r="AG6935" s="536"/>
    </row>
    <row r="6936" spans="33:33">
      <c r="AG6936" s="536"/>
    </row>
    <row r="6937" spans="33:33">
      <c r="AG6937" s="536"/>
    </row>
    <row r="6938" spans="33:33">
      <c r="AG6938" s="536"/>
    </row>
    <row r="6939" spans="33:33">
      <c r="AG6939" s="536"/>
    </row>
    <row r="6940" spans="33:33">
      <c r="AG6940" s="536"/>
    </row>
    <row r="6941" spans="33:33">
      <c r="AG6941" s="536"/>
    </row>
    <row r="6942" spans="33:33">
      <c r="AG6942" s="536"/>
    </row>
    <row r="6943" spans="33:33">
      <c r="AG6943" s="536"/>
    </row>
    <row r="6944" spans="33:33">
      <c r="AG6944" s="536"/>
    </row>
    <row r="6945" spans="33:33">
      <c r="AG6945" s="536"/>
    </row>
    <row r="6946" spans="33:33">
      <c r="AG6946" s="536"/>
    </row>
    <row r="6947" spans="33:33">
      <c r="AG6947" s="536"/>
    </row>
    <row r="6948" spans="33:33">
      <c r="AG6948" s="536"/>
    </row>
    <row r="6949" spans="33:33">
      <c r="AG6949" s="536"/>
    </row>
    <row r="6950" spans="33:33">
      <c r="AG6950" s="536"/>
    </row>
    <row r="6951" spans="33:33">
      <c r="AG6951" s="536"/>
    </row>
    <row r="6952" spans="33:33">
      <c r="AG6952" s="536"/>
    </row>
    <row r="6953" spans="33:33">
      <c r="AG6953" s="536"/>
    </row>
    <row r="6954" spans="33:33">
      <c r="AG6954" s="536"/>
    </row>
    <row r="6955" spans="33:33">
      <c r="AG6955" s="536"/>
    </row>
    <row r="6956" spans="33:33">
      <c r="AG6956" s="536"/>
    </row>
    <row r="6957" spans="33:33">
      <c r="AG6957" s="536"/>
    </row>
    <row r="6958" spans="33:33">
      <c r="AG6958" s="536"/>
    </row>
    <row r="6959" spans="33:33">
      <c r="AG6959" s="536"/>
    </row>
    <row r="6960" spans="33:33">
      <c r="AG6960" s="536"/>
    </row>
    <row r="6961" spans="33:33">
      <c r="AG6961" s="536"/>
    </row>
    <row r="6962" spans="33:33">
      <c r="AG6962" s="536"/>
    </row>
    <row r="6963" spans="33:33">
      <c r="AG6963" s="536"/>
    </row>
    <row r="6964" spans="33:33">
      <c r="AG6964" s="536"/>
    </row>
    <row r="6965" spans="33:33">
      <c r="AG6965" s="536"/>
    </row>
    <row r="6966" spans="33:33">
      <c r="AG6966" s="536"/>
    </row>
    <row r="6967" spans="33:33">
      <c r="AG6967" s="536"/>
    </row>
    <row r="6968" spans="33:33">
      <c r="AG6968" s="536"/>
    </row>
    <row r="6969" spans="33:33">
      <c r="AG6969" s="536"/>
    </row>
    <row r="6970" spans="33:33">
      <c r="AG6970" s="536"/>
    </row>
    <row r="6971" spans="33:33">
      <c r="AG6971" s="536"/>
    </row>
    <row r="6972" spans="33:33">
      <c r="AG6972" s="536"/>
    </row>
    <row r="6973" spans="33:33">
      <c r="AG6973" s="536"/>
    </row>
    <row r="6974" spans="33:33">
      <c r="AG6974" s="536"/>
    </row>
    <row r="6975" spans="33:33">
      <c r="AG6975" s="536"/>
    </row>
    <row r="6976" spans="33:33">
      <c r="AG6976" s="536"/>
    </row>
    <row r="6977" spans="33:33">
      <c r="AG6977" s="536"/>
    </row>
    <row r="6978" spans="33:33">
      <c r="AG6978" s="536"/>
    </row>
    <row r="6979" spans="33:33">
      <c r="AG6979" s="536"/>
    </row>
    <row r="6980" spans="33:33">
      <c r="AG6980" s="536"/>
    </row>
    <row r="6981" spans="33:33">
      <c r="AG6981" s="536"/>
    </row>
    <row r="6982" spans="33:33">
      <c r="AG6982" s="536"/>
    </row>
    <row r="6983" spans="33:33">
      <c r="AG6983" s="536"/>
    </row>
    <row r="6984" spans="33:33">
      <c r="AG6984" s="536"/>
    </row>
    <row r="6985" spans="33:33">
      <c r="AG6985" s="536"/>
    </row>
    <row r="6986" spans="33:33">
      <c r="AG6986" s="536"/>
    </row>
    <row r="6987" spans="33:33">
      <c r="AG6987" s="536"/>
    </row>
    <row r="6988" spans="33:33">
      <c r="AG6988" s="536"/>
    </row>
    <row r="6989" spans="33:33">
      <c r="AG6989" s="536"/>
    </row>
    <row r="6990" spans="33:33">
      <c r="AG6990" s="536"/>
    </row>
    <row r="6991" spans="33:33">
      <c r="AG6991" s="536"/>
    </row>
    <row r="6992" spans="33:33">
      <c r="AG6992" s="536"/>
    </row>
    <row r="6993" spans="33:33">
      <c r="AG6993" s="536"/>
    </row>
    <row r="6994" spans="33:33">
      <c r="AG6994" s="536"/>
    </row>
    <row r="6995" spans="33:33">
      <c r="AG6995" s="536"/>
    </row>
    <row r="6996" spans="33:33">
      <c r="AG6996" s="536"/>
    </row>
    <row r="6997" spans="33:33">
      <c r="AG6997" s="536"/>
    </row>
    <row r="6998" spans="33:33">
      <c r="AG6998" s="536"/>
    </row>
    <row r="6999" spans="33:33">
      <c r="AG6999" s="536"/>
    </row>
    <row r="7000" spans="33:33">
      <c r="AG7000" s="536"/>
    </row>
    <row r="7001" spans="33:33">
      <c r="AG7001" s="536"/>
    </row>
    <row r="7002" spans="33:33">
      <c r="AG7002" s="536"/>
    </row>
    <row r="7003" spans="33:33">
      <c r="AG7003" s="536"/>
    </row>
    <row r="7004" spans="33:33">
      <c r="AG7004" s="536"/>
    </row>
    <row r="7005" spans="33:33">
      <c r="AG7005" s="536"/>
    </row>
    <row r="7006" spans="33:33">
      <c r="AG7006" s="536"/>
    </row>
    <row r="7007" spans="33:33">
      <c r="AG7007" s="536"/>
    </row>
    <row r="7008" spans="33:33">
      <c r="AG7008" s="536"/>
    </row>
    <row r="7009" spans="33:33">
      <c r="AG7009" s="536"/>
    </row>
    <row r="7010" spans="33:33">
      <c r="AG7010" s="536"/>
    </row>
    <row r="7011" spans="33:33">
      <c r="AG7011" s="536"/>
    </row>
    <row r="7012" spans="33:33">
      <c r="AG7012" s="536"/>
    </row>
    <row r="7013" spans="33:33">
      <c r="AG7013" s="536"/>
    </row>
    <row r="7014" spans="33:33">
      <c r="AG7014" s="536"/>
    </row>
    <row r="7015" spans="33:33">
      <c r="AG7015" s="536"/>
    </row>
    <row r="7016" spans="33:33">
      <c r="AG7016" s="536"/>
    </row>
    <row r="7017" spans="33:33">
      <c r="AG7017" s="536"/>
    </row>
    <row r="7018" spans="33:33">
      <c r="AG7018" s="536"/>
    </row>
    <row r="7019" spans="33:33">
      <c r="AG7019" s="536"/>
    </row>
    <row r="7020" spans="33:33">
      <c r="AG7020" s="536"/>
    </row>
    <row r="7021" spans="33:33">
      <c r="AG7021" s="536"/>
    </row>
    <row r="7022" spans="33:33">
      <c r="AG7022" s="536"/>
    </row>
    <row r="7023" spans="33:33">
      <c r="AG7023" s="536"/>
    </row>
    <row r="7024" spans="33:33">
      <c r="AG7024" s="536"/>
    </row>
    <row r="7025" spans="33:33">
      <c r="AG7025" s="536"/>
    </row>
    <row r="7026" spans="33:33">
      <c r="AG7026" s="536"/>
    </row>
    <row r="7027" spans="33:33">
      <c r="AG7027" s="536"/>
    </row>
    <row r="7028" spans="33:33">
      <c r="AG7028" s="536"/>
    </row>
    <row r="7029" spans="33:33">
      <c r="AG7029" s="536"/>
    </row>
    <row r="7030" spans="33:33">
      <c r="AG7030" s="536"/>
    </row>
    <row r="7031" spans="33:33">
      <c r="AG7031" s="536"/>
    </row>
    <row r="7032" spans="33:33">
      <c r="AG7032" s="536"/>
    </row>
    <row r="7033" spans="33:33">
      <c r="AG7033" s="536"/>
    </row>
    <row r="7034" spans="33:33">
      <c r="AG7034" s="536"/>
    </row>
    <row r="7035" spans="33:33">
      <c r="AG7035" s="536"/>
    </row>
    <row r="7036" spans="33:33">
      <c r="AG7036" s="536"/>
    </row>
    <row r="7037" spans="33:33">
      <c r="AG7037" s="536"/>
    </row>
    <row r="7038" spans="33:33">
      <c r="AG7038" s="536"/>
    </row>
    <row r="7039" spans="33:33">
      <c r="AG7039" s="536"/>
    </row>
    <row r="7040" spans="33:33">
      <c r="AG7040" s="536"/>
    </row>
    <row r="7041" spans="33:33">
      <c r="AG7041" s="536"/>
    </row>
    <row r="7042" spans="33:33">
      <c r="AG7042" s="536"/>
    </row>
    <row r="7043" spans="33:33">
      <c r="AG7043" s="536"/>
    </row>
    <row r="7044" spans="33:33">
      <c r="AG7044" s="536"/>
    </row>
    <row r="7045" spans="33:33">
      <c r="AG7045" s="536"/>
    </row>
    <row r="7046" spans="33:33">
      <c r="AG7046" s="536"/>
    </row>
    <row r="7047" spans="33:33">
      <c r="AG7047" s="536"/>
    </row>
    <row r="7048" spans="33:33">
      <c r="AG7048" s="536"/>
    </row>
    <row r="7049" spans="33:33">
      <c r="AG7049" s="536"/>
    </row>
    <row r="7050" spans="33:33">
      <c r="AG7050" s="536"/>
    </row>
    <row r="7051" spans="33:33">
      <c r="AG7051" s="536"/>
    </row>
    <row r="7052" spans="33:33">
      <c r="AG7052" s="536"/>
    </row>
    <row r="7053" spans="33:33">
      <c r="AG7053" s="536"/>
    </row>
    <row r="7054" spans="33:33">
      <c r="AG7054" s="536"/>
    </row>
    <row r="7055" spans="33:33">
      <c r="AG7055" s="536"/>
    </row>
    <row r="7056" spans="33:33">
      <c r="AG7056" s="536"/>
    </row>
    <row r="7057" spans="33:33">
      <c r="AG7057" s="536"/>
    </row>
    <row r="7058" spans="33:33">
      <c r="AG7058" s="536"/>
    </row>
    <row r="7059" spans="33:33">
      <c r="AG7059" s="536"/>
    </row>
    <row r="7060" spans="33:33">
      <c r="AG7060" s="536"/>
    </row>
    <row r="7061" spans="33:33">
      <c r="AG7061" s="536"/>
    </row>
    <row r="7062" spans="33:33">
      <c r="AG7062" s="536"/>
    </row>
    <row r="7063" spans="33:33">
      <c r="AG7063" s="536"/>
    </row>
    <row r="7064" spans="33:33">
      <c r="AG7064" s="536"/>
    </row>
    <row r="7065" spans="33:33">
      <c r="AG7065" s="536"/>
    </row>
    <row r="7066" spans="33:33">
      <c r="AG7066" s="536"/>
    </row>
    <row r="7067" spans="33:33">
      <c r="AG7067" s="536"/>
    </row>
    <row r="7068" spans="33:33">
      <c r="AG7068" s="536"/>
    </row>
    <row r="7069" spans="33:33">
      <c r="AG7069" s="536"/>
    </row>
    <row r="7070" spans="33:33">
      <c r="AG7070" s="536"/>
    </row>
    <row r="7071" spans="33:33">
      <c r="AG7071" s="536"/>
    </row>
    <row r="7072" spans="33:33">
      <c r="AG7072" s="536"/>
    </row>
    <row r="7073" spans="33:33">
      <c r="AG7073" s="536"/>
    </row>
    <row r="7074" spans="33:33">
      <c r="AG7074" s="536"/>
    </row>
    <row r="7075" spans="33:33">
      <c r="AG7075" s="536"/>
    </row>
    <row r="7076" spans="33:33">
      <c r="AG7076" s="536"/>
    </row>
    <row r="7077" spans="33:33">
      <c r="AG7077" s="536"/>
    </row>
    <row r="7078" spans="33:33">
      <c r="AG7078" s="536"/>
    </row>
    <row r="7079" spans="33:33">
      <c r="AG7079" s="536"/>
    </row>
    <row r="7080" spans="33:33">
      <c r="AG7080" s="536"/>
    </row>
    <row r="7081" spans="33:33">
      <c r="AG7081" s="536"/>
    </row>
    <row r="7082" spans="33:33">
      <c r="AG7082" s="536"/>
    </row>
    <row r="7083" spans="33:33">
      <c r="AG7083" s="536"/>
    </row>
    <row r="7084" spans="33:33">
      <c r="AG7084" s="536"/>
    </row>
    <row r="7085" spans="33:33">
      <c r="AG7085" s="536"/>
    </row>
    <row r="7086" spans="33:33">
      <c r="AG7086" s="536"/>
    </row>
    <row r="7087" spans="33:33">
      <c r="AG7087" s="536"/>
    </row>
    <row r="7088" spans="33:33">
      <c r="AG7088" s="536"/>
    </row>
    <row r="7089" spans="33:33">
      <c r="AG7089" s="536"/>
    </row>
    <row r="7090" spans="33:33">
      <c r="AG7090" s="536"/>
    </row>
    <row r="7091" spans="33:33">
      <c r="AG7091" s="536"/>
    </row>
    <row r="7092" spans="33:33">
      <c r="AG7092" s="536"/>
    </row>
    <row r="7093" spans="33:33">
      <c r="AG7093" s="536"/>
    </row>
    <row r="7094" spans="33:33">
      <c r="AG7094" s="536"/>
    </row>
    <row r="7095" spans="33:33">
      <c r="AG7095" s="536"/>
    </row>
    <row r="7096" spans="33:33">
      <c r="AG7096" s="536"/>
    </row>
    <row r="7097" spans="33:33">
      <c r="AG7097" s="536"/>
    </row>
    <row r="7098" spans="33:33">
      <c r="AG7098" s="536"/>
    </row>
    <row r="7099" spans="33:33">
      <c r="AG7099" s="536"/>
    </row>
    <row r="7100" spans="33:33">
      <c r="AG7100" s="536"/>
    </row>
    <row r="7101" spans="33:33">
      <c r="AG7101" s="536"/>
    </row>
    <row r="7102" spans="33:33">
      <c r="AG7102" s="536"/>
    </row>
    <row r="7103" spans="33:33">
      <c r="AG7103" s="536"/>
    </row>
    <row r="7104" spans="33:33">
      <c r="AG7104" s="536"/>
    </row>
    <row r="7105" spans="33:33">
      <c r="AG7105" s="536"/>
    </row>
    <row r="7106" spans="33:33">
      <c r="AG7106" s="536"/>
    </row>
    <row r="7107" spans="33:33">
      <c r="AG7107" s="536"/>
    </row>
    <row r="7108" spans="33:33">
      <c r="AG7108" s="536"/>
    </row>
    <row r="7109" spans="33:33">
      <c r="AG7109" s="536"/>
    </row>
    <row r="7110" spans="33:33">
      <c r="AG7110" s="536"/>
    </row>
    <row r="7111" spans="33:33">
      <c r="AG7111" s="536"/>
    </row>
    <row r="7112" spans="33:33">
      <c r="AG7112" s="536"/>
    </row>
    <row r="7113" spans="33:33">
      <c r="AG7113" s="536"/>
    </row>
    <row r="7114" spans="33:33">
      <c r="AG7114" s="536"/>
    </row>
    <row r="7115" spans="33:33">
      <c r="AG7115" s="536"/>
    </row>
    <row r="7116" spans="33:33">
      <c r="AG7116" s="536"/>
    </row>
    <row r="7117" spans="33:33">
      <c r="AG7117" s="536"/>
    </row>
    <row r="7118" spans="33:33">
      <c r="AG7118" s="536"/>
    </row>
    <row r="7119" spans="33:33">
      <c r="AG7119" s="536"/>
    </row>
    <row r="7120" spans="33:33">
      <c r="AG7120" s="536"/>
    </row>
    <row r="7121" spans="33:33">
      <c r="AG7121" s="536"/>
    </row>
    <row r="7122" spans="33:33">
      <c r="AG7122" s="536"/>
    </row>
    <row r="7123" spans="33:33">
      <c r="AG7123" s="536"/>
    </row>
    <row r="7124" spans="33:33">
      <c r="AG7124" s="536"/>
    </row>
    <row r="7125" spans="33:33">
      <c r="AG7125" s="536"/>
    </row>
    <row r="7126" spans="33:33">
      <c r="AG7126" s="536"/>
    </row>
    <row r="7127" spans="33:33">
      <c r="AG7127" s="536"/>
    </row>
    <row r="7128" spans="33:33">
      <c r="AG7128" s="536"/>
    </row>
    <row r="7129" spans="33:33">
      <c r="AG7129" s="536"/>
    </row>
    <row r="7130" spans="33:33">
      <c r="AG7130" s="536"/>
    </row>
    <row r="7131" spans="33:33">
      <c r="AG7131" s="536"/>
    </row>
    <row r="7132" spans="33:33">
      <c r="AG7132" s="536"/>
    </row>
    <row r="7133" spans="33:33">
      <c r="AG7133" s="536"/>
    </row>
    <row r="7134" spans="33:33">
      <c r="AG7134" s="536"/>
    </row>
    <row r="7135" spans="33:33">
      <c r="AG7135" s="536"/>
    </row>
    <row r="7136" spans="33:33">
      <c r="AG7136" s="536"/>
    </row>
    <row r="7137" spans="33:33">
      <c r="AG7137" s="536"/>
    </row>
    <row r="7138" spans="33:33">
      <c r="AG7138" s="536"/>
    </row>
    <row r="7139" spans="33:33">
      <c r="AG7139" s="536"/>
    </row>
    <row r="7140" spans="33:33">
      <c r="AG7140" s="536"/>
    </row>
    <row r="7141" spans="33:33">
      <c r="AG7141" s="536"/>
    </row>
    <row r="7142" spans="33:33">
      <c r="AG7142" s="536"/>
    </row>
    <row r="7143" spans="33:33">
      <c r="AG7143" s="536"/>
    </row>
    <row r="7144" spans="33:33">
      <c r="AG7144" s="536"/>
    </row>
    <row r="7145" spans="33:33">
      <c r="AG7145" s="536"/>
    </row>
    <row r="7146" spans="33:33">
      <c r="AG7146" s="536"/>
    </row>
    <row r="7147" spans="33:33">
      <c r="AG7147" s="536"/>
    </row>
    <row r="7148" spans="33:33">
      <c r="AG7148" s="536"/>
    </row>
    <row r="7149" spans="33:33">
      <c r="AG7149" s="536"/>
    </row>
    <row r="7150" spans="33:33">
      <c r="AG7150" s="536"/>
    </row>
    <row r="7151" spans="33:33">
      <c r="AG7151" s="536"/>
    </row>
    <row r="7152" spans="33:33">
      <c r="AG7152" s="536"/>
    </row>
    <row r="7153" spans="33:33">
      <c r="AG7153" s="536"/>
    </row>
    <row r="7154" spans="33:33">
      <c r="AG7154" s="536"/>
    </row>
    <row r="7155" spans="33:33">
      <c r="AG7155" s="536"/>
    </row>
    <row r="7156" spans="33:33">
      <c r="AG7156" s="536"/>
    </row>
    <row r="7157" spans="33:33">
      <c r="AG7157" s="536"/>
    </row>
    <row r="7158" spans="33:33">
      <c r="AG7158" s="536"/>
    </row>
    <row r="7159" spans="33:33">
      <c r="AG7159" s="536"/>
    </row>
    <row r="7160" spans="33:33">
      <c r="AG7160" s="536"/>
    </row>
    <row r="7161" spans="33:33">
      <c r="AG7161" s="536"/>
    </row>
    <row r="7162" spans="33:33">
      <c r="AG7162" s="536"/>
    </row>
    <row r="7163" spans="33:33">
      <c r="AG7163" s="536"/>
    </row>
    <row r="7164" spans="33:33">
      <c r="AG7164" s="536"/>
    </row>
    <row r="7165" spans="33:33">
      <c r="AG7165" s="536"/>
    </row>
    <row r="7166" spans="33:33">
      <c r="AG7166" s="536"/>
    </row>
    <row r="7167" spans="33:33">
      <c r="AG7167" s="536"/>
    </row>
    <row r="7168" spans="33:33">
      <c r="AG7168" s="536"/>
    </row>
    <row r="7169" spans="33:33">
      <c r="AG7169" s="536"/>
    </row>
    <row r="7170" spans="33:33">
      <c r="AG7170" s="536"/>
    </row>
    <row r="7171" spans="33:33">
      <c r="AG7171" s="536"/>
    </row>
    <row r="7172" spans="33:33">
      <c r="AG7172" s="536"/>
    </row>
    <row r="7173" spans="33:33">
      <c r="AG7173" s="536"/>
    </row>
    <row r="7174" spans="33:33">
      <c r="AG7174" s="536"/>
    </row>
    <row r="7175" spans="33:33">
      <c r="AG7175" s="536"/>
    </row>
    <row r="7176" spans="33:33">
      <c r="AG7176" s="536"/>
    </row>
    <row r="7177" spans="33:33">
      <c r="AG7177" s="536"/>
    </row>
    <row r="7178" spans="33:33">
      <c r="AG7178" s="536"/>
    </row>
    <row r="7179" spans="33:33">
      <c r="AG7179" s="536"/>
    </row>
    <row r="7180" spans="33:33">
      <c r="AG7180" s="536"/>
    </row>
    <row r="7181" spans="33:33">
      <c r="AG7181" s="536"/>
    </row>
    <row r="7182" spans="33:33">
      <c r="AG7182" s="536"/>
    </row>
    <row r="7183" spans="33:33">
      <c r="AG7183" s="536"/>
    </row>
    <row r="7184" spans="33:33">
      <c r="AG7184" s="536"/>
    </row>
    <row r="7185" spans="33:33">
      <c r="AG7185" s="536"/>
    </row>
    <row r="7186" spans="33:33">
      <c r="AG7186" s="536"/>
    </row>
    <row r="7187" spans="33:33">
      <c r="AG7187" s="536"/>
    </row>
    <row r="7188" spans="33:33">
      <c r="AG7188" s="536"/>
    </row>
    <row r="7189" spans="33:33">
      <c r="AG7189" s="536"/>
    </row>
    <row r="7190" spans="33:33">
      <c r="AG7190" s="536"/>
    </row>
    <row r="7191" spans="33:33">
      <c r="AG7191" s="536"/>
    </row>
    <row r="7192" spans="33:33">
      <c r="AG7192" s="536"/>
    </row>
    <row r="7193" spans="33:33">
      <c r="AG7193" s="536"/>
    </row>
    <row r="7194" spans="33:33">
      <c r="AG7194" s="536"/>
    </row>
    <row r="7195" spans="33:33">
      <c r="AG7195" s="536"/>
    </row>
    <row r="7196" spans="33:33">
      <c r="AG7196" s="536"/>
    </row>
    <row r="7197" spans="33:33">
      <c r="AG7197" s="536"/>
    </row>
    <row r="7198" spans="33:33">
      <c r="AG7198" s="536"/>
    </row>
    <row r="7199" spans="33:33">
      <c r="AG7199" s="536"/>
    </row>
    <row r="7200" spans="33:33">
      <c r="AG7200" s="536"/>
    </row>
    <row r="7201" spans="33:33">
      <c r="AG7201" s="536"/>
    </row>
    <row r="7202" spans="33:33">
      <c r="AG7202" s="536"/>
    </row>
    <row r="7203" spans="33:33">
      <c r="AG7203" s="536"/>
    </row>
    <row r="7204" spans="33:33">
      <c r="AG7204" s="536"/>
    </row>
    <row r="7205" spans="33:33">
      <c r="AG7205" s="536"/>
    </row>
    <row r="7206" spans="33:33">
      <c r="AG7206" s="536"/>
    </row>
    <row r="7207" spans="33:33">
      <c r="AG7207" s="536"/>
    </row>
    <row r="7208" spans="33:33">
      <c r="AG7208" s="536"/>
    </row>
    <row r="7209" spans="33:33">
      <c r="AG7209" s="536"/>
    </row>
    <row r="7210" spans="33:33">
      <c r="AG7210" s="536"/>
    </row>
    <row r="7211" spans="33:33">
      <c r="AG7211" s="536"/>
    </row>
    <row r="7212" spans="33:33">
      <c r="AG7212" s="536"/>
    </row>
    <row r="7213" spans="33:33">
      <c r="AG7213" s="536"/>
    </row>
    <row r="7214" spans="33:33">
      <c r="AG7214" s="536"/>
    </row>
    <row r="7215" spans="33:33">
      <c r="AG7215" s="536"/>
    </row>
    <row r="7216" spans="33:33">
      <c r="AG7216" s="536"/>
    </row>
    <row r="7217" spans="33:33">
      <c r="AG7217" s="536"/>
    </row>
    <row r="7218" spans="33:33">
      <c r="AG7218" s="536"/>
    </row>
    <row r="7219" spans="33:33">
      <c r="AG7219" s="536"/>
    </row>
    <row r="7220" spans="33:33">
      <c r="AG7220" s="536"/>
    </row>
    <row r="7221" spans="33:33">
      <c r="AG7221" s="536"/>
    </row>
    <row r="7222" spans="33:33">
      <c r="AG7222" s="536"/>
    </row>
    <row r="7223" spans="33:33">
      <c r="AG7223" s="536"/>
    </row>
    <row r="7224" spans="33:33">
      <c r="AG7224" s="536"/>
    </row>
    <row r="7225" spans="33:33">
      <c r="AG7225" s="536"/>
    </row>
    <row r="7226" spans="33:33">
      <c r="AG7226" s="536"/>
    </row>
    <row r="7227" spans="33:33">
      <c r="AG7227" s="536"/>
    </row>
    <row r="7228" spans="33:33">
      <c r="AG7228" s="536"/>
    </row>
    <row r="7229" spans="33:33">
      <c r="AG7229" s="536"/>
    </row>
    <row r="7230" spans="33:33">
      <c r="AG7230" s="536"/>
    </row>
    <row r="7231" spans="33:33">
      <c r="AG7231" s="536"/>
    </row>
    <row r="7232" spans="33:33">
      <c r="AG7232" s="536"/>
    </row>
    <row r="7233" spans="33:33">
      <c r="AG7233" s="536"/>
    </row>
    <row r="7234" spans="33:33">
      <c r="AG7234" s="536"/>
    </row>
    <row r="7235" spans="33:33">
      <c r="AG7235" s="536"/>
    </row>
    <row r="7236" spans="33:33">
      <c r="AG7236" s="536"/>
    </row>
    <row r="7237" spans="33:33">
      <c r="AG7237" s="536"/>
    </row>
    <row r="7238" spans="33:33">
      <c r="AG7238" s="536"/>
    </row>
    <row r="7239" spans="33:33">
      <c r="AG7239" s="536"/>
    </row>
    <row r="7240" spans="33:33">
      <c r="AG7240" s="536"/>
    </row>
    <row r="7241" spans="33:33">
      <c r="AG7241" s="536"/>
    </row>
    <row r="7242" spans="33:33">
      <c r="AG7242" s="536"/>
    </row>
    <row r="7243" spans="33:33">
      <c r="AG7243" s="536"/>
    </row>
    <row r="7244" spans="33:33">
      <c r="AG7244" s="536"/>
    </row>
    <row r="7245" spans="33:33">
      <c r="AG7245" s="536"/>
    </row>
    <row r="7246" spans="33:33">
      <c r="AG7246" s="536"/>
    </row>
    <row r="7247" spans="33:33">
      <c r="AG7247" s="536"/>
    </row>
    <row r="7248" spans="33:33">
      <c r="AG7248" s="536"/>
    </row>
    <row r="7249" spans="33:33">
      <c r="AG7249" s="536"/>
    </row>
    <row r="7250" spans="33:33">
      <c r="AG7250" s="536"/>
    </row>
    <row r="7251" spans="33:33">
      <c r="AG7251" s="536"/>
    </row>
    <row r="7252" spans="33:33">
      <c r="AG7252" s="536"/>
    </row>
    <row r="7253" spans="33:33">
      <c r="AG7253" s="536"/>
    </row>
    <row r="7254" spans="33:33">
      <c r="AG7254" s="536"/>
    </row>
    <row r="7255" spans="33:33">
      <c r="AG7255" s="536"/>
    </row>
    <row r="7256" spans="33:33">
      <c r="AG7256" s="536"/>
    </row>
    <row r="7257" spans="33:33">
      <c r="AG7257" s="536"/>
    </row>
    <row r="7258" spans="33:33">
      <c r="AG7258" s="536"/>
    </row>
    <row r="7259" spans="33:33">
      <c r="AG7259" s="536"/>
    </row>
    <row r="7260" spans="33:33">
      <c r="AG7260" s="536"/>
    </row>
    <row r="7261" spans="33:33">
      <c r="AG7261" s="536"/>
    </row>
    <row r="7262" spans="33:33">
      <c r="AG7262" s="536"/>
    </row>
    <row r="7263" spans="33:33">
      <c r="AG7263" s="536"/>
    </row>
    <row r="7264" spans="33:33">
      <c r="AG7264" s="536"/>
    </row>
    <row r="7265" spans="33:33">
      <c r="AG7265" s="536"/>
    </row>
    <row r="7266" spans="33:33">
      <c r="AG7266" s="536"/>
    </row>
    <row r="7267" spans="33:33">
      <c r="AG7267" s="536"/>
    </row>
    <row r="7268" spans="33:33">
      <c r="AG7268" s="536"/>
    </row>
    <row r="7269" spans="33:33">
      <c r="AG7269" s="536"/>
    </row>
    <row r="7270" spans="33:33">
      <c r="AG7270" s="536"/>
    </row>
    <row r="7271" spans="33:33">
      <c r="AG7271" s="536"/>
    </row>
    <row r="7272" spans="33:33">
      <c r="AG7272" s="536"/>
    </row>
    <row r="7273" spans="33:33">
      <c r="AG7273" s="536"/>
    </row>
    <row r="7274" spans="33:33">
      <c r="AG7274" s="536"/>
    </row>
    <row r="7275" spans="33:33">
      <c r="AG7275" s="536"/>
    </row>
    <row r="7276" spans="33:33">
      <c r="AG7276" s="536"/>
    </row>
    <row r="7277" spans="33:33">
      <c r="AG7277" s="536"/>
    </row>
    <row r="7278" spans="33:33">
      <c r="AG7278" s="536"/>
    </row>
    <row r="7279" spans="33:33">
      <c r="AG7279" s="536"/>
    </row>
    <row r="7280" spans="33:33">
      <c r="AG7280" s="536"/>
    </row>
    <row r="7281" spans="33:33">
      <c r="AG7281" s="536"/>
    </row>
    <row r="7282" spans="33:33">
      <c r="AG7282" s="536"/>
    </row>
    <row r="7283" spans="33:33">
      <c r="AG7283" s="536"/>
    </row>
    <row r="7284" spans="33:33">
      <c r="AG7284" s="536"/>
    </row>
    <row r="7285" spans="33:33">
      <c r="AG7285" s="536"/>
    </row>
    <row r="7286" spans="33:33">
      <c r="AG7286" s="536"/>
    </row>
    <row r="7287" spans="33:33">
      <c r="AG7287" s="536"/>
    </row>
    <row r="7288" spans="33:33">
      <c r="AG7288" s="536"/>
    </row>
    <row r="7289" spans="33:33">
      <c r="AG7289" s="536"/>
    </row>
    <row r="7290" spans="33:33">
      <c r="AG7290" s="536"/>
    </row>
    <row r="7291" spans="33:33">
      <c r="AG7291" s="536"/>
    </row>
    <row r="7292" spans="33:33">
      <c r="AG7292" s="536"/>
    </row>
    <row r="7293" spans="33:33">
      <c r="AG7293" s="536"/>
    </row>
    <row r="7294" spans="33:33">
      <c r="AG7294" s="536"/>
    </row>
    <row r="7295" spans="33:33">
      <c r="AG7295" s="536"/>
    </row>
    <row r="7296" spans="33:33">
      <c r="AG7296" s="536"/>
    </row>
    <row r="7297" spans="33:33">
      <c r="AG7297" s="536"/>
    </row>
    <row r="7298" spans="33:33">
      <c r="AG7298" s="536"/>
    </row>
    <row r="7299" spans="33:33">
      <c r="AG7299" s="536"/>
    </row>
    <row r="7300" spans="33:33">
      <c r="AG7300" s="536"/>
    </row>
    <row r="7301" spans="33:33">
      <c r="AG7301" s="536"/>
    </row>
    <row r="7302" spans="33:33">
      <c r="AG7302" s="536"/>
    </row>
    <row r="7303" spans="33:33">
      <c r="AG7303" s="536"/>
    </row>
    <row r="7304" spans="33:33">
      <c r="AG7304" s="536"/>
    </row>
    <row r="7305" spans="33:33">
      <c r="AG7305" s="536"/>
    </row>
    <row r="7306" spans="33:33">
      <c r="AG7306" s="536"/>
    </row>
    <row r="7307" spans="33:33">
      <c r="AG7307" s="536"/>
    </row>
    <row r="7308" spans="33:33">
      <c r="AG7308" s="536"/>
    </row>
    <row r="7309" spans="33:33">
      <c r="AG7309" s="536"/>
    </row>
    <row r="7310" spans="33:33">
      <c r="AG7310" s="536"/>
    </row>
    <row r="7311" spans="33:33">
      <c r="AG7311" s="536"/>
    </row>
    <row r="7312" spans="33:33">
      <c r="AG7312" s="536"/>
    </row>
    <row r="7313" spans="33:33">
      <c r="AG7313" s="536"/>
    </row>
    <row r="7314" spans="33:33">
      <c r="AG7314" s="536"/>
    </row>
    <row r="7315" spans="33:33">
      <c r="AG7315" s="536"/>
    </row>
    <row r="7316" spans="33:33">
      <c r="AG7316" s="536"/>
    </row>
    <row r="7317" spans="33:33">
      <c r="AG7317" s="536"/>
    </row>
    <row r="7318" spans="33:33">
      <c r="AG7318" s="536"/>
    </row>
    <row r="7319" spans="33:33">
      <c r="AG7319" s="536"/>
    </row>
    <row r="7320" spans="33:33">
      <c r="AG7320" s="536"/>
    </row>
    <row r="7321" spans="33:33">
      <c r="AG7321" s="536"/>
    </row>
    <row r="7322" spans="33:33">
      <c r="AG7322" s="536"/>
    </row>
    <row r="7323" spans="33:33">
      <c r="AG7323" s="536"/>
    </row>
    <row r="7324" spans="33:33">
      <c r="AG7324" s="536"/>
    </row>
    <row r="7325" spans="33:33">
      <c r="AG7325" s="536"/>
    </row>
    <row r="7326" spans="33:33">
      <c r="AG7326" s="536"/>
    </row>
    <row r="7327" spans="33:33">
      <c r="AG7327" s="536"/>
    </row>
    <row r="7328" spans="33:33">
      <c r="AG7328" s="536"/>
    </row>
    <row r="7329" spans="33:33">
      <c r="AG7329" s="536"/>
    </row>
    <row r="7330" spans="33:33">
      <c r="AG7330" s="536"/>
    </row>
    <row r="7331" spans="33:33">
      <c r="AG7331" s="536"/>
    </row>
    <row r="7332" spans="33:33">
      <c r="AG7332" s="536"/>
    </row>
    <row r="7333" spans="33:33">
      <c r="AG7333" s="536"/>
    </row>
    <row r="7334" spans="33:33">
      <c r="AG7334" s="536"/>
    </row>
    <row r="7335" spans="33:33">
      <c r="AG7335" s="536"/>
    </row>
    <row r="7336" spans="33:33">
      <c r="AG7336" s="536"/>
    </row>
    <row r="7337" spans="33:33">
      <c r="AG7337" s="536"/>
    </row>
    <row r="7338" spans="33:33">
      <c r="AG7338" s="536"/>
    </row>
    <row r="7339" spans="33:33">
      <c r="AG7339" s="536"/>
    </row>
    <row r="7340" spans="33:33">
      <c r="AG7340" s="536"/>
    </row>
    <row r="7341" spans="33:33">
      <c r="AG7341" s="536"/>
    </row>
    <row r="7342" spans="33:33">
      <c r="AG7342" s="536"/>
    </row>
    <row r="7343" spans="33:33">
      <c r="AG7343" s="536"/>
    </row>
    <row r="7344" spans="33:33">
      <c r="AG7344" s="536"/>
    </row>
    <row r="7345" spans="33:33">
      <c r="AG7345" s="536"/>
    </row>
    <row r="7346" spans="33:33">
      <c r="AG7346" s="536"/>
    </row>
    <row r="7347" spans="33:33">
      <c r="AG7347" s="536"/>
    </row>
    <row r="7348" spans="33:33">
      <c r="AG7348" s="536"/>
    </row>
    <row r="7349" spans="33:33">
      <c r="AG7349" s="536"/>
    </row>
    <row r="7350" spans="33:33">
      <c r="AG7350" s="536"/>
    </row>
    <row r="7351" spans="33:33">
      <c r="AG7351" s="536"/>
    </row>
    <row r="7352" spans="33:33">
      <c r="AG7352" s="536"/>
    </row>
    <row r="7353" spans="33:33">
      <c r="AG7353" s="536"/>
    </row>
    <row r="7354" spans="33:33">
      <c r="AG7354" s="536"/>
    </row>
    <row r="7355" spans="33:33">
      <c r="AG7355" s="536"/>
    </row>
    <row r="7356" spans="33:33">
      <c r="AG7356" s="536"/>
    </row>
    <row r="7357" spans="33:33">
      <c r="AG7357" s="536"/>
    </row>
    <row r="7358" spans="33:33">
      <c r="AG7358" s="536"/>
    </row>
    <row r="7359" spans="33:33">
      <c r="AG7359" s="536"/>
    </row>
    <row r="7360" spans="33:33">
      <c r="AG7360" s="536"/>
    </row>
    <row r="7361" spans="33:33">
      <c r="AG7361" s="536"/>
    </row>
    <row r="7362" spans="33:33">
      <c r="AG7362" s="536"/>
    </row>
    <row r="7363" spans="33:33">
      <c r="AG7363" s="536"/>
    </row>
    <row r="7364" spans="33:33">
      <c r="AG7364" s="536"/>
    </row>
    <row r="7365" spans="33:33">
      <c r="AG7365" s="536"/>
    </row>
    <row r="7366" spans="33:33">
      <c r="AG7366" s="536"/>
    </row>
    <row r="7367" spans="33:33">
      <c r="AG7367" s="536"/>
    </row>
    <row r="7368" spans="33:33">
      <c r="AG7368" s="536"/>
    </row>
    <row r="7369" spans="33:33">
      <c r="AG7369" s="536"/>
    </row>
    <row r="7370" spans="33:33">
      <c r="AG7370" s="536"/>
    </row>
    <row r="7371" spans="33:33">
      <c r="AG7371" s="536"/>
    </row>
    <row r="7372" spans="33:33">
      <c r="AG7372" s="536"/>
    </row>
    <row r="7373" spans="33:33">
      <c r="AG7373" s="536"/>
    </row>
    <row r="7374" spans="33:33">
      <c r="AG7374" s="536"/>
    </row>
    <row r="7375" spans="33:33">
      <c r="AG7375" s="536"/>
    </row>
    <row r="7376" spans="33:33">
      <c r="AG7376" s="536"/>
    </row>
    <row r="7377" spans="33:33">
      <c r="AG7377" s="536"/>
    </row>
    <row r="7378" spans="33:33">
      <c r="AG7378" s="536"/>
    </row>
    <row r="7379" spans="33:33">
      <c r="AG7379" s="536"/>
    </row>
    <row r="7380" spans="33:33">
      <c r="AG7380" s="536"/>
    </row>
    <row r="7381" spans="33:33">
      <c r="AG7381" s="536"/>
    </row>
    <row r="7382" spans="33:33">
      <c r="AG7382" s="536"/>
    </row>
    <row r="7383" spans="33:33">
      <c r="AG7383" s="536"/>
    </row>
    <row r="7384" spans="33:33">
      <c r="AG7384" s="536"/>
    </row>
    <row r="7385" spans="33:33">
      <c r="AG7385" s="536"/>
    </row>
    <row r="7386" spans="33:33">
      <c r="AG7386" s="536"/>
    </row>
    <row r="7387" spans="33:33">
      <c r="AG7387" s="536"/>
    </row>
    <row r="7388" spans="33:33">
      <c r="AG7388" s="536"/>
    </row>
    <row r="7389" spans="33:33">
      <c r="AG7389" s="536"/>
    </row>
    <row r="7390" spans="33:33">
      <c r="AG7390" s="536"/>
    </row>
    <row r="7391" spans="33:33">
      <c r="AG7391" s="536"/>
    </row>
    <row r="7392" spans="33:33">
      <c r="AG7392" s="536"/>
    </row>
    <row r="7393" spans="33:33">
      <c r="AG7393" s="536"/>
    </row>
    <row r="7394" spans="33:33">
      <c r="AG7394" s="536"/>
    </row>
    <row r="7395" spans="33:33">
      <c r="AG7395" s="536"/>
    </row>
    <row r="7396" spans="33:33">
      <c r="AG7396" s="536"/>
    </row>
    <row r="7397" spans="33:33">
      <c r="AG7397" s="536"/>
    </row>
    <row r="7398" spans="33:33">
      <c r="AG7398" s="536"/>
    </row>
    <row r="7399" spans="33:33">
      <c r="AG7399" s="536"/>
    </row>
    <row r="7400" spans="33:33">
      <c r="AG7400" s="536"/>
    </row>
    <row r="7401" spans="33:33">
      <c r="AG7401" s="536"/>
    </row>
    <row r="7402" spans="33:33">
      <c r="AG7402" s="536"/>
    </row>
    <row r="7403" spans="33:33">
      <c r="AG7403" s="536"/>
    </row>
    <row r="7404" spans="33:33">
      <c r="AG7404" s="536"/>
    </row>
    <row r="7405" spans="33:33">
      <c r="AG7405" s="536"/>
    </row>
    <row r="7406" spans="33:33">
      <c r="AG7406" s="536"/>
    </row>
    <row r="7407" spans="33:33">
      <c r="AG7407" s="536"/>
    </row>
    <row r="7408" spans="33:33">
      <c r="AG7408" s="536"/>
    </row>
    <row r="7409" spans="33:33">
      <c r="AG7409" s="536"/>
    </row>
    <row r="7410" spans="33:33">
      <c r="AG7410" s="536"/>
    </row>
    <row r="7411" spans="33:33">
      <c r="AG7411" s="536"/>
    </row>
    <row r="7412" spans="33:33">
      <c r="AG7412" s="536"/>
    </row>
    <row r="7413" spans="33:33">
      <c r="AG7413" s="536"/>
    </row>
    <row r="7414" spans="33:33">
      <c r="AG7414" s="536"/>
    </row>
    <row r="7415" spans="33:33">
      <c r="AG7415" s="536"/>
    </row>
    <row r="7416" spans="33:33">
      <c r="AG7416" s="536"/>
    </row>
    <row r="7417" spans="33:33">
      <c r="AG7417" s="536"/>
    </row>
    <row r="7418" spans="33:33">
      <c r="AG7418" s="536"/>
    </row>
    <row r="7419" spans="33:33">
      <c r="AG7419" s="536"/>
    </row>
    <row r="7420" spans="33:33">
      <c r="AG7420" s="536"/>
    </row>
    <row r="7421" spans="33:33">
      <c r="AG7421" s="536"/>
    </row>
    <row r="7422" spans="33:33">
      <c r="AG7422" s="536"/>
    </row>
    <row r="7423" spans="33:33">
      <c r="AG7423" s="536"/>
    </row>
    <row r="7424" spans="33:33">
      <c r="AG7424" s="536"/>
    </row>
    <row r="7425" spans="33:33">
      <c r="AG7425" s="536"/>
    </row>
    <row r="7426" spans="33:33">
      <c r="AG7426" s="536"/>
    </row>
    <row r="7427" spans="33:33">
      <c r="AG7427" s="536"/>
    </row>
    <row r="7428" spans="33:33">
      <c r="AG7428" s="536"/>
    </row>
    <row r="7429" spans="33:33">
      <c r="AG7429" s="536"/>
    </row>
    <row r="7430" spans="33:33">
      <c r="AG7430" s="536"/>
    </row>
    <row r="7431" spans="33:33">
      <c r="AG7431" s="536"/>
    </row>
    <row r="7432" spans="33:33">
      <c r="AG7432" s="536"/>
    </row>
    <row r="7433" spans="33:33">
      <c r="AG7433" s="536"/>
    </row>
    <row r="7434" spans="33:33">
      <c r="AG7434" s="536"/>
    </row>
    <row r="7435" spans="33:33">
      <c r="AG7435" s="536"/>
    </row>
    <row r="7436" spans="33:33">
      <c r="AG7436" s="536"/>
    </row>
    <row r="7437" spans="33:33">
      <c r="AG7437" s="536"/>
    </row>
    <row r="7438" spans="33:33">
      <c r="AG7438" s="536"/>
    </row>
    <row r="7439" spans="33:33">
      <c r="AG7439" s="536"/>
    </row>
    <row r="7440" spans="33:33">
      <c r="AG7440" s="536"/>
    </row>
    <row r="7441" spans="33:33">
      <c r="AG7441" s="536"/>
    </row>
    <row r="7442" spans="33:33">
      <c r="AG7442" s="536"/>
    </row>
    <row r="7443" spans="33:33">
      <c r="AG7443" s="536"/>
    </row>
    <row r="7444" spans="33:33">
      <c r="AG7444" s="536"/>
    </row>
    <row r="7445" spans="33:33">
      <c r="AG7445" s="536"/>
    </row>
    <row r="7446" spans="33:33">
      <c r="AG7446" s="536"/>
    </row>
    <row r="7447" spans="33:33">
      <c r="AG7447" s="536"/>
    </row>
    <row r="7448" spans="33:33">
      <c r="AG7448" s="536"/>
    </row>
    <row r="7449" spans="33:33">
      <c r="AG7449" s="536"/>
    </row>
    <row r="7450" spans="33:33">
      <c r="AG7450" s="536"/>
    </row>
    <row r="7451" spans="33:33">
      <c r="AG7451" s="536"/>
    </row>
    <row r="7452" spans="33:33">
      <c r="AG7452" s="536"/>
    </row>
    <row r="7453" spans="33:33">
      <c r="AG7453" s="536"/>
    </row>
    <row r="7454" spans="33:33">
      <c r="AG7454" s="536"/>
    </row>
    <row r="7455" spans="33:33">
      <c r="AG7455" s="536"/>
    </row>
    <row r="7456" spans="33:33">
      <c r="AG7456" s="536"/>
    </row>
    <row r="7457" spans="33:33">
      <c r="AG7457" s="536"/>
    </row>
    <row r="7458" spans="33:33">
      <c r="AG7458" s="536"/>
    </row>
    <row r="7459" spans="33:33">
      <c r="AG7459" s="536"/>
    </row>
    <row r="7460" spans="33:33">
      <c r="AG7460" s="536"/>
    </row>
    <row r="7461" spans="33:33">
      <c r="AG7461" s="536"/>
    </row>
    <row r="7462" spans="33:33">
      <c r="AG7462" s="536"/>
    </row>
    <row r="7463" spans="33:33">
      <c r="AG7463" s="536"/>
    </row>
    <row r="7464" spans="33:33">
      <c r="AG7464" s="536"/>
    </row>
    <row r="7465" spans="33:33">
      <c r="AG7465" s="536"/>
    </row>
    <row r="7466" spans="33:33">
      <c r="AG7466" s="536"/>
    </row>
    <row r="7467" spans="33:33">
      <c r="AG7467" s="536"/>
    </row>
    <row r="7468" spans="33:33">
      <c r="AG7468" s="536"/>
    </row>
    <row r="7469" spans="33:33">
      <c r="AG7469" s="536"/>
    </row>
    <row r="7470" spans="33:33">
      <c r="AG7470" s="536"/>
    </row>
    <row r="7471" spans="33:33">
      <c r="AG7471" s="536"/>
    </row>
    <row r="7472" spans="33:33">
      <c r="AG7472" s="536"/>
    </row>
    <row r="7473" spans="33:33">
      <c r="AG7473" s="536"/>
    </row>
    <row r="7474" spans="33:33">
      <c r="AG7474" s="536"/>
    </row>
    <row r="7475" spans="33:33">
      <c r="AG7475" s="536"/>
    </row>
    <row r="7476" spans="33:33">
      <c r="AG7476" s="536"/>
    </row>
    <row r="7477" spans="33:33">
      <c r="AG7477" s="536"/>
    </row>
    <row r="7478" spans="33:33">
      <c r="AG7478" s="536"/>
    </row>
    <row r="7479" spans="33:33">
      <c r="AG7479" s="536"/>
    </row>
    <row r="7480" spans="33:33">
      <c r="AG7480" s="536"/>
    </row>
    <row r="7481" spans="33:33">
      <c r="AG7481" s="536"/>
    </row>
    <row r="7482" spans="33:33">
      <c r="AG7482" s="536"/>
    </row>
    <row r="7483" spans="33:33">
      <c r="AG7483" s="536"/>
    </row>
    <row r="7484" spans="33:33">
      <c r="AG7484" s="536"/>
    </row>
    <row r="7485" spans="33:33">
      <c r="AG7485" s="536"/>
    </row>
    <row r="7486" spans="33:33">
      <c r="AG7486" s="536"/>
    </row>
    <row r="7487" spans="33:33">
      <c r="AG7487" s="536"/>
    </row>
    <row r="7488" spans="33:33">
      <c r="AG7488" s="536"/>
    </row>
    <row r="7489" spans="33:33">
      <c r="AG7489" s="536"/>
    </row>
    <row r="7490" spans="33:33">
      <c r="AG7490" s="536"/>
    </row>
    <row r="7491" spans="33:33">
      <c r="AG7491" s="536"/>
    </row>
    <row r="7492" spans="33:33">
      <c r="AG7492" s="536"/>
    </row>
    <row r="7493" spans="33:33">
      <c r="AG7493" s="536"/>
    </row>
    <row r="7494" spans="33:33">
      <c r="AG7494" s="536"/>
    </row>
    <row r="7495" spans="33:33">
      <c r="AG7495" s="536"/>
    </row>
    <row r="7496" spans="33:33">
      <c r="AG7496" s="536"/>
    </row>
    <row r="7497" spans="33:33">
      <c r="AG7497" s="536"/>
    </row>
    <row r="7498" spans="33:33">
      <c r="AG7498" s="536"/>
    </row>
    <row r="7499" spans="33:33">
      <c r="AG7499" s="536"/>
    </row>
    <row r="7500" spans="33:33">
      <c r="AG7500" s="536"/>
    </row>
    <row r="7501" spans="33:33">
      <c r="AG7501" s="536"/>
    </row>
    <row r="7502" spans="33:33">
      <c r="AG7502" s="536"/>
    </row>
    <row r="7503" spans="33:33">
      <c r="AG7503" s="536"/>
    </row>
    <row r="7504" spans="33:33">
      <c r="AG7504" s="536"/>
    </row>
    <row r="7505" spans="33:33">
      <c r="AG7505" s="536"/>
    </row>
    <row r="7506" spans="33:33">
      <c r="AG7506" s="536"/>
    </row>
    <row r="7507" spans="33:33">
      <c r="AG7507" s="536"/>
    </row>
    <row r="7508" spans="33:33">
      <c r="AG7508" s="536"/>
    </row>
    <row r="7509" spans="33:33">
      <c r="AG7509" s="536"/>
    </row>
    <row r="7510" spans="33:33">
      <c r="AG7510" s="536"/>
    </row>
    <row r="7511" spans="33:33">
      <c r="AG7511" s="536"/>
    </row>
    <row r="7512" spans="33:33">
      <c r="AG7512" s="536"/>
    </row>
    <row r="7513" spans="33:33">
      <c r="AG7513" s="536"/>
    </row>
    <row r="7514" spans="33:33">
      <c r="AG7514" s="536"/>
    </row>
    <row r="7515" spans="33:33">
      <c r="AG7515" s="536"/>
    </row>
    <row r="7516" spans="33:33">
      <c r="AG7516" s="536"/>
    </row>
    <row r="7517" spans="33:33">
      <c r="AG7517" s="536"/>
    </row>
    <row r="7518" spans="33:33">
      <c r="AG7518" s="536"/>
    </row>
    <row r="7519" spans="33:33">
      <c r="AG7519" s="536"/>
    </row>
    <row r="7520" spans="33:33">
      <c r="AG7520" s="536"/>
    </row>
    <row r="7521" spans="33:33">
      <c r="AG7521" s="536"/>
    </row>
    <row r="7522" spans="33:33">
      <c r="AG7522" s="536"/>
    </row>
    <row r="7523" spans="33:33">
      <c r="AG7523" s="536"/>
    </row>
    <row r="7524" spans="33:33">
      <c r="AG7524" s="536"/>
    </row>
    <row r="7525" spans="33:33">
      <c r="AG7525" s="536"/>
    </row>
    <row r="7526" spans="33:33">
      <c r="AG7526" s="536"/>
    </row>
    <row r="7527" spans="33:33">
      <c r="AG7527" s="536"/>
    </row>
    <row r="7528" spans="33:33">
      <c r="AG7528" s="536"/>
    </row>
    <row r="7529" spans="33:33">
      <c r="AG7529" s="536"/>
    </row>
    <row r="7530" spans="33:33">
      <c r="AG7530" s="536"/>
    </row>
    <row r="7531" spans="33:33">
      <c r="AG7531" s="536"/>
    </row>
    <row r="7532" spans="33:33">
      <c r="AG7532" s="536"/>
    </row>
    <row r="7533" spans="33:33">
      <c r="AG7533" s="536"/>
    </row>
    <row r="7534" spans="33:33">
      <c r="AG7534" s="536"/>
    </row>
    <row r="7535" spans="33:33">
      <c r="AG7535" s="536"/>
    </row>
    <row r="7536" spans="33:33">
      <c r="AG7536" s="536"/>
    </row>
    <row r="7537" spans="33:33">
      <c r="AG7537" s="536"/>
    </row>
    <row r="7538" spans="33:33">
      <c r="AG7538" s="536"/>
    </row>
    <row r="7539" spans="33:33">
      <c r="AG7539" s="536"/>
    </row>
    <row r="7540" spans="33:33">
      <c r="AG7540" s="536"/>
    </row>
    <row r="7541" spans="33:33">
      <c r="AG7541" s="536"/>
    </row>
    <row r="7542" spans="33:33">
      <c r="AG7542" s="536"/>
    </row>
    <row r="7543" spans="33:33">
      <c r="AG7543" s="536"/>
    </row>
    <row r="7544" spans="33:33">
      <c r="AG7544" s="536"/>
    </row>
    <row r="7545" spans="33:33">
      <c r="AG7545" s="536"/>
    </row>
    <row r="7546" spans="33:33">
      <c r="AG7546" s="536"/>
    </row>
    <row r="7547" spans="33:33">
      <c r="AG7547" s="536"/>
    </row>
    <row r="7548" spans="33:33">
      <c r="AG7548" s="536"/>
    </row>
    <row r="7549" spans="33:33">
      <c r="AG7549" s="536"/>
    </row>
    <row r="7550" spans="33:33">
      <c r="AG7550" s="536"/>
    </row>
    <row r="7551" spans="33:33">
      <c r="AG7551" s="536"/>
    </row>
    <row r="7552" spans="33:33">
      <c r="AG7552" s="536"/>
    </row>
    <row r="7553" spans="33:33">
      <c r="AG7553" s="536"/>
    </row>
    <row r="7554" spans="33:33">
      <c r="AG7554" s="536"/>
    </row>
    <row r="7555" spans="33:33">
      <c r="AG7555" s="536"/>
    </row>
    <row r="7556" spans="33:33">
      <c r="AG7556" s="536"/>
    </row>
    <row r="7557" spans="33:33">
      <c r="AG7557" s="536"/>
    </row>
    <row r="7558" spans="33:33">
      <c r="AG7558" s="536"/>
    </row>
    <row r="7559" spans="33:33">
      <c r="AG7559" s="536"/>
    </row>
    <row r="7560" spans="33:33">
      <c r="AG7560" s="536"/>
    </row>
    <row r="7561" spans="33:33">
      <c r="AG7561" s="536"/>
    </row>
    <row r="7562" spans="33:33">
      <c r="AG7562" s="536"/>
    </row>
    <row r="7563" spans="33:33">
      <c r="AG7563" s="536"/>
    </row>
    <row r="7564" spans="33:33">
      <c r="AG7564" s="536"/>
    </row>
    <row r="7565" spans="33:33">
      <c r="AG7565" s="536"/>
    </row>
    <row r="7566" spans="33:33">
      <c r="AG7566" s="536"/>
    </row>
    <row r="7567" spans="33:33">
      <c r="AG7567" s="536"/>
    </row>
    <row r="7568" spans="33:33">
      <c r="AG7568" s="536"/>
    </row>
    <row r="7569" spans="33:33">
      <c r="AG7569" s="536"/>
    </row>
    <row r="7570" spans="33:33">
      <c r="AG7570" s="536"/>
    </row>
    <row r="7571" spans="33:33">
      <c r="AG7571" s="536"/>
    </row>
    <row r="7572" spans="33:33">
      <c r="AG7572" s="536"/>
    </row>
    <row r="7573" spans="33:33">
      <c r="AG7573" s="536"/>
    </row>
    <row r="7574" spans="33:33">
      <c r="AG7574" s="536"/>
    </row>
    <row r="7575" spans="33:33">
      <c r="AG7575" s="536"/>
    </row>
    <row r="7576" spans="33:33">
      <c r="AG7576" s="536"/>
    </row>
    <row r="7577" spans="33:33">
      <c r="AG7577" s="536"/>
    </row>
    <row r="7578" spans="33:33">
      <c r="AG7578" s="536"/>
    </row>
    <row r="7579" spans="33:33">
      <c r="AG7579" s="536"/>
    </row>
    <row r="7580" spans="33:33">
      <c r="AG7580" s="536"/>
    </row>
    <row r="7581" spans="33:33">
      <c r="AG7581" s="536"/>
    </row>
    <row r="7582" spans="33:33">
      <c r="AG7582" s="536"/>
    </row>
    <row r="7583" spans="33:33">
      <c r="AG7583" s="536"/>
    </row>
    <row r="7584" spans="33:33">
      <c r="AG7584" s="536"/>
    </row>
    <row r="7585" spans="33:33">
      <c r="AG7585" s="536"/>
    </row>
    <row r="7586" spans="33:33">
      <c r="AG7586" s="536"/>
    </row>
    <row r="7587" spans="33:33">
      <c r="AG7587" s="536"/>
    </row>
    <row r="7588" spans="33:33">
      <c r="AG7588" s="536"/>
    </row>
    <row r="7589" spans="33:33">
      <c r="AG7589" s="536"/>
    </row>
    <row r="7590" spans="33:33">
      <c r="AG7590" s="536"/>
    </row>
    <row r="7591" spans="33:33">
      <c r="AG7591" s="536"/>
    </row>
    <row r="7592" spans="33:33">
      <c r="AG7592" s="536"/>
    </row>
    <row r="7593" spans="33:33">
      <c r="AG7593" s="536"/>
    </row>
    <row r="7594" spans="33:33">
      <c r="AG7594" s="536"/>
    </row>
    <row r="7595" spans="33:33">
      <c r="AG7595" s="536"/>
    </row>
    <row r="7596" spans="33:33">
      <c r="AG7596" s="536"/>
    </row>
    <row r="7597" spans="33:33">
      <c r="AG7597" s="536"/>
    </row>
    <row r="7598" spans="33:33">
      <c r="AG7598" s="536"/>
    </row>
    <row r="7599" spans="33:33">
      <c r="AG7599" s="536"/>
    </row>
    <row r="7600" spans="33:33">
      <c r="AG7600" s="536"/>
    </row>
    <row r="7601" spans="33:33">
      <c r="AG7601" s="536"/>
    </row>
    <row r="7602" spans="33:33">
      <c r="AG7602" s="536"/>
    </row>
    <row r="7603" spans="33:33">
      <c r="AG7603" s="536"/>
    </row>
    <row r="7604" spans="33:33">
      <c r="AG7604" s="536"/>
    </row>
    <row r="7605" spans="33:33">
      <c r="AG7605" s="536"/>
    </row>
    <row r="7606" spans="33:33">
      <c r="AG7606" s="536"/>
    </row>
    <row r="7607" spans="33:33">
      <c r="AG7607" s="536"/>
    </row>
    <row r="7608" spans="33:33">
      <c r="AG7608" s="536"/>
    </row>
    <row r="7609" spans="33:33">
      <c r="AG7609" s="536"/>
    </row>
    <row r="7610" spans="33:33">
      <c r="AG7610" s="536"/>
    </row>
    <row r="7611" spans="33:33">
      <c r="AG7611" s="536"/>
    </row>
    <row r="7612" spans="33:33">
      <c r="AG7612" s="536"/>
    </row>
    <row r="7613" spans="33:33">
      <c r="AG7613" s="536"/>
    </row>
    <row r="7614" spans="33:33">
      <c r="AG7614" s="536"/>
    </row>
    <row r="7615" spans="33:33">
      <c r="AG7615" s="536"/>
    </row>
    <row r="7616" spans="33:33">
      <c r="AG7616" s="536"/>
    </row>
    <row r="7617" spans="33:33">
      <c r="AG7617" s="536"/>
    </row>
    <row r="7618" spans="33:33">
      <c r="AG7618" s="536"/>
    </row>
    <row r="7619" spans="33:33">
      <c r="AG7619" s="536"/>
    </row>
    <row r="7620" spans="33:33">
      <c r="AG7620" s="536"/>
    </row>
    <row r="7621" spans="33:33">
      <c r="AG7621" s="536"/>
    </row>
    <row r="7622" spans="33:33">
      <c r="AG7622" s="536"/>
    </row>
    <row r="7623" spans="33:33">
      <c r="AG7623" s="536"/>
    </row>
    <row r="7624" spans="33:33">
      <c r="AG7624" s="536"/>
    </row>
    <row r="7625" spans="33:33">
      <c r="AG7625" s="536"/>
    </row>
    <row r="7626" spans="33:33">
      <c r="AG7626" s="536"/>
    </row>
    <row r="7627" spans="33:33">
      <c r="AG7627" s="536"/>
    </row>
    <row r="7628" spans="33:33">
      <c r="AG7628" s="536"/>
    </row>
    <row r="7629" spans="33:33">
      <c r="AG7629" s="536"/>
    </row>
    <row r="7630" spans="33:33">
      <c r="AG7630" s="536"/>
    </row>
    <row r="7631" spans="33:33">
      <c r="AG7631" s="536"/>
    </row>
    <row r="7632" spans="33:33">
      <c r="AG7632" s="536"/>
    </row>
    <row r="7633" spans="33:33">
      <c r="AG7633" s="536"/>
    </row>
    <row r="7634" spans="33:33">
      <c r="AG7634" s="536"/>
    </row>
    <row r="7635" spans="33:33">
      <c r="AG7635" s="536"/>
    </row>
    <row r="7636" spans="33:33">
      <c r="AG7636" s="536"/>
    </row>
    <row r="7637" spans="33:33">
      <c r="AG7637" s="536"/>
    </row>
    <row r="7638" spans="33:33">
      <c r="AG7638" s="536"/>
    </row>
    <row r="7639" spans="33:33">
      <c r="AG7639" s="536"/>
    </row>
    <row r="7640" spans="33:33">
      <c r="AG7640" s="536"/>
    </row>
    <row r="7641" spans="33:33">
      <c r="AG7641" s="536"/>
    </row>
    <row r="7642" spans="33:33">
      <c r="AG7642" s="536"/>
    </row>
    <row r="7643" spans="33:33">
      <c r="AG7643" s="536"/>
    </row>
    <row r="7644" spans="33:33">
      <c r="AG7644" s="536"/>
    </row>
    <row r="7645" spans="33:33">
      <c r="AG7645" s="536"/>
    </row>
    <row r="7646" spans="33:33">
      <c r="AG7646" s="536"/>
    </row>
    <row r="7647" spans="33:33">
      <c r="AG7647" s="536"/>
    </row>
    <row r="7648" spans="33:33">
      <c r="AG7648" s="536"/>
    </row>
    <row r="7649" spans="33:33">
      <c r="AG7649" s="536"/>
    </row>
    <row r="7650" spans="33:33">
      <c r="AG7650" s="536"/>
    </row>
    <row r="7651" spans="33:33">
      <c r="AG7651" s="536"/>
    </row>
    <row r="7652" spans="33:33">
      <c r="AG7652" s="536"/>
    </row>
    <row r="7653" spans="33:33">
      <c r="AG7653" s="536"/>
    </row>
    <row r="7654" spans="33:33">
      <c r="AG7654" s="536"/>
    </row>
    <row r="7655" spans="33:33">
      <c r="AG7655" s="536"/>
    </row>
    <row r="7656" spans="33:33">
      <c r="AG7656" s="536"/>
    </row>
    <row r="7657" spans="33:33">
      <c r="AG7657" s="536"/>
    </row>
    <row r="7658" spans="33:33">
      <c r="AG7658" s="536"/>
    </row>
    <row r="7659" spans="33:33">
      <c r="AG7659" s="536"/>
    </row>
    <row r="7660" spans="33:33">
      <c r="AG7660" s="536"/>
    </row>
    <row r="7661" spans="33:33">
      <c r="AG7661" s="536"/>
    </row>
    <row r="7662" spans="33:33">
      <c r="AG7662" s="536"/>
    </row>
    <row r="7663" spans="33:33">
      <c r="AG7663" s="536"/>
    </row>
    <row r="7664" spans="33:33">
      <c r="AG7664" s="536"/>
    </row>
    <row r="7665" spans="33:33">
      <c r="AG7665" s="536"/>
    </row>
    <row r="7666" spans="33:33">
      <c r="AG7666" s="536"/>
    </row>
    <row r="7667" spans="33:33">
      <c r="AG7667" s="536"/>
    </row>
    <row r="7668" spans="33:33">
      <c r="AG7668" s="536"/>
    </row>
    <row r="7669" spans="33:33">
      <c r="AG7669" s="536"/>
    </row>
    <row r="7670" spans="33:33">
      <c r="AG7670" s="536"/>
    </row>
    <row r="7671" spans="33:33">
      <c r="AG7671" s="536"/>
    </row>
    <row r="7672" spans="33:33">
      <c r="AG7672" s="536"/>
    </row>
    <row r="7673" spans="33:33">
      <c r="AG7673" s="536"/>
    </row>
    <row r="7674" spans="33:33">
      <c r="AG7674" s="536"/>
    </row>
    <row r="7675" spans="33:33">
      <c r="AG7675" s="536"/>
    </row>
    <row r="7676" spans="33:33">
      <c r="AG7676" s="536"/>
    </row>
    <row r="7677" spans="33:33">
      <c r="AG7677" s="536"/>
    </row>
    <row r="7678" spans="33:33">
      <c r="AG7678" s="536"/>
    </row>
    <row r="7679" spans="33:33">
      <c r="AG7679" s="536"/>
    </row>
    <row r="7680" spans="33:33">
      <c r="AG7680" s="536"/>
    </row>
    <row r="7681" spans="33:33">
      <c r="AG7681" s="536"/>
    </row>
    <row r="7682" spans="33:33">
      <c r="AG7682" s="536"/>
    </row>
    <row r="7683" spans="33:33">
      <c r="AG7683" s="536"/>
    </row>
    <row r="7684" spans="33:33">
      <c r="AG7684" s="536"/>
    </row>
    <row r="7685" spans="33:33">
      <c r="AG7685" s="536"/>
    </row>
    <row r="7686" spans="33:33">
      <c r="AG7686" s="536"/>
    </row>
    <row r="7687" spans="33:33">
      <c r="AG7687" s="536"/>
    </row>
    <row r="7688" spans="33:33">
      <c r="AG7688" s="536"/>
    </row>
    <row r="7689" spans="33:33">
      <c r="AG7689" s="536"/>
    </row>
    <row r="7690" spans="33:33">
      <c r="AG7690" s="536"/>
    </row>
    <row r="7691" spans="33:33">
      <c r="AG7691" s="536"/>
    </row>
    <row r="7692" spans="33:33">
      <c r="AG7692" s="536"/>
    </row>
    <row r="7693" spans="33:33">
      <c r="AG7693" s="536"/>
    </row>
    <row r="7694" spans="33:33">
      <c r="AG7694" s="536"/>
    </row>
    <row r="7695" spans="33:33">
      <c r="AG7695" s="536"/>
    </row>
    <row r="7696" spans="33:33">
      <c r="AG7696" s="536"/>
    </row>
    <row r="7697" spans="33:33">
      <c r="AG7697" s="536"/>
    </row>
    <row r="7698" spans="33:33">
      <c r="AG7698" s="536"/>
    </row>
    <row r="7699" spans="33:33">
      <c r="AG7699" s="536"/>
    </row>
    <row r="7700" spans="33:33">
      <c r="AG7700" s="536"/>
    </row>
    <row r="7701" spans="33:33">
      <c r="AG7701" s="536"/>
    </row>
    <row r="7702" spans="33:33">
      <c r="AG7702" s="536"/>
    </row>
    <row r="7703" spans="33:33">
      <c r="AG7703" s="536"/>
    </row>
    <row r="7704" spans="33:33">
      <c r="AG7704" s="536"/>
    </row>
    <row r="7705" spans="33:33">
      <c r="AG7705" s="536"/>
    </row>
    <row r="7706" spans="33:33">
      <c r="AG7706" s="536"/>
    </row>
    <row r="7707" spans="33:33">
      <c r="AG7707" s="536"/>
    </row>
    <row r="7708" spans="33:33">
      <c r="AG7708" s="536"/>
    </row>
    <row r="7709" spans="33:33">
      <c r="AG7709" s="536"/>
    </row>
    <row r="7710" spans="33:33">
      <c r="AG7710" s="536"/>
    </row>
    <row r="7711" spans="33:33">
      <c r="AG7711" s="536"/>
    </row>
    <row r="7712" spans="33:33">
      <c r="AG7712" s="536"/>
    </row>
    <row r="7713" spans="33:33">
      <c r="AG7713" s="536"/>
    </row>
    <row r="7714" spans="33:33">
      <c r="AG7714" s="536"/>
    </row>
    <row r="7715" spans="33:33">
      <c r="AG7715" s="536"/>
    </row>
    <row r="7716" spans="33:33">
      <c r="AG7716" s="536"/>
    </row>
    <row r="7717" spans="33:33">
      <c r="AG7717" s="536"/>
    </row>
    <row r="7718" spans="33:33">
      <c r="AG7718" s="536"/>
    </row>
    <row r="7719" spans="33:33">
      <c r="AG7719" s="536"/>
    </row>
    <row r="7720" spans="33:33">
      <c r="AG7720" s="536"/>
    </row>
    <row r="7721" spans="33:33">
      <c r="AG7721" s="536"/>
    </row>
    <row r="7722" spans="33:33">
      <c r="AG7722" s="536"/>
    </row>
    <row r="7723" spans="33:33">
      <c r="AG7723" s="536"/>
    </row>
    <row r="7724" spans="33:33">
      <c r="AG7724" s="536"/>
    </row>
    <row r="7725" spans="33:33">
      <c r="AG7725" s="536"/>
    </row>
    <row r="7726" spans="33:33">
      <c r="AG7726" s="536"/>
    </row>
    <row r="7727" spans="33:33">
      <c r="AG7727" s="536"/>
    </row>
    <row r="7728" spans="33:33">
      <c r="AG7728" s="536"/>
    </row>
    <row r="7729" spans="33:33">
      <c r="AG7729" s="536"/>
    </row>
    <row r="7730" spans="33:33">
      <c r="AG7730" s="536"/>
    </row>
    <row r="7731" spans="33:33">
      <c r="AG7731" s="536"/>
    </row>
    <row r="7732" spans="33:33">
      <c r="AG7732" s="536"/>
    </row>
    <row r="7733" spans="33:33">
      <c r="AG7733" s="536"/>
    </row>
    <row r="7734" spans="33:33">
      <c r="AG7734" s="536"/>
    </row>
    <row r="7735" spans="33:33">
      <c r="AG7735" s="536"/>
    </row>
    <row r="7736" spans="33:33">
      <c r="AG7736" s="536"/>
    </row>
    <row r="7737" spans="33:33">
      <c r="AG7737" s="536"/>
    </row>
    <row r="7738" spans="33:33">
      <c r="AG7738" s="536"/>
    </row>
    <row r="7739" spans="33:33">
      <c r="AG7739" s="536"/>
    </row>
    <row r="7740" spans="33:33">
      <c r="AG7740" s="536"/>
    </row>
    <row r="7741" spans="33:33">
      <c r="AG7741" s="536"/>
    </row>
    <row r="7742" spans="33:33">
      <c r="AG7742" s="536"/>
    </row>
    <row r="7743" spans="33:33">
      <c r="AG7743" s="536"/>
    </row>
    <row r="7744" spans="33:33">
      <c r="AG7744" s="536"/>
    </row>
    <row r="7745" spans="33:33">
      <c r="AG7745" s="536"/>
    </row>
    <row r="7746" spans="33:33">
      <c r="AG7746" s="536"/>
    </row>
    <row r="7747" spans="33:33">
      <c r="AG7747" s="536"/>
    </row>
    <row r="7748" spans="33:33">
      <c r="AG7748" s="536"/>
    </row>
    <row r="7749" spans="33:33">
      <c r="AG7749" s="536"/>
    </row>
    <row r="7750" spans="33:33">
      <c r="AG7750" s="536"/>
    </row>
    <row r="7751" spans="33:33">
      <c r="AG7751" s="536"/>
    </row>
    <row r="7752" spans="33:33">
      <c r="AG7752" s="536"/>
    </row>
    <row r="7753" spans="33:33">
      <c r="AG7753" s="536"/>
    </row>
    <row r="7754" spans="33:33">
      <c r="AG7754" s="536"/>
    </row>
    <row r="7755" spans="33:33">
      <c r="AG7755" s="536"/>
    </row>
    <row r="7756" spans="33:33">
      <c r="AG7756" s="536"/>
    </row>
    <row r="7757" spans="33:33">
      <c r="AG7757" s="536"/>
    </row>
    <row r="7758" spans="33:33">
      <c r="AG7758" s="536"/>
    </row>
    <row r="7759" spans="33:33">
      <c r="AG7759" s="536"/>
    </row>
    <row r="7760" spans="33:33">
      <c r="AG7760" s="536"/>
    </row>
    <row r="7761" spans="33:33">
      <c r="AG7761" s="536"/>
    </row>
    <row r="7762" spans="33:33">
      <c r="AG7762" s="536"/>
    </row>
    <row r="7763" spans="33:33">
      <c r="AG7763" s="536"/>
    </row>
    <row r="7764" spans="33:33">
      <c r="AG7764" s="536"/>
    </row>
    <row r="7765" spans="33:33">
      <c r="AG7765" s="536"/>
    </row>
    <row r="7766" spans="33:33">
      <c r="AG7766" s="536"/>
    </row>
    <row r="7767" spans="33:33">
      <c r="AG7767" s="536"/>
    </row>
    <row r="7768" spans="33:33">
      <c r="AG7768" s="536"/>
    </row>
    <row r="7769" spans="33:33">
      <c r="AG7769" s="536"/>
    </row>
    <row r="7770" spans="33:33">
      <c r="AG7770" s="536"/>
    </row>
    <row r="7771" spans="33:33">
      <c r="AG7771" s="536"/>
    </row>
    <row r="7772" spans="33:33">
      <c r="AG7772" s="536"/>
    </row>
    <row r="7773" spans="33:33">
      <c r="AG7773" s="536"/>
    </row>
    <row r="7774" spans="33:33">
      <c r="AG7774" s="536"/>
    </row>
    <row r="7775" spans="33:33">
      <c r="AG7775" s="536"/>
    </row>
    <row r="7776" spans="33:33">
      <c r="AG7776" s="536"/>
    </row>
    <row r="7777" spans="33:33">
      <c r="AG7777" s="536"/>
    </row>
    <row r="7778" spans="33:33">
      <c r="AG7778" s="536"/>
    </row>
    <row r="7779" spans="33:33">
      <c r="AG7779" s="536"/>
    </row>
    <row r="7780" spans="33:33">
      <c r="AG7780" s="536"/>
    </row>
    <row r="7781" spans="33:33">
      <c r="AG7781" s="536"/>
    </row>
    <row r="7782" spans="33:33">
      <c r="AG7782" s="536"/>
    </row>
    <row r="7783" spans="33:33">
      <c r="AG7783" s="536"/>
    </row>
    <row r="7784" spans="33:33">
      <c r="AG7784" s="536"/>
    </row>
    <row r="7785" spans="33:33">
      <c r="AG7785" s="536"/>
    </row>
    <row r="7786" spans="33:33">
      <c r="AG7786" s="536"/>
    </row>
    <row r="7787" spans="33:33">
      <c r="AG7787" s="536"/>
    </row>
    <row r="7788" spans="33:33">
      <c r="AG7788" s="536"/>
    </row>
    <row r="7789" spans="33:33">
      <c r="AG7789" s="536"/>
    </row>
    <row r="7790" spans="33:33">
      <c r="AG7790" s="536"/>
    </row>
    <row r="7791" spans="33:33">
      <c r="AG7791" s="536"/>
    </row>
    <row r="7792" spans="33:33">
      <c r="AG7792" s="536"/>
    </row>
    <row r="7793" spans="33:33">
      <c r="AG7793" s="536"/>
    </row>
    <row r="7794" spans="33:33">
      <c r="AG7794" s="536"/>
    </row>
    <row r="7795" spans="33:33">
      <c r="AG7795" s="536"/>
    </row>
    <row r="7796" spans="33:33">
      <c r="AG7796" s="536"/>
    </row>
    <row r="7797" spans="33:33">
      <c r="AG7797" s="536"/>
    </row>
    <row r="7798" spans="33:33">
      <c r="AG7798" s="536"/>
    </row>
    <row r="7799" spans="33:33">
      <c r="AG7799" s="536"/>
    </row>
    <row r="7800" spans="33:33">
      <c r="AG7800" s="536"/>
    </row>
    <row r="7801" spans="33:33">
      <c r="AG7801" s="536"/>
    </row>
    <row r="7802" spans="33:33">
      <c r="AG7802" s="536"/>
    </row>
    <row r="7803" spans="33:33">
      <c r="AG7803" s="536"/>
    </row>
    <row r="7804" spans="33:33">
      <c r="AG7804" s="536"/>
    </row>
    <row r="7805" spans="33:33">
      <c r="AG7805" s="536"/>
    </row>
    <row r="7806" spans="33:33">
      <c r="AG7806" s="536"/>
    </row>
    <row r="7807" spans="33:33">
      <c r="AG7807" s="536"/>
    </row>
    <row r="7808" spans="33:33">
      <c r="AG7808" s="536"/>
    </row>
    <row r="7809" spans="33:33">
      <c r="AG7809" s="536"/>
    </row>
    <row r="7810" spans="33:33">
      <c r="AG7810" s="536"/>
    </row>
    <row r="7811" spans="33:33">
      <c r="AG7811" s="536"/>
    </row>
    <row r="7812" spans="33:33">
      <c r="AG7812" s="536"/>
    </row>
    <row r="7813" spans="33:33">
      <c r="AG7813" s="536"/>
    </row>
    <row r="7814" spans="33:33">
      <c r="AG7814" s="536"/>
    </row>
    <row r="7815" spans="33:33">
      <c r="AG7815" s="536"/>
    </row>
    <row r="7816" spans="33:33">
      <c r="AG7816" s="536"/>
    </row>
    <row r="7817" spans="33:33">
      <c r="AG7817" s="536"/>
    </row>
    <row r="7818" spans="33:33">
      <c r="AG7818" s="536"/>
    </row>
    <row r="7819" spans="33:33">
      <c r="AG7819" s="536"/>
    </row>
    <row r="7820" spans="33:33">
      <c r="AG7820" s="536"/>
    </row>
    <row r="7821" spans="33:33">
      <c r="AG7821" s="536"/>
    </row>
    <row r="7822" spans="33:33">
      <c r="AG7822" s="536"/>
    </row>
    <row r="7823" spans="33:33">
      <c r="AG7823" s="536"/>
    </row>
    <row r="7824" spans="33:33">
      <c r="AG7824" s="536"/>
    </row>
    <row r="7825" spans="33:33">
      <c r="AG7825" s="536"/>
    </row>
    <row r="7826" spans="33:33">
      <c r="AG7826" s="536"/>
    </row>
    <row r="7827" spans="33:33">
      <c r="AG7827" s="536"/>
    </row>
    <row r="7828" spans="33:33">
      <c r="AG7828" s="536"/>
    </row>
    <row r="7829" spans="33:33">
      <c r="AG7829" s="536"/>
    </row>
    <row r="7830" spans="33:33">
      <c r="AG7830" s="536"/>
    </row>
    <row r="7831" spans="33:33">
      <c r="AG7831" s="536"/>
    </row>
    <row r="7832" spans="33:33">
      <c r="AG7832" s="536"/>
    </row>
    <row r="7833" spans="33:33">
      <c r="AG7833" s="536"/>
    </row>
    <row r="7834" spans="33:33">
      <c r="AG7834" s="536"/>
    </row>
    <row r="7835" spans="33:33">
      <c r="AG7835" s="536"/>
    </row>
    <row r="7836" spans="33:33">
      <c r="AG7836" s="536"/>
    </row>
    <row r="7837" spans="33:33">
      <c r="AG7837" s="536"/>
    </row>
    <row r="7838" spans="33:33">
      <c r="AG7838" s="536"/>
    </row>
    <row r="7839" spans="33:33">
      <c r="AG7839" s="536"/>
    </row>
    <row r="7840" spans="33:33">
      <c r="AG7840" s="536"/>
    </row>
    <row r="7841" spans="33:33">
      <c r="AG7841" s="536"/>
    </row>
    <row r="7842" spans="33:33">
      <c r="AG7842" s="536"/>
    </row>
    <row r="7843" spans="33:33">
      <c r="AG7843" s="536"/>
    </row>
    <row r="7844" spans="33:33">
      <c r="AG7844" s="536"/>
    </row>
    <row r="7845" spans="33:33">
      <c r="AG7845" s="536"/>
    </row>
    <row r="7846" spans="33:33">
      <c r="AG7846" s="536"/>
    </row>
    <row r="7847" spans="33:33">
      <c r="AG7847" s="536"/>
    </row>
    <row r="7848" spans="33:33">
      <c r="AG7848" s="536"/>
    </row>
    <row r="7849" spans="33:33">
      <c r="AG7849" s="536"/>
    </row>
    <row r="7850" spans="33:33">
      <c r="AG7850" s="536"/>
    </row>
    <row r="7851" spans="33:33">
      <c r="AG7851" s="536"/>
    </row>
    <row r="7852" spans="33:33">
      <c r="AG7852" s="536"/>
    </row>
    <row r="7853" spans="33:33">
      <c r="AG7853" s="536"/>
    </row>
    <row r="7854" spans="33:33">
      <c r="AG7854" s="536"/>
    </row>
    <row r="7855" spans="33:33">
      <c r="AG7855" s="536"/>
    </row>
    <row r="7856" spans="33:33">
      <c r="AG7856" s="536"/>
    </row>
    <row r="7857" spans="33:33">
      <c r="AG7857" s="536"/>
    </row>
    <row r="7858" spans="33:33">
      <c r="AG7858" s="536"/>
    </row>
    <row r="7859" spans="33:33">
      <c r="AG7859" s="536"/>
    </row>
    <row r="7860" spans="33:33">
      <c r="AG7860" s="536"/>
    </row>
    <row r="7861" spans="33:33">
      <c r="AG7861" s="536"/>
    </row>
    <row r="7862" spans="33:33">
      <c r="AG7862" s="536"/>
    </row>
    <row r="7863" spans="33:33">
      <c r="AG7863" s="536"/>
    </row>
    <row r="7864" spans="33:33">
      <c r="AG7864" s="536"/>
    </row>
    <row r="7865" spans="33:33">
      <c r="AG7865" s="536"/>
    </row>
    <row r="7866" spans="33:33">
      <c r="AG7866" s="536"/>
    </row>
    <row r="7867" spans="33:33">
      <c r="AG7867" s="536"/>
    </row>
    <row r="7868" spans="33:33">
      <c r="AG7868" s="536"/>
    </row>
    <row r="7869" spans="33:33">
      <c r="AG7869" s="536"/>
    </row>
    <row r="7870" spans="33:33">
      <c r="AG7870" s="536"/>
    </row>
    <row r="7871" spans="33:33">
      <c r="AG7871" s="536"/>
    </row>
    <row r="7872" spans="33:33">
      <c r="AG7872" s="536"/>
    </row>
    <row r="7873" spans="33:33">
      <c r="AG7873" s="536"/>
    </row>
    <row r="7874" spans="33:33">
      <c r="AG7874" s="536"/>
    </row>
    <row r="7875" spans="33:33">
      <c r="AG7875" s="536"/>
    </row>
    <row r="7876" spans="33:33">
      <c r="AG7876" s="536"/>
    </row>
    <row r="7877" spans="33:33">
      <c r="AG7877" s="536"/>
    </row>
    <row r="7878" spans="33:33">
      <c r="AG7878" s="536"/>
    </row>
    <row r="7879" spans="33:33">
      <c r="AG7879" s="536"/>
    </row>
    <row r="7880" spans="33:33">
      <c r="AG7880" s="536"/>
    </row>
    <row r="7881" spans="33:33">
      <c r="AG7881" s="536"/>
    </row>
    <row r="7882" spans="33:33">
      <c r="AG7882" s="536"/>
    </row>
    <row r="7883" spans="33:33">
      <c r="AG7883" s="536"/>
    </row>
    <row r="7884" spans="33:33">
      <c r="AG7884" s="536"/>
    </row>
    <row r="7885" spans="33:33">
      <c r="AG7885" s="536"/>
    </row>
    <row r="7886" spans="33:33">
      <c r="AG7886" s="536"/>
    </row>
    <row r="7887" spans="33:33">
      <c r="AG7887" s="536"/>
    </row>
    <row r="7888" spans="33:33">
      <c r="AG7888" s="536"/>
    </row>
    <row r="7889" spans="33:33">
      <c r="AG7889" s="536"/>
    </row>
    <row r="7890" spans="33:33">
      <c r="AG7890" s="536"/>
    </row>
    <row r="7891" spans="33:33">
      <c r="AG7891" s="536"/>
    </row>
    <row r="7892" spans="33:33">
      <c r="AG7892" s="536"/>
    </row>
    <row r="7893" spans="33:33">
      <c r="AG7893" s="536"/>
    </row>
    <row r="7894" spans="33:33">
      <c r="AG7894" s="536"/>
    </row>
    <row r="7895" spans="33:33">
      <c r="AG7895" s="536"/>
    </row>
    <row r="7896" spans="33:33">
      <c r="AG7896" s="536"/>
    </row>
    <row r="7897" spans="33:33">
      <c r="AG7897" s="536"/>
    </row>
    <row r="7898" spans="33:33">
      <c r="AG7898" s="536"/>
    </row>
    <row r="7899" spans="33:33">
      <c r="AG7899" s="536"/>
    </row>
    <row r="7900" spans="33:33">
      <c r="AG7900" s="536"/>
    </row>
    <row r="7901" spans="33:33">
      <c r="AG7901" s="536"/>
    </row>
    <row r="7902" spans="33:33">
      <c r="AG7902" s="536"/>
    </row>
    <row r="7903" spans="33:33">
      <c r="AG7903" s="536"/>
    </row>
    <row r="7904" spans="33:33">
      <c r="AG7904" s="536"/>
    </row>
    <row r="7905" spans="33:33">
      <c r="AG7905" s="536"/>
    </row>
    <row r="7906" spans="33:33">
      <c r="AG7906" s="536"/>
    </row>
    <row r="7907" spans="33:33">
      <c r="AG7907" s="536"/>
    </row>
    <row r="7908" spans="33:33">
      <c r="AG7908" s="536"/>
    </row>
    <row r="7909" spans="33:33">
      <c r="AG7909" s="536"/>
    </row>
    <row r="7910" spans="33:33">
      <c r="AG7910" s="536"/>
    </row>
    <row r="7911" spans="33:33">
      <c r="AG7911" s="536"/>
    </row>
    <row r="7912" spans="33:33">
      <c r="AG7912" s="536"/>
    </row>
    <row r="7913" spans="33:33">
      <c r="AG7913" s="536"/>
    </row>
    <row r="7914" spans="33:33">
      <c r="AG7914" s="536"/>
    </row>
    <row r="7915" spans="33:33">
      <c r="AG7915" s="536"/>
    </row>
    <row r="7916" spans="33:33">
      <c r="AG7916" s="536"/>
    </row>
    <row r="7917" spans="33:33">
      <c r="AG7917" s="536"/>
    </row>
    <row r="7918" spans="33:33">
      <c r="AG7918" s="536"/>
    </row>
    <row r="7919" spans="33:33">
      <c r="AG7919" s="536"/>
    </row>
    <row r="7920" spans="33:33">
      <c r="AG7920" s="536"/>
    </row>
    <row r="7921" spans="33:33">
      <c r="AG7921" s="536"/>
    </row>
    <row r="7922" spans="33:33">
      <c r="AG7922" s="536"/>
    </row>
    <row r="7923" spans="33:33">
      <c r="AG7923" s="536"/>
    </row>
    <row r="7924" spans="33:33">
      <c r="AG7924" s="536"/>
    </row>
    <row r="7925" spans="33:33">
      <c r="AG7925" s="536"/>
    </row>
    <row r="7926" spans="33:33">
      <c r="AG7926" s="536"/>
    </row>
    <row r="7927" spans="33:33">
      <c r="AG7927" s="536"/>
    </row>
    <row r="7928" spans="33:33">
      <c r="AG7928" s="536"/>
    </row>
    <row r="7929" spans="33:33">
      <c r="AG7929" s="536"/>
    </row>
    <row r="7930" spans="33:33">
      <c r="AG7930" s="536"/>
    </row>
    <row r="7931" spans="33:33">
      <c r="AG7931" s="536"/>
    </row>
    <row r="7932" spans="33:33">
      <c r="AG7932" s="536"/>
    </row>
    <row r="7933" spans="33:33">
      <c r="AG7933" s="536"/>
    </row>
    <row r="7934" spans="33:33">
      <c r="AG7934" s="536"/>
    </row>
    <row r="7935" spans="33:33">
      <c r="AG7935" s="536"/>
    </row>
    <row r="7936" spans="33:33">
      <c r="AG7936" s="536"/>
    </row>
    <row r="7937" spans="33:33">
      <c r="AG7937" s="536"/>
    </row>
    <row r="7938" spans="33:33">
      <c r="AG7938" s="536"/>
    </row>
    <row r="7939" spans="33:33">
      <c r="AG7939" s="536"/>
    </row>
    <row r="7940" spans="33:33">
      <c r="AG7940" s="536"/>
    </row>
    <row r="7941" spans="33:33">
      <c r="AG7941" s="536"/>
    </row>
    <row r="7942" spans="33:33">
      <c r="AG7942" s="536"/>
    </row>
    <row r="7943" spans="33:33">
      <c r="AG7943" s="536"/>
    </row>
    <row r="7944" spans="33:33">
      <c r="AG7944" s="536"/>
    </row>
    <row r="7945" spans="33:33">
      <c r="AG7945" s="536"/>
    </row>
    <row r="7946" spans="33:33">
      <c r="AG7946" s="536"/>
    </row>
    <row r="7947" spans="33:33">
      <c r="AG7947" s="536"/>
    </row>
    <row r="7948" spans="33:33">
      <c r="AG7948" s="536"/>
    </row>
    <row r="7949" spans="33:33">
      <c r="AG7949" s="536"/>
    </row>
    <row r="7950" spans="33:33">
      <c r="AG7950" s="536"/>
    </row>
    <row r="7951" spans="33:33">
      <c r="AG7951" s="536"/>
    </row>
    <row r="7952" spans="33:33">
      <c r="AG7952" s="536"/>
    </row>
    <row r="7953" spans="33:33">
      <c r="AG7953" s="536"/>
    </row>
    <row r="7954" spans="33:33">
      <c r="AG7954" s="536"/>
    </row>
    <row r="7955" spans="33:33">
      <c r="AG7955" s="536"/>
    </row>
    <row r="7956" spans="33:33">
      <c r="AG7956" s="536"/>
    </row>
    <row r="7957" spans="33:33">
      <c r="AG7957" s="536"/>
    </row>
    <row r="7958" spans="33:33">
      <c r="AG7958" s="536"/>
    </row>
    <row r="7959" spans="33:33">
      <c r="AG7959" s="536"/>
    </row>
    <row r="7960" spans="33:33">
      <c r="AG7960" s="536"/>
    </row>
    <row r="7961" spans="33:33">
      <c r="AG7961" s="536"/>
    </row>
    <row r="7962" spans="33:33">
      <c r="AG7962" s="536"/>
    </row>
    <row r="7963" spans="33:33">
      <c r="AG7963" s="536"/>
    </row>
    <row r="7964" spans="33:33">
      <c r="AG7964" s="536"/>
    </row>
    <row r="7965" spans="33:33">
      <c r="AG7965" s="536"/>
    </row>
    <row r="7966" spans="33:33">
      <c r="AG7966" s="536"/>
    </row>
    <row r="7967" spans="33:33">
      <c r="AG7967" s="536"/>
    </row>
    <row r="7968" spans="33:33">
      <c r="AG7968" s="536"/>
    </row>
    <row r="7969" spans="33:33">
      <c r="AG7969" s="536"/>
    </row>
    <row r="7970" spans="33:33">
      <c r="AG7970" s="536"/>
    </row>
    <row r="7971" spans="33:33">
      <c r="AG7971" s="536"/>
    </row>
    <row r="7972" spans="33:33">
      <c r="AG7972" s="536"/>
    </row>
    <row r="7973" spans="33:33">
      <c r="AG7973" s="536"/>
    </row>
    <row r="7974" spans="33:33">
      <c r="AG7974" s="536"/>
    </row>
    <row r="7975" spans="33:33">
      <c r="AG7975" s="536"/>
    </row>
    <row r="7976" spans="33:33">
      <c r="AG7976" s="536"/>
    </row>
    <row r="7977" spans="33:33">
      <c r="AG7977" s="536"/>
    </row>
    <row r="7978" spans="33:33">
      <c r="AG7978" s="536"/>
    </row>
    <row r="7979" spans="33:33">
      <c r="AG7979" s="536"/>
    </row>
    <row r="7980" spans="33:33">
      <c r="AG7980" s="536"/>
    </row>
    <row r="7981" spans="33:33">
      <c r="AG7981" s="536"/>
    </row>
    <row r="7982" spans="33:33">
      <c r="AG7982" s="536"/>
    </row>
    <row r="7983" spans="33:33">
      <c r="AG7983" s="536"/>
    </row>
    <row r="7984" spans="33:33">
      <c r="AG7984" s="536"/>
    </row>
    <row r="7985" spans="33:33">
      <c r="AG7985" s="536"/>
    </row>
    <row r="7986" spans="33:33">
      <c r="AG7986" s="536"/>
    </row>
    <row r="7987" spans="33:33">
      <c r="AG7987" s="536"/>
    </row>
    <row r="7988" spans="33:33">
      <c r="AG7988" s="536"/>
    </row>
    <row r="7989" spans="33:33">
      <c r="AG7989" s="536"/>
    </row>
    <row r="7990" spans="33:33">
      <c r="AG7990" s="536"/>
    </row>
    <row r="7991" spans="33:33">
      <c r="AG7991" s="536"/>
    </row>
    <row r="7992" spans="33:33">
      <c r="AG7992" s="536"/>
    </row>
    <row r="7993" spans="33:33">
      <c r="AG7993" s="536"/>
    </row>
    <row r="7994" spans="33:33">
      <c r="AG7994" s="536"/>
    </row>
    <row r="7995" spans="33:33">
      <c r="AG7995" s="536"/>
    </row>
    <row r="7996" spans="33:33">
      <c r="AG7996" s="536"/>
    </row>
    <row r="7997" spans="33:33">
      <c r="AG7997" s="536"/>
    </row>
    <row r="7998" spans="33:33">
      <c r="AG7998" s="536"/>
    </row>
    <row r="7999" spans="33:33">
      <c r="AG7999" s="536"/>
    </row>
    <row r="8000" spans="33:33">
      <c r="AG8000" s="536"/>
    </row>
    <row r="8001" spans="33:33">
      <c r="AG8001" s="536"/>
    </row>
    <row r="8002" spans="33:33">
      <c r="AG8002" s="536"/>
    </row>
    <row r="8003" spans="33:33">
      <c r="AG8003" s="536"/>
    </row>
    <row r="8004" spans="33:33">
      <c r="AG8004" s="536"/>
    </row>
    <row r="8005" spans="33:33">
      <c r="AG8005" s="536"/>
    </row>
    <row r="8006" spans="33:33">
      <c r="AG8006" s="536"/>
    </row>
    <row r="8007" spans="33:33">
      <c r="AG8007" s="536"/>
    </row>
    <row r="8008" spans="33:33">
      <c r="AG8008" s="536"/>
    </row>
    <row r="8009" spans="33:33">
      <c r="AG8009" s="536"/>
    </row>
    <row r="8010" spans="33:33">
      <c r="AG8010" s="536"/>
    </row>
    <row r="8011" spans="33:33">
      <c r="AG8011" s="536"/>
    </row>
    <row r="8012" spans="33:33">
      <c r="AG8012" s="536"/>
    </row>
    <row r="8013" spans="33:33">
      <c r="AG8013" s="536"/>
    </row>
    <row r="8014" spans="33:33">
      <c r="AG8014" s="536"/>
    </row>
    <row r="8015" spans="33:33">
      <c r="AG8015" s="536"/>
    </row>
    <row r="8016" spans="33:33">
      <c r="AG8016" s="536"/>
    </row>
    <row r="8017" spans="33:33">
      <c r="AG8017" s="536"/>
    </row>
    <row r="8018" spans="33:33">
      <c r="AG8018" s="536"/>
    </row>
    <row r="8019" spans="33:33">
      <c r="AG8019" s="536"/>
    </row>
    <row r="8020" spans="33:33">
      <c r="AG8020" s="536"/>
    </row>
    <row r="8021" spans="33:33">
      <c r="AG8021" s="536"/>
    </row>
    <row r="8022" spans="33:33">
      <c r="AG8022" s="536"/>
    </row>
    <row r="8023" spans="33:33">
      <c r="AG8023" s="536"/>
    </row>
    <row r="8024" spans="33:33">
      <c r="AG8024" s="536"/>
    </row>
    <row r="8025" spans="33:33">
      <c r="AG8025" s="536"/>
    </row>
    <row r="8026" spans="33:33">
      <c r="AG8026" s="536"/>
    </row>
    <row r="8027" spans="33:33">
      <c r="AG8027" s="536"/>
    </row>
    <row r="8028" spans="33:33">
      <c r="AG8028" s="536"/>
    </row>
    <row r="8029" spans="33:33">
      <c r="AG8029" s="536"/>
    </row>
    <row r="8030" spans="33:33">
      <c r="AG8030" s="536"/>
    </row>
    <row r="8031" spans="33:33">
      <c r="AG8031" s="536"/>
    </row>
    <row r="8032" spans="33:33">
      <c r="AG8032" s="536"/>
    </row>
    <row r="8033" spans="33:33">
      <c r="AG8033" s="536"/>
    </row>
    <row r="8034" spans="33:33">
      <c r="AG8034" s="536"/>
    </row>
    <row r="8035" spans="33:33">
      <c r="AG8035" s="536"/>
    </row>
    <row r="8036" spans="33:33">
      <c r="AG8036" s="536"/>
    </row>
    <row r="8037" spans="33:33">
      <c r="AG8037" s="536"/>
    </row>
    <row r="8038" spans="33:33">
      <c r="AG8038" s="536"/>
    </row>
    <row r="8039" spans="33:33">
      <c r="AG8039" s="536"/>
    </row>
    <row r="8040" spans="33:33">
      <c r="AG8040" s="536"/>
    </row>
    <row r="8041" spans="33:33">
      <c r="AG8041" s="536"/>
    </row>
    <row r="8042" spans="33:33">
      <c r="AG8042" s="536"/>
    </row>
    <row r="8043" spans="33:33">
      <c r="AG8043" s="536"/>
    </row>
    <row r="8044" spans="33:33">
      <c r="AG8044" s="536"/>
    </row>
    <row r="8045" spans="33:33">
      <c r="AG8045" s="536"/>
    </row>
    <row r="8046" spans="33:33">
      <c r="AG8046" s="536"/>
    </row>
    <row r="8047" spans="33:33">
      <c r="AG8047" s="536"/>
    </row>
    <row r="8048" spans="33:33">
      <c r="AG8048" s="536"/>
    </row>
    <row r="8049" spans="33:33">
      <c r="AG8049" s="536"/>
    </row>
    <row r="8050" spans="33:33">
      <c r="AG8050" s="536"/>
    </row>
    <row r="8051" spans="33:33">
      <c r="AG8051" s="536"/>
    </row>
    <row r="8052" spans="33:33">
      <c r="AG8052" s="536"/>
    </row>
    <row r="8053" spans="33:33">
      <c r="AG8053" s="536"/>
    </row>
    <row r="8054" spans="33:33">
      <c r="AG8054" s="536"/>
    </row>
    <row r="8055" spans="33:33">
      <c r="AG8055" s="536"/>
    </row>
    <row r="8056" spans="33:33">
      <c r="AG8056" s="536"/>
    </row>
    <row r="8057" spans="33:33">
      <c r="AG8057" s="536"/>
    </row>
    <row r="8058" spans="33:33">
      <c r="AG8058" s="536"/>
    </row>
    <row r="8059" spans="33:33">
      <c r="AG8059" s="536"/>
    </row>
    <row r="8060" spans="33:33">
      <c r="AG8060" s="536"/>
    </row>
    <row r="8061" spans="33:33">
      <c r="AG8061" s="536"/>
    </row>
    <row r="8062" spans="33:33">
      <c r="AG8062" s="536"/>
    </row>
    <row r="8063" spans="33:33">
      <c r="AG8063" s="536"/>
    </row>
    <row r="8064" spans="33:33">
      <c r="AG8064" s="536"/>
    </row>
    <row r="8065" spans="33:33">
      <c r="AG8065" s="536"/>
    </row>
    <row r="8066" spans="33:33">
      <c r="AG8066" s="536"/>
    </row>
    <row r="8067" spans="33:33">
      <c r="AG8067" s="536"/>
    </row>
    <row r="8068" spans="33:33">
      <c r="AG8068" s="536"/>
    </row>
    <row r="8069" spans="33:33">
      <c r="AG8069" s="536"/>
    </row>
    <row r="8070" spans="33:33">
      <c r="AG8070" s="536"/>
    </row>
    <row r="8071" spans="33:33">
      <c r="AG8071" s="536"/>
    </row>
    <row r="8072" spans="33:33">
      <c r="AG8072" s="536"/>
    </row>
    <row r="8073" spans="33:33">
      <c r="AG8073" s="536"/>
    </row>
    <row r="8074" spans="33:33">
      <c r="AG8074" s="536"/>
    </row>
    <row r="8075" spans="33:33">
      <c r="AG8075" s="536"/>
    </row>
    <row r="8076" spans="33:33">
      <c r="AG8076" s="536"/>
    </row>
    <row r="8077" spans="33:33">
      <c r="AG8077" s="536"/>
    </row>
    <row r="8078" spans="33:33">
      <c r="AG8078" s="536"/>
    </row>
    <row r="8079" spans="33:33">
      <c r="AG8079" s="536"/>
    </row>
    <row r="8080" spans="33:33">
      <c r="AG8080" s="536"/>
    </row>
    <row r="8081" spans="33:33">
      <c r="AG8081" s="536"/>
    </row>
    <row r="8082" spans="33:33">
      <c r="AG8082" s="536"/>
    </row>
    <row r="8083" spans="33:33">
      <c r="AG8083" s="536"/>
    </row>
    <row r="8084" spans="33:33">
      <c r="AG8084" s="536"/>
    </row>
    <row r="8085" spans="33:33">
      <c r="AG8085" s="536"/>
    </row>
    <row r="8086" spans="33:33">
      <c r="AG8086" s="536"/>
    </row>
    <row r="8087" spans="33:33">
      <c r="AG8087" s="536"/>
    </row>
    <row r="8088" spans="33:33">
      <c r="AG8088" s="536"/>
    </row>
    <row r="8089" spans="33:33">
      <c r="AG8089" s="536"/>
    </row>
    <row r="8090" spans="33:33">
      <c r="AG8090" s="536"/>
    </row>
    <row r="8091" spans="33:33">
      <c r="AG8091" s="536"/>
    </row>
    <row r="8092" spans="33:33">
      <c r="AG8092" s="536"/>
    </row>
    <row r="8093" spans="33:33">
      <c r="AG8093" s="536"/>
    </row>
    <row r="8094" spans="33:33">
      <c r="AG8094" s="536"/>
    </row>
    <row r="8095" spans="33:33">
      <c r="AG8095" s="536"/>
    </row>
    <row r="8096" spans="33:33">
      <c r="AG8096" s="536"/>
    </row>
    <row r="8097" spans="33:33">
      <c r="AG8097" s="536"/>
    </row>
    <row r="8098" spans="33:33">
      <c r="AG8098" s="536"/>
    </row>
    <row r="8099" spans="33:33">
      <c r="AG8099" s="536"/>
    </row>
    <row r="8100" spans="33:33">
      <c r="AG8100" s="536"/>
    </row>
    <row r="8101" spans="33:33">
      <c r="AG8101" s="536"/>
    </row>
    <row r="8102" spans="33:33">
      <c r="AG8102" s="536"/>
    </row>
    <row r="8103" spans="33:33">
      <c r="AG8103" s="536"/>
    </row>
    <row r="8104" spans="33:33">
      <c r="AG8104" s="536"/>
    </row>
    <row r="8105" spans="33:33">
      <c r="AG8105" s="536"/>
    </row>
    <row r="8106" spans="33:33">
      <c r="AG8106" s="536"/>
    </row>
    <row r="8107" spans="33:33">
      <c r="AG8107" s="536"/>
    </row>
    <row r="8108" spans="33:33">
      <c r="AG8108" s="536"/>
    </row>
    <row r="8109" spans="33:33">
      <c r="AG8109" s="536"/>
    </row>
    <row r="8110" spans="33:33">
      <c r="AG8110" s="536"/>
    </row>
    <row r="8111" spans="33:33">
      <c r="AG8111" s="536"/>
    </row>
    <row r="8112" spans="33:33">
      <c r="AG8112" s="536"/>
    </row>
    <row r="8113" spans="33:33">
      <c r="AG8113" s="536"/>
    </row>
    <row r="8114" spans="33:33">
      <c r="AG8114" s="536"/>
    </row>
    <row r="8115" spans="33:33">
      <c r="AG8115" s="536"/>
    </row>
    <row r="8116" spans="33:33">
      <c r="AG8116" s="536"/>
    </row>
    <row r="8117" spans="33:33">
      <c r="AG8117" s="536"/>
    </row>
    <row r="8118" spans="33:33">
      <c r="AG8118" s="536"/>
    </row>
    <row r="8119" spans="33:33">
      <c r="AG8119" s="536"/>
    </row>
    <row r="8120" spans="33:33">
      <c r="AG8120" s="536"/>
    </row>
    <row r="8121" spans="33:33">
      <c r="AG8121" s="536"/>
    </row>
    <row r="8122" spans="33:33">
      <c r="AG8122" s="536"/>
    </row>
    <row r="8123" spans="33:33">
      <c r="AG8123" s="536"/>
    </row>
    <row r="8124" spans="33:33">
      <c r="AG8124" s="536"/>
    </row>
    <row r="8125" spans="33:33">
      <c r="AG8125" s="536"/>
    </row>
    <row r="8126" spans="33:33">
      <c r="AG8126" s="536"/>
    </row>
    <row r="8127" spans="33:33">
      <c r="AG8127" s="536"/>
    </row>
    <row r="8128" spans="33:33">
      <c r="AG8128" s="536"/>
    </row>
    <row r="8129" spans="33:33">
      <c r="AG8129" s="536"/>
    </row>
    <row r="8130" spans="33:33">
      <c r="AG8130" s="536"/>
    </row>
    <row r="8131" spans="33:33">
      <c r="AG8131" s="536"/>
    </row>
    <row r="8132" spans="33:33">
      <c r="AG8132" s="536"/>
    </row>
    <row r="8133" spans="33:33">
      <c r="AG8133" s="536"/>
    </row>
    <row r="8134" spans="33:33">
      <c r="AG8134" s="536"/>
    </row>
    <row r="8135" spans="33:33">
      <c r="AG8135" s="536"/>
    </row>
    <row r="8136" spans="33:33">
      <c r="AG8136" s="536"/>
    </row>
    <row r="8137" spans="33:33">
      <c r="AG8137" s="536"/>
    </row>
    <row r="8138" spans="33:33">
      <c r="AG8138" s="536"/>
    </row>
    <row r="8139" spans="33:33">
      <c r="AG8139" s="536"/>
    </row>
    <row r="8140" spans="33:33">
      <c r="AG8140" s="536"/>
    </row>
    <row r="8141" spans="33:33">
      <c r="AG8141" s="536"/>
    </row>
    <row r="8142" spans="33:33">
      <c r="AG8142" s="536"/>
    </row>
    <row r="8143" spans="33:33">
      <c r="AG8143" s="536"/>
    </row>
    <row r="8144" spans="33:33">
      <c r="AG8144" s="536"/>
    </row>
    <row r="8145" spans="33:33">
      <c r="AG8145" s="536"/>
    </row>
    <row r="8146" spans="33:33">
      <c r="AG8146" s="536"/>
    </row>
    <row r="8147" spans="33:33">
      <c r="AG8147" s="536"/>
    </row>
    <row r="8148" spans="33:33">
      <c r="AG8148" s="536"/>
    </row>
    <row r="8149" spans="33:33">
      <c r="AG8149" s="536"/>
    </row>
    <row r="8150" spans="33:33">
      <c r="AG8150" s="536"/>
    </row>
    <row r="8151" spans="33:33">
      <c r="AG8151" s="536"/>
    </row>
    <row r="8152" spans="33:33">
      <c r="AG8152" s="536"/>
    </row>
    <row r="8153" spans="33:33">
      <c r="AG8153" s="536"/>
    </row>
    <row r="8154" spans="33:33">
      <c r="AG8154" s="536"/>
    </row>
    <row r="8155" spans="33:33">
      <c r="AG8155" s="536"/>
    </row>
    <row r="8156" spans="33:33">
      <c r="AG8156" s="536"/>
    </row>
    <row r="8157" spans="33:33">
      <c r="AG8157" s="536"/>
    </row>
    <row r="8158" spans="33:33">
      <c r="AG8158" s="536"/>
    </row>
    <row r="8159" spans="33:33">
      <c r="AG8159" s="536"/>
    </row>
    <row r="8160" spans="33:33">
      <c r="AG8160" s="536"/>
    </row>
    <row r="8161" spans="33:33">
      <c r="AG8161" s="536"/>
    </row>
    <row r="8162" spans="33:33">
      <c r="AG8162" s="536"/>
    </row>
    <row r="8163" spans="33:33">
      <c r="AG8163" s="536"/>
    </row>
    <row r="8164" spans="33:33">
      <c r="AG8164" s="536"/>
    </row>
    <row r="8165" spans="33:33">
      <c r="AG8165" s="536"/>
    </row>
    <row r="8166" spans="33:33">
      <c r="AG8166" s="536"/>
    </row>
    <row r="8167" spans="33:33">
      <c r="AG8167" s="536"/>
    </row>
    <row r="8168" spans="33:33">
      <c r="AG8168" s="536"/>
    </row>
    <row r="8169" spans="33:33">
      <c r="AG8169" s="536"/>
    </row>
    <row r="8170" spans="33:33">
      <c r="AG8170" s="536"/>
    </row>
    <row r="8171" spans="33:33">
      <c r="AG8171" s="536"/>
    </row>
    <row r="8172" spans="33:33">
      <c r="AG8172" s="536"/>
    </row>
    <row r="8173" spans="33:33">
      <c r="AG8173" s="536"/>
    </row>
    <row r="8174" spans="33:33">
      <c r="AG8174" s="536"/>
    </row>
    <row r="8175" spans="33:33">
      <c r="AG8175" s="536"/>
    </row>
    <row r="8176" spans="33:33">
      <c r="AG8176" s="536"/>
    </row>
    <row r="8177" spans="33:33">
      <c r="AG8177" s="536"/>
    </row>
    <row r="8178" spans="33:33">
      <c r="AG8178" s="536"/>
    </row>
    <row r="8179" spans="33:33">
      <c r="AG8179" s="536"/>
    </row>
    <row r="8180" spans="33:33">
      <c r="AG8180" s="536"/>
    </row>
    <row r="8181" spans="33:33">
      <c r="AG8181" s="536"/>
    </row>
    <row r="8182" spans="33:33">
      <c r="AG8182" s="536"/>
    </row>
    <row r="8183" spans="33:33">
      <c r="AG8183" s="536"/>
    </row>
    <row r="8184" spans="33:33">
      <c r="AG8184" s="536"/>
    </row>
    <row r="8185" spans="33:33">
      <c r="AG8185" s="536"/>
    </row>
    <row r="8186" spans="33:33">
      <c r="AG8186" s="536"/>
    </row>
    <row r="8187" spans="33:33">
      <c r="AG8187" s="536"/>
    </row>
    <row r="8188" spans="33:33">
      <c r="AG8188" s="536"/>
    </row>
    <row r="8189" spans="33:33">
      <c r="AG8189" s="536"/>
    </row>
    <row r="8190" spans="33:33">
      <c r="AG8190" s="536"/>
    </row>
    <row r="8191" spans="33:33">
      <c r="AG8191" s="536"/>
    </row>
    <row r="8192" spans="33:33">
      <c r="AG8192" s="536"/>
    </row>
    <row r="8193" spans="33:33">
      <c r="AG8193" s="536"/>
    </row>
    <row r="8194" spans="33:33">
      <c r="AG8194" s="536"/>
    </row>
    <row r="8195" spans="33:33">
      <c r="AG8195" s="536"/>
    </row>
    <row r="8196" spans="33:33">
      <c r="AG8196" s="536"/>
    </row>
    <row r="8197" spans="33:33">
      <c r="AG8197" s="536"/>
    </row>
    <row r="8198" spans="33:33">
      <c r="AG8198" s="536"/>
    </row>
    <row r="8199" spans="33:33">
      <c r="AG8199" s="536"/>
    </row>
    <row r="8200" spans="33:33">
      <c r="AG8200" s="536"/>
    </row>
    <row r="8201" spans="33:33">
      <c r="AG8201" s="536"/>
    </row>
    <row r="8202" spans="33:33">
      <c r="AG8202" s="536"/>
    </row>
    <row r="8203" spans="33:33">
      <c r="AG8203" s="536"/>
    </row>
    <row r="8204" spans="33:33">
      <c r="AG8204" s="536"/>
    </row>
    <row r="8205" spans="33:33">
      <c r="AG8205" s="536"/>
    </row>
    <row r="8206" spans="33:33">
      <c r="AG8206" s="536"/>
    </row>
    <row r="8207" spans="33:33">
      <c r="AG8207" s="536"/>
    </row>
    <row r="8208" spans="33:33">
      <c r="AG8208" s="536"/>
    </row>
    <row r="8209" spans="33:33">
      <c r="AG8209" s="536"/>
    </row>
    <row r="8210" spans="33:33">
      <c r="AG8210" s="536"/>
    </row>
    <row r="8211" spans="33:33">
      <c r="AG8211" s="536"/>
    </row>
    <row r="8212" spans="33:33">
      <c r="AG8212" s="536"/>
    </row>
    <row r="8213" spans="33:33">
      <c r="AG8213" s="536"/>
    </row>
    <row r="8214" spans="33:33">
      <c r="AG8214" s="536"/>
    </row>
    <row r="8215" spans="33:33">
      <c r="AG8215" s="536"/>
    </row>
    <row r="8216" spans="33:33">
      <c r="AG8216" s="536"/>
    </row>
    <row r="8217" spans="33:33">
      <c r="AG8217" s="536"/>
    </row>
    <row r="8218" spans="33:33">
      <c r="AG8218" s="536"/>
    </row>
    <row r="8219" spans="33:33">
      <c r="AG8219" s="536"/>
    </row>
    <row r="8220" spans="33:33">
      <c r="AG8220" s="536"/>
    </row>
    <row r="8221" spans="33:33">
      <c r="AG8221" s="536"/>
    </row>
    <row r="8222" spans="33:33">
      <c r="AG8222" s="536"/>
    </row>
    <row r="8223" spans="33:33">
      <c r="AG8223" s="536"/>
    </row>
    <row r="8224" spans="33:33">
      <c r="AG8224" s="536"/>
    </row>
    <row r="8225" spans="33:33">
      <c r="AG8225" s="536"/>
    </row>
    <row r="8226" spans="33:33">
      <c r="AG8226" s="536"/>
    </row>
    <row r="8227" spans="33:33">
      <c r="AG8227" s="536"/>
    </row>
    <row r="8228" spans="33:33">
      <c r="AG8228" s="536"/>
    </row>
    <row r="8229" spans="33:33">
      <c r="AG8229" s="536"/>
    </row>
    <row r="8230" spans="33:33">
      <c r="AG8230" s="536"/>
    </row>
    <row r="8231" spans="33:33">
      <c r="AG8231" s="536"/>
    </row>
    <row r="8232" spans="33:33">
      <c r="AG8232" s="536"/>
    </row>
    <row r="8233" spans="33:33">
      <c r="AG8233" s="536"/>
    </row>
    <row r="8234" spans="33:33">
      <c r="AG8234" s="536"/>
    </row>
    <row r="8235" spans="33:33">
      <c r="AG8235" s="536"/>
    </row>
    <row r="8236" spans="33:33">
      <c r="AG8236" s="536"/>
    </row>
    <row r="8237" spans="33:33">
      <c r="AG8237" s="536"/>
    </row>
    <row r="8238" spans="33:33">
      <c r="AG8238" s="536"/>
    </row>
    <row r="8239" spans="33:33">
      <c r="AG8239" s="536"/>
    </row>
    <row r="8240" spans="33:33">
      <c r="AG8240" s="536"/>
    </row>
    <row r="8241" spans="33:33">
      <c r="AG8241" s="536"/>
    </row>
    <row r="8242" spans="33:33">
      <c r="AG8242" s="536"/>
    </row>
    <row r="8243" spans="33:33">
      <c r="AG8243" s="536"/>
    </row>
    <row r="8244" spans="33:33">
      <c r="AG8244" s="536"/>
    </row>
    <row r="8245" spans="33:33">
      <c r="AG8245" s="536"/>
    </row>
    <row r="8246" spans="33:33">
      <c r="AG8246" s="536"/>
    </row>
    <row r="8247" spans="33:33">
      <c r="AG8247" s="536"/>
    </row>
    <row r="8248" spans="33:33">
      <c r="AG8248" s="536"/>
    </row>
    <row r="8249" spans="33:33">
      <c r="AG8249" s="536"/>
    </row>
    <row r="8250" spans="33:33">
      <c r="AG8250" s="536"/>
    </row>
    <row r="8251" spans="33:33">
      <c r="AG8251" s="536"/>
    </row>
    <row r="8252" spans="33:33">
      <c r="AG8252" s="536"/>
    </row>
    <row r="8253" spans="33:33">
      <c r="AG8253" s="536"/>
    </row>
    <row r="8254" spans="33:33">
      <c r="AG8254" s="536"/>
    </row>
    <row r="8255" spans="33:33">
      <c r="AG8255" s="536"/>
    </row>
    <row r="8256" spans="33:33">
      <c r="AG8256" s="536"/>
    </row>
    <row r="8257" spans="33:33">
      <c r="AG8257" s="536"/>
    </row>
    <row r="8258" spans="33:33">
      <c r="AG8258" s="536"/>
    </row>
    <row r="8259" spans="33:33">
      <c r="AG8259" s="536"/>
    </row>
    <row r="8260" spans="33:33">
      <c r="AG8260" s="536"/>
    </row>
    <row r="8261" spans="33:33">
      <c r="AG8261" s="536"/>
    </row>
    <row r="8262" spans="33:33">
      <c r="AG8262" s="536"/>
    </row>
    <row r="8263" spans="33:33">
      <c r="AG8263" s="536"/>
    </row>
    <row r="8264" spans="33:33">
      <c r="AG8264" s="536"/>
    </row>
    <row r="8265" spans="33:33">
      <c r="AG8265" s="536"/>
    </row>
    <row r="8266" spans="33:33">
      <c r="AG8266" s="536"/>
    </row>
    <row r="8267" spans="33:33">
      <c r="AG8267" s="536"/>
    </row>
    <row r="8268" spans="33:33">
      <c r="AG8268" s="536"/>
    </row>
    <row r="8269" spans="33:33">
      <c r="AG8269" s="536"/>
    </row>
    <row r="8270" spans="33:33">
      <c r="AG8270" s="536"/>
    </row>
    <row r="8271" spans="33:33">
      <c r="AG8271" s="536"/>
    </row>
    <row r="8272" spans="33:33">
      <c r="AG8272" s="536"/>
    </row>
    <row r="8273" spans="33:33">
      <c r="AG8273" s="536"/>
    </row>
    <row r="8274" spans="33:33">
      <c r="AG8274" s="536"/>
    </row>
    <row r="8275" spans="33:33">
      <c r="AG8275" s="536"/>
    </row>
    <row r="8276" spans="33:33">
      <c r="AG8276" s="536"/>
    </row>
    <row r="8277" spans="33:33">
      <c r="AG8277" s="536"/>
    </row>
    <row r="8278" spans="33:33">
      <c r="AG8278" s="536"/>
    </row>
    <row r="8279" spans="33:33">
      <c r="AG8279" s="536"/>
    </row>
    <row r="8280" spans="33:33">
      <c r="AG8280" s="536"/>
    </row>
    <row r="8281" spans="33:33">
      <c r="AG8281" s="536"/>
    </row>
    <row r="8282" spans="33:33">
      <c r="AG8282" s="536"/>
    </row>
    <row r="8283" spans="33:33">
      <c r="AG8283" s="536"/>
    </row>
    <row r="8284" spans="33:33">
      <c r="AG8284" s="536"/>
    </row>
    <row r="8285" spans="33:33">
      <c r="AG8285" s="536"/>
    </row>
    <row r="8286" spans="33:33">
      <c r="AG8286" s="536"/>
    </row>
    <row r="8287" spans="33:33">
      <c r="AG8287" s="536"/>
    </row>
    <row r="8288" spans="33:33">
      <c r="AG8288" s="536"/>
    </row>
    <row r="8289" spans="33:33">
      <c r="AG8289" s="536"/>
    </row>
    <row r="8290" spans="33:33">
      <c r="AG8290" s="536"/>
    </row>
    <row r="8291" spans="33:33">
      <c r="AG8291" s="536"/>
    </row>
    <row r="8292" spans="33:33">
      <c r="AG8292" s="536"/>
    </row>
    <row r="8293" spans="33:33">
      <c r="AG8293" s="536"/>
    </row>
    <row r="8294" spans="33:33">
      <c r="AG8294" s="536"/>
    </row>
    <row r="8295" spans="33:33">
      <c r="AG8295" s="536"/>
    </row>
    <row r="8296" spans="33:33">
      <c r="AG8296" s="536"/>
    </row>
    <row r="8297" spans="33:33">
      <c r="AG8297" s="536"/>
    </row>
    <row r="8298" spans="33:33">
      <c r="AG8298" s="536"/>
    </row>
    <row r="8299" spans="33:33">
      <c r="AG8299" s="536"/>
    </row>
    <row r="8300" spans="33:33">
      <c r="AG8300" s="536"/>
    </row>
    <row r="8301" spans="33:33">
      <c r="AG8301" s="536"/>
    </row>
    <row r="8302" spans="33:33">
      <c r="AG8302" s="536"/>
    </row>
    <row r="8303" spans="33:33">
      <c r="AG8303" s="536"/>
    </row>
    <row r="8304" spans="33:33">
      <c r="AG8304" s="536"/>
    </row>
    <row r="8305" spans="33:33">
      <c r="AG8305" s="536"/>
    </row>
    <row r="8306" spans="33:33">
      <c r="AG8306" s="536"/>
    </row>
    <row r="8307" spans="33:33">
      <c r="AG8307" s="536"/>
    </row>
    <row r="8308" spans="33:33">
      <c r="AG8308" s="536"/>
    </row>
    <row r="8309" spans="33:33">
      <c r="AG8309" s="536"/>
    </row>
    <row r="8310" spans="33:33">
      <c r="AG8310" s="536"/>
    </row>
    <row r="8311" spans="33:33">
      <c r="AG8311" s="536"/>
    </row>
    <row r="8312" spans="33:33">
      <c r="AG8312" s="536"/>
    </row>
    <row r="8313" spans="33:33">
      <c r="AG8313" s="536"/>
    </row>
    <row r="8314" spans="33:33">
      <c r="AG8314" s="536"/>
    </row>
    <row r="8315" spans="33:33">
      <c r="AG8315" s="536"/>
    </row>
    <row r="8316" spans="33:33">
      <c r="AG8316" s="536"/>
    </row>
    <row r="8317" spans="33:33">
      <c r="AG8317" s="536"/>
    </row>
    <row r="8318" spans="33:33">
      <c r="AG8318" s="536"/>
    </row>
    <row r="8319" spans="33:33">
      <c r="AG8319" s="536"/>
    </row>
    <row r="8320" spans="33:33">
      <c r="AG8320" s="536"/>
    </row>
    <row r="8321" spans="33:33">
      <c r="AG8321" s="536"/>
    </row>
    <row r="8322" spans="33:33">
      <c r="AG8322" s="536"/>
    </row>
    <row r="8323" spans="33:33">
      <c r="AG8323" s="536"/>
    </row>
    <row r="8324" spans="33:33">
      <c r="AG8324" s="536"/>
    </row>
    <row r="8325" spans="33:33">
      <c r="AG8325" s="536"/>
    </row>
    <row r="8326" spans="33:33">
      <c r="AG8326" s="536"/>
    </row>
    <row r="8327" spans="33:33">
      <c r="AG8327" s="536"/>
    </row>
    <row r="8328" spans="33:33">
      <c r="AG8328" s="536"/>
    </row>
    <row r="8329" spans="33:33">
      <c r="AG8329" s="536"/>
    </row>
    <row r="8330" spans="33:33">
      <c r="AG8330" s="536"/>
    </row>
    <row r="8331" spans="33:33">
      <c r="AG8331" s="536"/>
    </row>
    <row r="8332" spans="33:33">
      <c r="AG8332" s="536"/>
    </row>
    <row r="8333" spans="33:33">
      <c r="AG8333" s="536"/>
    </row>
    <row r="8334" spans="33:33">
      <c r="AG8334" s="536"/>
    </row>
    <row r="8335" spans="33:33">
      <c r="AG8335" s="536"/>
    </row>
    <row r="8336" spans="33:33">
      <c r="AG8336" s="536"/>
    </row>
    <row r="8337" spans="33:33">
      <c r="AG8337" s="536"/>
    </row>
    <row r="8338" spans="33:33">
      <c r="AG8338" s="536"/>
    </row>
    <row r="8339" spans="33:33">
      <c r="AG8339" s="536"/>
    </row>
    <row r="8340" spans="33:33">
      <c r="AG8340" s="536"/>
    </row>
    <row r="8341" spans="33:33">
      <c r="AG8341" s="536"/>
    </row>
    <row r="8342" spans="33:33">
      <c r="AG8342" s="536"/>
    </row>
    <row r="8343" spans="33:33">
      <c r="AG8343" s="536"/>
    </row>
    <row r="8344" spans="33:33">
      <c r="AG8344" s="536"/>
    </row>
    <row r="8345" spans="33:33">
      <c r="AG8345" s="536"/>
    </row>
    <row r="8346" spans="33:33">
      <c r="AG8346" s="536"/>
    </row>
    <row r="8347" spans="33:33">
      <c r="AG8347" s="536"/>
    </row>
    <row r="8348" spans="33:33">
      <c r="AG8348" s="536"/>
    </row>
    <row r="8349" spans="33:33">
      <c r="AG8349" s="536"/>
    </row>
    <row r="8350" spans="33:33">
      <c r="AG8350" s="536"/>
    </row>
    <row r="8351" spans="33:33">
      <c r="AG8351" s="536"/>
    </row>
    <row r="8352" spans="33:33">
      <c r="AG8352" s="536"/>
    </row>
    <row r="8353" spans="33:33">
      <c r="AG8353" s="536"/>
    </row>
    <row r="8354" spans="33:33">
      <c r="AG8354" s="536"/>
    </row>
    <row r="8355" spans="33:33">
      <c r="AG8355" s="536"/>
    </row>
    <row r="8356" spans="33:33">
      <c r="AG8356" s="536"/>
    </row>
    <row r="8357" spans="33:33">
      <c r="AG8357" s="536"/>
    </row>
    <row r="8358" spans="33:33">
      <c r="AG8358" s="536"/>
    </row>
    <row r="8359" spans="33:33">
      <c r="AG8359" s="536"/>
    </row>
    <row r="8360" spans="33:33">
      <c r="AG8360" s="536"/>
    </row>
    <row r="8361" spans="33:33">
      <c r="AG8361" s="536"/>
    </row>
    <row r="8362" spans="33:33">
      <c r="AG8362" s="536"/>
    </row>
    <row r="8363" spans="33:33">
      <c r="AG8363" s="536"/>
    </row>
    <row r="8364" spans="33:33">
      <c r="AG8364" s="536"/>
    </row>
    <row r="8365" spans="33:33">
      <c r="AG8365" s="536"/>
    </row>
    <row r="8366" spans="33:33">
      <c r="AG8366" s="536"/>
    </row>
    <row r="8367" spans="33:33">
      <c r="AG8367" s="536"/>
    </row>
    <row r="8368" spans="33:33">
      <c r="AG8368" s="536"/>
    </row>
    <row r="8369" spans="33:33">
      <c r="AG8369" s="536"/>
    </row>
    <row r="8370" spans="33:33">
      <c r="AG8370" s="536"/>
    </row>
    <row r="8371" spans="33:33">
      <c r="AG8371" s="536"/>
    </row>
    <row r="8372" spans="33:33">
      <c r="AG8372" s="536"/>
    </row>
    <row r="8373" spans="33:33">
      <c r="AG8373" s="536"/>
    </row>
    <row r="8374" spans="33:33">
      <c r="AG8374" s="536"/>
    </row>
    <row r="8375" spans="33:33">
      <c r="AG8375" s="536"/>
    </row>
    <row r="8376" spans="33:33">
      <c r="AG8376" s="536"/>
    </row>
    <row r="8377" spans="33:33">
      <c r="AG8377" s="536"/>
    </row>
    <row r="8378" spans="33:33">
      <c r="AG8378" s="536"/>
    </row>
    <row r="8379" spans="33:33">
      <c r="AG8379" s="536"/>
    </row>
    <row r="8380" spans="33:33">
      <c r="AG8380" s="536"/>
    </row>
    <row r="8381" spans="33:33">
      <c r="AG8381" s="536"/>
    </row>
    <row r="8382" spans="33:33">
      <c r="AG8382" s="536"/>
    </row>
    <row r="8383" spans="33:33">
      <c r="AG8383" s="536"/>
    </row>
    <row r="8384" spans="33:33">
      <c r="AG8384" s="536"/>
    </row>
    <row r="8385" spans="33:33">
      <c r="AG8385" s="536"/>
    </row>
    <row r="8386" spans="33:33">
      <c r="AG8386" s="536"/>
    </row>
    <row r="8387" spans="33:33">
      <c r="AG8387" s="536"/>
    </row>
    <row r="8388" spans="33:33">
      <c r="AG8388" s="536"/>
    </row>
    <row r="8389" spans="33:33">
      <c r="AG8389" s="536"/>
    </row>
    <row r="8390" spans="33:33">
      <c r="AG8390" s="536"/>
    </row>
    <row r="8391" spans="33:33">
      <c r="AG8391" s="536"/>
    </row>
    <row r="8392" spans="33:33">
      <c r="AG8392" s="536"/>
    </row>
    <row r="8393" spans="33:33">
      <c r="AG8393" s="536"/>
    </row>
    <row r="8394" spans="33:33">
      <c r="AG8394" s="536"/>
    </row>
    <row r="8395" spans="33:33">
      <c r="AG8395" s="536"/>
    </row>
    <row r="8396" spans="33:33">
      <c r="AG8396" s="536"/>
    </row>
    <row r="8397" spans="33:33">
      <c r="AG8397" s="536"/>
    </row>
    <row r="8398" spans="33:33">
      <c r="AG8398" s="536"/>
    </row>
    <row r="8399" spans="33:33">
      <c r="AG8399" s="536"/>
    </row>
    <row r="8400" spans="33:33">
      <c r="AG8400" s="536"/>
    </row>
    <row r="8401" spans="33:33">
      <c r="AG8401" s="536"/>
    </row>
    <row r="8402" spans="33:33">
      <c r="AG8402" s="536"/>
    </row>
    <row r="8403" spans="33:33">
      <c r="AG8403" s="536"/>
    </row>
    <row r="8404" spans="33:33">
      <c r="AG8404" s="536"/>
    </row>
    <row r="8405" spans="33:33">
      <c r="AG8405" s="536"/>
    </row>
    <row r="8406" spans="33:33">
      <c r="AG8406" s="536"/>
    </row>
    <row r="8407" spans="33:33">
      <c r="AG8407" s="536"/>
    </row>
    <row r="8408" spans="33:33">
      <c r="AG8408" s="536"/>
    </row>
    <row r="8409" spans="33:33">
      <c r="AG8409" s="536"/>
    </row>
    <row r="8410" spans="33:33">
      <c r="AG8410" s="536"/>
    </row>
    <row r="8411" spans="33:33">
      <c r="AG8411" s="536"/>
    </row>
    <row r="8412" spans="33:33">
      <c r="AG8412" s="536"/>
    </row>
    <row r="8413" spans="33:33">
      <c r="AG8413" s="536"/>
    </row>
    <row r="8414" spans="33:33">
      <c r="AG8414" s="536"/>
    </row>
    <row r="8415" spans="33:33">
      <c r="AG8415" s="536"/>
    </row>
    <row r="8416" spans="33:33">
      <c r="AG8416" s="536"/>
    </row>
    <row r="8417" spans="33:33">
      <c r="AG8417" s="536"/>
    </row>
    <row r="8418" spans="33:33">
      <c r="AG8418" s="536"/>
    </row>
    <row r="8419" spans="33:33">
      <c r="AG8419" s="536"/>
    </row>
    <row r="8420" spans="33:33">
      <c r="AG8420" s="536"/>
    </row>
    <row r="8421" spans="33:33">
      <c r="AG8421" s="536"/>
    </row>
    <row r="8422" spans="33:33">
      <c r="AG8422" s="536"/>
    </row>
    <row r="8423" spans="33:33">
      <c r="AG8423" s="536"/>
    </row>
    <row r="8424" spans="33:33">
      <c r="AG8424" s="536"/>
    </row>
    <row r="8425" spans="33:33">
      <c r="AG8425" s="536"/>
    </row>
    <row r="8426" spans="33:33">
      <c r="AG8426" s="536"/>
    </row>
    <row r="8427" spans="33:33">
      <c r="AG8427" s="536"/>
    </row>
    <row r="8428" spans="33:33">
      <c r="AG8428" s="536"/>
    </row>
    <row r="8429" spans="33:33">
      <c r="AG8429" s="536"/>
    </row>
    <row r="8430" spans="33:33">
      <c r="AG8430" s="536"/>
    </row>
    <row r="8431" spans="33:33">
      <c r="AG8431" s="536"/>
    </row>
    <row r="8432" spans="33:33">
      <c r="AG8432" s="536"/>
    </row>
    <row r="8433" spans="33:33">
      <c r="AG8433" s="536"/>
    </row>
    <row r="8434" spans="33:33">
      <c r="AG8434" s="536"/>
    </row>
    <row r="8435" spans="33:33">
      <c r="AG8435" s="536"/>
    </row>
    <row r="8436" spans="33:33">
      <c r="AG8436" s="536"/>
    </row>
    <row r="8437" spans="33:33">
      <c r="AG8437" s="536"/>
    </row>
    <row r="8438" spans="33:33">
      <c r="AG8438" s="536"/>
    </row>
    <row r="8439" spans="33:33">
      <c r="AG8439" s="536"/>
    </row>
    <row r="8440" spans="33:33">
      <c r="AG8440" s="536"/>
    </row>
    <row r="8441" spans="33:33">
      <c r="AG8441" s="536"/>
    </row>
    <row r="8442" spans="33:33">
      <c r="AG8442" s="536"/>
    </row>
    <row r="8443" spans="33:33">
      <c r="AG8443" s="536"/>
    </row>
    <row r="8444" spans="33:33">
      <c r="AG8444" s="536"/>
    </row>
    <row r="8445" spans="33:33">
      <c r="AG8445" s="536"/>
    </row>
    <row r="8446" spans="33:33">
      <c r="AG8446" s="536"/>
    </row>
    <row r="8447" spans="33:33">
      <c r="AG8447" s="536"/>
    </row>
    <row r="8448" spans="33:33">
      <c r="AG8448" s="536"/>
    </row>
    <row r="8449" spans="33:33">
      <c r="AG8449" s="536"/>
    </row>
    <row r="8450" spans="33:33">
      <c r="AG8450" s="536"/>
    </row>
    <row r="8451" spans="33:33">
      <c r="AG8451" s="536"/>
    </row>
    <row r="8452" spans="33:33">
      <c r="AG8452" s="536"/>
    </row>
    <row r="8453" spans="33:33">
      <c r="AG8453" s="536"/>
    </row>
    <row r="8454" spans="33:33">
      <c r="AG8454" s="536"/>
    </row>
    <row r="8455" spans="33:33">
      <c r="AG8455" s="536"/>
    </row>
    <row r="8456" spans="33:33">
      <c r="AG8456" s="536"/>
    </row>
    <row r="8457" spans="33:33">
      <c r="AG8457" s="536"/>
    </row>
    <row r="8458" spans="33:33">
      <c r="AG8458" s="536"/>
    </row>
    <row r="8459" spans="33:33">
      <c r="AG8459" s="536"/>
    </row>
    <row r="8460" spans="33:33">
      <c r="AG8460" s="536"/>
    </row>
    <row r="8461" spans="33:33">
      <c r="AG8461" s="536"/>
    </row>
    <row r="8462" spans="33:33">
      <c r="AG8462" s="536"/>
    </row>
    <row r="8463" spans="33:33">
      <c r="AG8463" s="536"/>
    </row>
    <row r="8464" spans="33:33">
      <c r="AG8464" s="536"/>
    </row>
    <row r="8465" spans="33:33">
      <c r="AG8465" s="536"/>
    </row>
    <row r="8466" spans="33:33">
      <c r="AG8466" s="536"/>
    </row>
    <row r="8467" spans="33:33">
      <c r="AG8467" s="536"/>
    </row>
    <row r="8468" spans="33:33">
      <c r="AG8468" s="536"/>
    </row>
    <row r="8469" spans="33:33">
      <c r="AG8469" s="536"/>
    </row>
    <row r="8470" spans="33:33">
      <c r="AG8470" s="536"/>
    </row>
    <row r="8471" spans="33:33">
      <c r="AG8471" s="536"/>
    </row>
    <row r="8472" spans="33:33">
      <c r="AG8472" s="536"/>
    </row>
    <row r="8473" spans="33:33">
      <c r="AG8473" s="536"/>
    </row>
    <row r="8474" spans="33:33">
      <c r="AG8474" s="536"/>
    </row>
    <row r="8475" spans="33:33">
      <c r="AG8475" s="536"/>
    </row>
    <row r="8476" spans="33:33">
      <c r="AG8476" s="536"/>
    </row>
    <row r="8477" spans="33:33">
      <c r="AG8477" s="536"/>
    </row>
    <row r="8478" spans="33:33">
      <c r="AG8478" s="536"/>
    </row>
    <row r="8479" spans="33:33">
      <c r="AG8479" s="536"/>
    </row>
    <row r="8480" spans="33:33">
      <c r="AG8480" s="536"/>
    </row>
    <row r="8481" spans="33:33">
      <c r="AG8481" s="536"/>
    </row>
    <row r="8482" spans="33:33">
      <c r="AG8482" s="536"/>
    </row>
    <row r="8483" spans="33:33">
      <c r="AG8483" s="536"/>
    </row>
    <row r="8484" spans="33:33">
      <c r="AG8484" s="536"/>
    </row>
    <row r="8485" spans="33:33">
      <c r="AG8485" s="536"/>
    </row>
    <row r="8486" spans="33:33">
      <c r="AG8486" s="536"/>
    </row>
    <row r="8487" spans="33:33">
      <c r="AG8487" s="536"/>
    </row>
    <row r="8488" spans="33:33">
      <c r="AG8488" s="536"/>
    </row>
    <row r="8489" spans="33:33">
      <c r="AG8489" s="536"/>
    </row>
    <row r="8490" spans="33:33">
      <c r="AG8490" s="536"/>
    </row>
    <row r="8491" spans="33:33">
      <c r="AG8491" s="536"/>
    </row>
    <row r="8492" spans="33:33">
      <c r="AG8492" s="536"/>
    </row>
    <row r="8493" spans="33:33">
      <c r="AG8493" s="536"/>
    </row>
    <row r="8494" spans="33:33">
      <c r="AG8494" s="536"/>
    </row>
    <row r="8495" spans="33:33">
      <c r="AG8495" s="536"/>
    </row>
    <row r="8496" spans="33:33">
      <c r="AG8496" s="536"/>
    </row>
    <row r="8497" spans="33:33">
      <c r="AG8497" s="536"/>
    </row>
    <row r="8498" spans="33:33">
      <c r="AG8498" s="536"/>
    </row>
    <row r="8499" spans="33:33">
      <c r="AG8499" s="536"/>
    </row>
    <row r="8500" spans="33:33">
      <c r="AG8500" s="536"/>
    </row>
    <row r="8501" spans="33:33">
      <c r="AG8501" s="536"/>
    </row>
    <row r="8502" spans="33:33">
      <c r="AG8502" s="536"/>
    </row>
    <row r="8503" spans="33:33">
      <c r="AG8503" s="536"/>
    </row>
    <row r="8504" spans="33:33">
      <c r="AG8504" s="536"/>
    </row>
    <row r="8505" spans="33:33">
      <c r="AG8505" s="536"/>
    </row>
    <row r="8506" spans="33:33">
      <c r="AG8506" s="536"/>
    </row>
    <row r="8507" spans="33:33">
      <c r="AG8507" s="536"/>
    </row>
    <row r="8508" spans="33:33">
      <c r="AG8508" s="536"/>
    </row>
    <row r="8509" spans="33:33">
      <c r="AG8509" s="536"/>
    </row>
    <row r="8510" spans="33:33">
      <c r="AG8510" s="536"/>
    </row>
    <row r="8511" spans="33:33">
      <c r="AG8511" s="536"/>
    </row>
    <row r="8512" spans="33:33">
      <c r="AG8512" s="536"/>
    </row>
    <row r="8513" spans="33:33">
      <c r="AG8513" s="536"/>
    </row>
    <row r="8514" spans="33:33">
      <c r="AG8514" s="536"/>
    </row>
    <row r="8515" spans="33:33">
      <c r="AG8515" s="536"/>
    </row>
    <row r="8516" spans="33:33">
      <c r="AG8516" s="536"/>
    </row>
    <row r="8517" spans="33:33">
      <c r="AG8517" s="536"/>
    </row>
    <row r="8518" spans="33:33">
      <c r="AG8518" s="536"/>
    </row>
    <row r="8519" spans="33:33">
      <c r="AG8519" s="536"/>
    </row>
    <row r="8520" spans="33:33">
      <c r="AG8520" s="536"/>
    </row>
    <row r="8521" spans="33:33">
      <c r="AG8521" s="536"/>
    </row>
    <row r="8522" spans="33:33">
      <c r="AG8522" s="536"/>
    </row>
    <row r="8523" spans="33:33">
      <c r="AG8523" s="536"/>
    </row>
    <row r="8524" spans="33:33">
      <c r="AG8524" s="536"/>
    </row>
    <row r="8525" spans="33:33">
      <c r="AG8525" s="536"/>
    </row>
    <row r="8526" spans="33:33">
      <c r="AG8526" s="536"/>
    </row>
    <row r="8527" spans="33:33">
      <c r="AG8527" s="536"/>
    </row>
    <row r="8528" spans="33:33">
      <c r="AG8528" s="536"/>
    </row>
    <row r="8529" spans="33:33">
      <c r="AG8529" s="536"/>
    </row>
    <row r="8530" spans="33:33">
      <c r="AG8530" s="536"/>
    </row>
    <row r="8531" spans="33:33">
      <c r="AG8531" s="536"/>
    </row>
    <row r="8532" spans="33:33">
      <c r="AG8532" s="536"/>
    </row>
    <row r="8533" spans="33:33">
      <c r="AG8533" s="536"/>
    </row>
    <row r="8534" spans="33:33">
      <c r="AG8534" s="536"/>
    </row>
    <row r="8535" spans="33:33">
      <c r="AG8535" s="536"/>
    </row>
    <row r="8536" spans="33:33">
      <c r="AG8536" s="536"/>
    </row>
    <row r="8537" spans="33:33">
      <c r="AG8537" s="536"/>
    </row>
    <row r="8538" spans="33:33">
      <c r="AG8538" s="536"/>
    </row>
    <row r="8539" spans="33:33">
      <c r="AG8539" s="536"/>
    </row>
    <row r="8540" spans="33:33">
      <c r="AG8540" s="536"/>
    </row>
    <row r="8541" spans="33:33">
      <c r="AG8541" s="536"/>
    </row>
    <row r="8542" spans="33:33">
      <c r="AG8542" s="536"/>
    </row>
    <row r="8543" spans="33:33">
      <c r="AG8543" s="536"/>
    </row>
    <row r="8544" spans="33:33">
      <c r="AG8544" s="536"/>
    </row>
    <row r="8545" spans="33:33">
      <c r="AG8545" s="536"/>
    </row>
    <row r="8546" spans="33:33">
      <c r="AG8546" s="536"/>
    </row>
    <row r="8547" spans="33:33">
      <c r="AG8547" s="536"/>
    </row>
    <row r="8548" spans="33:33">
      <c r="AG8548" s="536"/>
    </row>
    <row r="8549" spans="33:33">
      <c r="AG8549" s="536"/>
    </row>
    <row r="8550" spans="33:33">
      <c r="AG8550" s="536"/>
    </row>
    <row r="8551" spans="33:33">
      <c r="AG8551" s="536"/>
    </row>
    <row r="8552" spans="33:33">
      <c r="AG8552" s="536"/>
    </row>
    <row r="8553" spans="33:33">
      <c r="AG8553" s="536"/>
    </row>
    <row r="8554" spans="33:33">
      <c r="AG8554" s="536"/>
    </row>
    <row r="8555" spans="33:33">
      <c r="AG8555" s="536"/>
    </row>
    <row r="8556" spans="33:33">
      <c r="AG8556" s="536"/>
    </row>
    <row r="8557" spans="33:33">
      <c r="AG8557" s="536"/>
    </row>
    <row r="8558" spans="33:33">
      <c r="AG8558" s="536"/>
    </row>
    <row r="8559" spans="33:33">
      <c r="AG8559" s="536"/>
    </row>
    <row r="8560" spans="33:33">
      <c r="AG8560" s="536"/>
    </row>
    <row r="8561" spans="33:33">
      <c r="AG8561" s="536"/>
    </row>
    <row r="8562" spans="33:33">
      <c r="AG8562" s="536"/>
    </row>
    <row r="8563" spans="33:33">
      <c r="AG8563" s="536"/>
    </row>
    <row r="8564" spans="33:33">
      <c r="AG8564" s="536"/>
    </row>
    <row r="8565" spans="33:33">
      <c r="AG8565" s="536"/>
    </row>
    <row r="8566" spans="33:33">
      <c r="AG8566" s="536"/>
    </row>
    <row r="8567" spans="33:33">
      <c r="AG8567" s="536"/>
    </row>
    <row r="8568" spans="33:33">
      <c r="AG8568" s="536"/>
    </row>
    <row r="8569" spans="33:33">
      <c r="AG8569" s="536"/>
    </row>
    <row r="8570" spans="33:33">
      <c r="AG8570" s="536"/>
    </row>
    <row r="8571" spans="33:33">
      <c r="AG8571" s="536"/>
    </row>
    <row r="8572" spans="33:33">
      <c r="AG8572" s="536"/>
    </row>
    <row r="8573" spans="33:33">
      <c r="AG8573" s="536"/>
    </row>
    <row r="8574" spans="33:33">
      <c r="AG8574" s="536"/>
    </row>
    <row r="8575" spans="33:33">
      <c r="AG8575" s="536"/>
    </row>
    <row r="8576" spans="33:33">
      <c r="AG8576" s="536"/>
    </row>
    <row r="8577" spans="33:33">
      <c r="AG8577" s="536"/>
    </row>
    <row r="8578" spans="33:33">
      <c r="AG8578" s="536"/>
    </row>
    <row r="8579" spans="33:33">
      <c r="AG8579" s="536"/>
    </row>
    <row r="8580" spans="33:33">
      <c r="AG8580" s="536"/>
    </row>
    <row r="8581" spans="33:33">
      <c r="AG8581" s="536"/>
    </row>
    <row r="8582" spans="33:33">
      <c r="AG8582" s="536"/>
    </row>
    <row r="8583" spans="33:33">
      <c r="AG8583" s="536"/>
    </row>
    <row r="8584" spans="33:33">
      <c r="AG8584" s="536"/>
    </row>
    <row r="8585" spans="33:33">
      <c r="AG8585" s="536"/>
    </row>
    <row r="8586" spans="33:33">
      <c r="AG8586" s="536"/>
    </row>
    <row r="8587" spans="33:33">
      <c r="AG8587" s="536"/>
    </row>
    <row r="8588" spans="33:33">
      <c r="AG8588" s="536"/>
    </row>
    <row r="8589" spans="33:33">
      <c r="AG8589" s="536"/>
    </row>
    <row r="8590" spans="33:33">
      <c r="AG8590" s="536"/>
    </row>
    <row r="8591" spans="33:33">
      <c r="AG8591" s="536"/>
    </row>
    <row r="8592" spans="33:33">
      <c r="AG8592" s="536"/>
    </row>
    <row r="8593" spans="33:33">
      <c r="AG8593" s="536"/>
    </row>
    <row r="8594" spans="33:33">
      <c r="AG8594" s="536"/>
    </row>
    <row r="8595" spans="33:33">
      <c r="AG8595" s="536"/>
    </row>
    <row r="8596" spans="33:33">
      <c r="AG8596" s="536"/>
    </row>
    <row r="8597" spans="33:33">
      <c r="AG8597" s="536"/>
    </row>
    <row r="8598" spans="33:33">
      <c r="AG8598" s="536"/>
    </row>
    <row r="8599" spans="33:33">
      <c r="AG8599" s="536"/>
    </row>
    <row r="8600" spans="33:33">
      <c r="AG8600" s="536"/>
    </row>
    <row r="8601" spans="33:33">
      <c r="AG8601" s="536"/>
    </row>
    <row r="8602" spans="33:33">
      <c r="AG8602" s="536"/>
    </row>
    <row r="8603" spans="33:33">
      <c r="AG8603" s="536"/>
    </row>
    <row r="8604" spans="33:33">
      <c r="AG8604" s="536"/>
    </row>
    <row r="8605" spans="33:33">
      <c r="AG8605" s="536"/>
    </row>
    <row r="8606" spans="33:33">
      <c r="AG8606" s="536"/>
    </row>
    <row r="8607" spans="33:33">
      <c r="AG8607" s="536"/>
    </row>
    <row r="8608" spans="33:33">
      <c r="AG8608" s="536"/>
    </row>
    <row r="8609" spans="33:33">
      <c r="AG8609" s="536"/>
    </row>
    <row r="8610" spans="33:33">
      <c r="AG8610" s="536"/>
    </row>
    <row r="8611" spans="33:33">
      <c r="AG8611" s="536"/>
    </row>
    <row r="8612" spans="33:33">
      <c r="AG8612" s="536"/>
    </row>
    <row r="8613" spans="33:33">
      <c r="AG8613" s="536"/>
    </row>
    <row r="8614" spans="33:33">
      <c r="AG8614" s="536"/>
    </row>
    <row r="8615" spans="33:33">
      <c r="AG8615" s="536"/>
    </row>
    <row r="8616" spans="33:33">
      <c r="AG8616" s="536"/>
    </row>
    <row r="8617" spans="33:33">
      <c r="AG8617" s="536"/>
    </row>
    <row r="8618" spans="33:33">
      <c r="AG8618" s="536"/>
    </row>
    <row r="8619" spans="33:33">
      <c r="AG8619" s="536"/>
    </row>
    <row r="8620" spans="33:33">
      <c r="AG8620" s="536"/>
    </row>
    <row r="8621" spans="33:33">
      <c r="AG8621" s="536"/>
    </row>
    <row r="8622" spans="33:33">
      <c r="AG8622" s="536"/>
    </row>
    <row r="8623" spans="33:33">
      <c r="AG8623" s="536"/>
    </row>
    <row r="8624" spans="33:33">
      <c r="AG8624" s="536"/>
    </row>
    <row r="8625" spans="33:33">
      <c r="AG8625" s="536"/>
    </row>
    <row r="8626" spans="33:33">
      <c r="AG8626" s="536"/>
    </row>
    <row r="8627" spans="33:33">
      <c r="AG8627" s="536"/>
    </row>
    <row r="8628" spans="33:33">
      <c r="AG8628" s="536"/>
    </row>
    <row r="8629" spans="33:33">
      <c r="AG8629" s="536"/>
    </row>
    <row r="8630" spans="33:33">
      <c r="AG8630" s="536"/>
    </row>
    <row r="8631" spans="33:33">
      <c r="AG8631" s="536"/>
    </row>
    <row r="8632" spans="33:33">
      <c r="AG8632" s="536"/>
    </row>
    <row r="8633" spans="33:33">
      <c r="AG8633" s="536"/>
    </row>
    <row r="8634" spans="33:33">
      <c r="AG8634" s="536"/>
    </row>
    <row r="8635" spans="33:33">
      <c r="AG8635" s="536"/>
    </row>
    <row r="8636" spans="33:33">
      <c r="AG8636" s="536"/>
    </row>
    <row r="8637" spans="33:33">
      <c r="AG8637" s="536"/>
    </row>
    <row r="8638" spans="33:33">
      <c r="AG8638" s="536"/>
    </row>
    <row r="8639" spans="33:33">
      <c r="AG8639" s="536"/>
    </row>
    <row r="8640" spans="33:33">
      <c r="AG8640" s="536"/>
    </row>
    <row r="8641" spans="33:33">
      <c r="AG8641" s="536"/>
    </row>
    <row r="8642" spans="33:33">
      <c r="AG8642" s="536"/>
    </row>
    <row r="8643" spans="33:33">
      <c r="AG8643" s="536"/>
    </row>
    <row r="8644" spans="33:33">
      <c r="AG8644" s="536"/>
    </row>
    <row r="8645" spans="33:33">
      <c r="AG8645" s="536"/>
    </row>
    <row r="8646" spans="33:33">
      <c r="AG8646" s="536"/>
    </row>
    <row r="8647" spans="33:33">
      <c r="AG8647" s="536"/>
    </row>
    <row r="8648" spans="33:33">
      <c r="AG8648" s="536"/>
    </row>
    <row r="8649" spans="33:33">
      <c r="AG8649" s="536"/>
    </row>
    <row r="8650" spans="33:33">
      <c r="AG8650" s="536"/>
    </row>
    <row r="8651" spans="33:33">
      <c r="AG8651" s="536"/>
    </row>
    <row r="8652" spans="33:33">
      <c r="AG8652" s="536"/>
    </row>
    <row r="8653" spans="33:33">
      <c r="AG8653" s="536"/>
    </row>
    <row r="8654" spans="33:33">
      <c r="AG8654" s="536"/>
    </row>
    <row r="8655" spans="33:33">
      <c r="AG8655" s="536"/>
    </row>
    <row r="8656" spans="33:33">
      <c r="AG8656" s="536"/>
    </row>
    <row r="8657" spans="33:33">
      <c r="AG8657" s="536"/>
    </row>
    <row r="8658" spans="33:33">
      <c r="AG8658" s="536"/>
    </row>
    <row r="8659" spans="33:33">
      <c r="AG8659" s="536"/>
    </row>
    <row r="8660" spans="33:33">
      <c r="AG8660" s="536"/>
    </row>
    <row r="8661" spans="33:33">
      <c r="AG8661" s="536"/>
    </row>
    <row r="8662" spans="33:33">
      <c r="AG8662" s="536"/>
    </row>
    <row r="8663" spans="33:33">
      <c r="AG8663" s="536"/>
    </row>
    <row r="8664" spans="33:33">
      <c r="AG8664" s="536"/>
    </row>
    <row r="8665" spans="33:33">
      <c r="AG8665" s="536"/>
    </row>
    <row r="8666" spans="33:33">
      <c r="AG8666" s="536"/>
    </row>
    <row r="8667" spans="33:33">
      <c r="AG8667" s="536"/>
    </row>
    <row r="8668" spans="33:33">
      <c r="AG8668" s="536"/>
    </row>
    <row r="8669" spans="33:33">
      <c r="AG8669" s="536"/>
    </row>
    <row r="8670" spans="33:33">
      <c r="AG8670" s="536"/>
    </row>
    <row r="8671" spans="33:33">
      <c r="AG8671" s="536"/>
    </row>
    <row r="8672" spans="33:33">
      <c r="AG8672" s="536"/>
    </row>
    <row r="8673" spans="33:33">
      <c r="AG8673" s="536"/>
    </row>
    <row r="8674" spans="33:33">
      <c r="AG8674" s="536"/>
    </row>
    <row r="8675" spans="33:33">
      <c r="AG8675" s="536"/>
    </row>
    <row r="8676" spans="33:33">
      <c r="AG8676" s="536"/>
    </row>
    <row r="8677" spans="33:33">
      <c r="AG8677" s="536"/>
    </row>
    <row r="8678" spans="33:33">
      <c r="AG8678" s="536"/>
    </row>
    <row r="8679" spans="33:33">
      <c r="AG8679" s="536"/>
    </row>
    <row r="8680" spans="33:33">
      <c r="AG8680" s="536"/>
    </row>
    <row r="8681" spans="33:33">
      <c r="AG8681" s="536"/>
    </row>
    <row r="8682" spans="33:33">
      <c r="AG8682" s="536"/>
    </row>
    <row r="8683" spans="33:33">
      <c r="AG8683" s="536"/>
    </row>
    <row r="8684" spans="33:33">
      <c r="AG8684" s="536"/>
    </row>
    <row r="8685" spans="33:33">
      <c r="AG8685" s="536"/>
    </row>
    <row r="8686" spans="33:33">
      <c r="AG8686" s="536"/>
    </row>
    <row r="8687" spans="33:33">
      <c r="AG8687" s="536"/>
    </row>
    <row r="8688" spans="33:33">
      <c r="AG8688" s="536"/>
    </row>
    <row r="8689" spans="33:33">
      <c r="AG8689" s="536"/>
    </row>
    <row r="8690" spans="33:33">
      <c r="AG8690" s="536"/>
    </row>
    <row r="8691" spans="33:33">
      <c r="AG8691" s="536"/>
    </row>
    <row r="8692" spans="33:33">
      <c r="AG8692" s="536"/>
    </row>
    <row r="8693" spans="33:33">
      <c r="AG8693" s="536"/>
    </row>
    <row r="8694" spans="33:33">
      <c r="AG8694" s="536"/>
    </row>
    <row r="8695" spans="33:33">
      <c r="AG8695" s="536"/>
    </row>
    <row r="8696" spans="33:33">
      <c r="AG8696" s="536"/>
    </row>
    <row r="8697" spans="33:33">
      <c r="AG8697" s="536"/>
    </row>
    <row r="8698" spans="33:33">
      <c r="AG8698" s="536"/>
    </row>
    <row r="8699" spans="33:33">
      <c r="AG8699" s="536"/>
    </row>
    <row r="8700" spans="33:33">
      <c r="AG8700" s="536"/>
    </row>
    <row r="8701" spans="33:33">
      <c r="AG8701" s="536"/>
    </row>
    <row r="8702" spans="33:33">
      <c r="AG8702" s="536"/>
    </row>
    <row r="8703" spans="33:33">
      <c r="AG8703" s="536"/>
    </row>
    <row r="8704" spans="33:33">
      <c r="AG8704" s="536"/>
    </row>
    <row r="8705" spans="33:33">
      <c r="AG8705" s="536"/>
    </row>
    <row r="8706" spans="33:33">
      <c r="AG8706" s="536"/>
    </row>
    <row r="8707" spans="33:33">
      <c r="AG8707" s="536"/>
    </row>
    <row r="8708" spans="33:33">
      <c r="AG8708" s="536"/>
    </row>
    <row r="8709" spans="33:33">
      <c r="AG8709" s="536"/>
    </row>
    <row r="8710" spans="33:33">
      <c r="AG8710" s="536"/>
    </row>
    <row r="8711" spans="33:33">
      <c r="AG8711" s="536"/>
    </row>
    <row r="8712" spans="33:33">
      <c r="AG8712" s="536"/>
    </row>
    <row r="8713" spans="33:33">
      <c r="AG8713" s="536"/>
    </row>
    <row r="8714" spans="33:33">
      <c r="AG8714" s="536"/>
    </row>
    <row r="8715" spans="33:33">
      <c r="AG8715" s="536"/>
    </row>
    <row r="8716" spans="33:33">
      <c r="AG8716" s="536"/>
    </row>
    <row r="8717" spans="33:33">
      <c r="AG8717" s="536"/>
    </row>
    <row r="8718" spans="33:33">
      <c r="AG8718" s="536"/>
    </row>
    <row r="8719" spans="33:33">
      <c r="AG8719" s="536"/>
    </row>
    <row r="8720" spans="33:33">
      <c r="AG8720" s="536"/>
    </row>
    <row r="8721" spans="33:33">
      <c r="AG8721" s="536"/>
    </row>
    <row r="8722" spans="33:33">
      <c r="AG8722" s="536"/>
    </row>
    <row r="8723" spans="33:33">
      <c r="AG8723" s="536"/>
    </row>
    <row r="8724" spans="33:33">
      <c r="AG8724" s="536"/>
    </row>
    <row r="8725" spans="33:33">
      <c r="AG8725" s="536"/>
    </row>
    <row r="8726" spans="33:33">
      <c r="AG8726" s="536"/>
    </row>
    <row r="8727" spans="33:33">
      <c r="AG8727" s="536"/>
    </row>
    <row r="8728" spans="33:33">
      <c r="AG8728" s="536"/>
    </row>
    <row r="8729" spans="33:33">
      <c r="AG8729" s="536"/>
    </row>
    <row r="8730" spans="33:33">
      <c r="AG8730" s="536"/>
    </row>
    <row r="8731" spans="33:33">
      <c r="AG8731" s="536"/>
    </row>
    <row r="8732" spans="33:33">
      <c r="AG8732" s="536"/>
    </row>
    <row r="8733" spans="33:33">
      <c r="AG8733" s="536"/>
    </row>
    <row r="8734" spans="33:33">
      <c r="AG8734" s="536"/>
    </row>
    <row r="8735" spans="33:33">
      <c r="AG8735" s="536"/>
    </row>
    <row r="8736" spans="33:33">
      <c r="AG8736" s="536"/>
    </row>
    <row r="8737" spans="33:33">
      <c r="AG8737" s="536"/>
    </row>
    <row r="8738" spans="33:33">
      <c r="AG8738" s="536"/>
    </row>
    <row r="8739" spans="33:33">
      <c r="AG8739" s="536"/>
    </row>
    <row r="8740" spans="33:33">
      <c r="AG8740" s="536"/>
    </row>
    <row r="8741" spans="33:33">
      <c r="AG8741" s="536"/>
    </row>
    <row r="8742" spans="33:33">
      <c r="AG8742" s="536"/>
    </row>
    <row r="8743" spans="33:33">
      <c r="AG8743" s="536"/>
    </row>
    <row r="8744" spans="33:33">
      <c r="AG8744" s="536"/>
    </row>
    <row r="8745" spans="33:33">
      <c r="AG8745" s="536"/>
    </row>
    <row r="8746" spans="33:33">
      <c r="AG8746" s="536"/>
    </row>
    <row r="8747" spans="33:33">
      <c r="AG8747" s="536"/>
    </row>
    <row r="8748" spans="33:33">
      <c r="AG8748" s="536"/>
    </row>
    <row r="8749" spans="33:33">
      <c r="AG8749" s="536"/>
    </row>
    <row r="8750" spans="33:33">
      <c r="AG8750" s="536"/>
    </row>
    <row r="8751" spans="33:33">
      <c r="AG8751" s="536"/>
    </row>
    <row r="8752" spans="33:33">
      <c r="AG8752" s="536"/>
    </row>
    <row r="8753" spans="33:33">
      <c r="AG8753" s="536"/>
    </row>
    <row r="8754" spans="33:33">
      <c r="AG8754" s="536"/>
    </row>
    <row r="8755" spans="33:33">
      <c r="AG8755" s="536"/>
    </row>
    <row r="8756" spans="33:33">
      <c r="AG8756" s="536"/>
    </row>
    <row r="8757" spans="33:33">
      <c r="AG8757" s="536"/>
    </row>
    <row r="8758" spans="33:33">
      <c r="AG8758" s="536"/>
    </row>
    <row r="8759" spans="33:33">
      <c r="AG8759" s="536"/>
    </row>
    <row r="8760" spans="33:33">
      <c r="AG8760" s="536"/>
    </row>
    <row r="8761" spans="33:33">
      <c r="AG8761" s="536"/>
    </row>
    <row r="8762" spans="33:33">
      <c r="AG8762" s="536"/>
    </row>
    <row r="8763" spans="33:33">
      <c r="AG8763" s="536"/>
    </row>
    <row r="8764" spans="33:33">
      <c r="AG8764" s="536"/>
    </row>
    <row r="8765" spans="33:33">
      <c r="AG8765" s="536"/>
    </row>
    <row r="8766" spans="33:33">
      <c r="AG8766" s="536"/>
    </row>
    <row r="8767" spans="33:33">
      <c r="AG8767" s="536"/>
    </row>
    <row r="8768" spans="33:33">
      <c r="AG8768" s="536"/>
    </row>
    <row r="8769" spans="33:33">
      <c r="AG8769" s="536"/>
    </row>
    <row r="8770" spans="33:33">
      <c r="AG8770" s="536"/>
    </row>
    <row r="8771" spans="33:33">
      <c r="AG8771" s="536"/>
    </row>
    <row r="8772" spans="33:33">
      <c r="AG8772" s="536"/>
    </row>
    <row r="8773" spans="33:33">
      <c r="AG8773" s="536"/>
    </row>
    <row r="8774" spans="33:33">
      <c r="AG8774" s="536"/>
    </row>
    <row r="8775" spans="33:33">
      <c r="AG8775" s="536"/>
    </row>
    <row r="8776" spans="33:33">
      <c r="AG8776" s="536"/>
    </row>
    <row r="8777" spans="33:33">
      <c r="AG8777" s="536"/>
    </row>
    <row r="8778" spans="33:33">
      <c r="AG8778" s="536"/>
    </row>
    <row r="8779" spans="33:33">
      <c r="AG8779" s="536"/>
    </row>
    <row r="8780" spans="33:33">
      <c r="AG8780" s="536"/>
    </row>
    <row r="8781" spans="33:33">
      <c r="AG8781" s="536"/>
    </row>
    <row r="8782" spans="33:33">
      <c r="AG8782" s="536"/>
    </row>
    <row r="8783" spans="33:33">
      <c r="AG8783" s="536"/>
    </row>
    <row r="8784" spans="33:33">
      <c r="AG8784" s="536"/>
    </row>
    <row r="8785" spans="33:33">
      <c r="AG8785" s="536"/>
    </row>
    <row r="8786" spans="33:33">
      <c r="AG8786" s="536"/>
    </row>
    <row r="8787" spans="33:33">
      <c r="AG8787" s="536"/>
    </row>
    <row r="8788" spans="33:33">
      <c r="AG8788" s="536"/>
    </row>
    <row r="8789" spans="33:33">
      <c r="AG8789" s="536"/>
    </row>
    <row r="8790" spans="33:33">
      <c r="AG8790" s="536"/>
    </row>
    <row r="8791" spans="33:33">
      <c r="AG8791" s="536"/>
    </row>
    <row r="8792" spans="33:33">
      <c r="AG8792" s="536"/>
    </row>
    <row r="8793" spans="33:33">
      <c r="AG8793" s="536"/>
    </row>
    <row r="8794" spans="33:33">
      <c r="AG8794" s="536"/>
    </row>
    <row r="8795" spans="33:33">
      <c r="AG8795" s="536"/>
    </row>
    <row r="8796" spans="33:33">
      <c r="AG8796" s="536"/>
    </row>
    <row r="8797" spans="33:33">
      <c r="AG8797" s="536"/>
    </row>
    <row r="8798" spans="33:33">
      <c r="AG8798" s="536"/>
    </row>
    <row r="8799" spans="33:33">
      <c r="AG8799" s="536"/>
    </row>
    <row r="8800" spans="33:33">
      <c r="AG8800" s="536"/>
    </row>
    <row r="8801" spans="33:33">
      <c r="AG8801" s="536"/>
    </row>
    <row r="8802" spans="33:33">
      <c r="AG8802" s="536"/>
    </row>
    <row r="8803" spans="33:33">
      <c r="AG8803" s="536"/>
    </row>
    <row r="8804" spans="33:33">
      <c r="AG8804" s="536"/>
    </row>
    <row r="8805" spans="33:33">
      <c r="AG8805" s="536"/>
    </row>
    <row r="8806" spans="33:33">
      <c r="AG8806" s="536"/>
    </row>
    <row r="8807" spans="33:33">
      <c r="AG8807" s="536"/>
    </row>
    <row r="8808" spans="33:33">
      <c r="AG8808" s="536"/>
    </row>
    <row r="8809" spans="33:33">
      <c r="AG8809" s="536"/>
    </row>
    <row r="8810" spans="33:33">
      <c r="AG8810" s="536"/>
    </row>
    <row r="8811" spans="33:33">
      <c r="AG8811" s="536"/>
    </row>
    <row r="8812" spans="33:33">
      <c r="AG8812" s="536"/>
    </row>
    <row r="8813" spans="33:33">
      <c r="AG8813" s="536"/>
    </row>
    <row r="8814" spans="33:33">
      <c r="AG8814" s="536"/>
    </row>
    <row r="8815" spans="33:33">
      <c r="AG8815" s="536"/>
    </row>
    <row r="8816" spans="33:33">
      <c r="AG8816" s="536"/>
    </row>
    <row r="8817" spans="33:33">
      <c r="AG8817" s="536"/>
    </row>
    <row r="8818" spans="33:33">
      <c r="AG8818" s="536"/>
    </row>
    <row r="8819" spans="33:33">
      <c r="AG8819" s="536"/>
    </row>
    <row r="8820" spans="33:33">
      <c r="AG8820" s="536"/>
    </row>
    <row r="8821" spans="33:33">
      <c r="AG8821" s="536"/>
    </row>
    <row r="8822" spans="33:33">
      <c r="AG8822" s="536"/>
    </row>
    <row r="8823" spans="33:33">
      <c r="AG8823" s="536"/>
    </row>
    <row r="8824" spans="33:33">
      <c r="AG8824" s="536"/>
    </row>
    <row r="8825" spans="33:33">
      <c r="AG8825" s="536"/>
    </row>
    <row r="8826" spans="33:33">
      <c r="AG8826" s="536"/>
    </row>
    <row r="8827" spans="33:33">
      <c r="AG8827" s="536"/>
    </row>
    <row r="8828" spans="33:33">
      <c r="AG8828" s="536"/>
    </row>
    <row r="8829" spans="33:33">
      <c r="AG8829" s="536"/>
    </row>
    <row r="8830" spans="33:33">
      <c r="AG8830" s="536"/>
    </row>
    <row r="8831" spans="33:33">
      <c r="AG8831" s="536"/>
    </row>
    <row r="8832" spans="33:33">
      <c r="AG8832" s="536"/>
    </row>
    <row r="8833" spans="33:33">
      <c r="AG8833" s="536"/>
    </row>
    <row r="8834" spans="33:33">
      <c r="AG8834" s="536"/>
    </row>
    <row r="8835" spans="33:33">
      <c r="AG8835" s="536"/>
    </row>
    <row r="8836" spans="33:33">
      <c r="AG8836" s="536"/>
    </row>
    <row r="8837" spans="33:33">
      <c r="AG8837" s="536"/>
    </row>
    <row r="8838" spans="33:33">
      <c r="AG8838" s="536"/>
    </row>
    <row r="8839" spans="33:33">
      <c r="AG8839" s="536"/>
    </row>
    <row r="8840" spans="33:33">
      <c r="AG8840" s="536"/>
    </row>
    <row r="8841" spans="33:33">
      <c r="AG8841" s="536"/>
    </row>
    <row r="8842" spans="33:33">
      <c r="AG8842" s="536"/>
    </row>
    <row r="8843" spans="33:33">
      <c r="AG8843" s="536"/>
    </row>
    <row r="8844" spans="33:33">
      <c r="AG8844" s="536"/>
    </row>
    <row r="8845" spans="33:33">
      <c r="AG8845" s="536"/>
    </row>
    <row r="8846" spans="33:33">
      <c r="AG8846" s="536"/>
    </row>
    <row r="8847" spans="33:33">
      <c r="AG8847" s="536"/>
    </row>
    <row r="8848" spans="33:33">
      <c r="AG8848" s="536"/>
    </row>
    <row r="8849" spans="33:33">
      <c r="AG8849" s="536"/>
    </row>
    <row r="8850" spans="33:33">
      <c r="AG8850" s="536"/>
    </row>
    <row r="8851" spans="33:33">
      <c r="AG8851" s="536"/>
    </row>
    <row r="8852" spans="33:33">
      <c r="AG8852" s="536"/>
    </row>
    <row r="8853" spans="33:33">
      <c r="AG8853" s="536"/>
    </row>
    <row r="8854" spans="33:33">
      <c r="AG8854" s="536"/>
    </row>
    <row r="8855" spans="33:33">
      <c r="AG8855" s="536"/>
    </row>
    <row r="8856" spans="33:33">
      <c r="AG8856" s="536"/>
    </row>
    <row r="8857" spans="33:33">
      <c r="AG8857" s="536"/>
    </row>
    <row r="8858" spans="33:33">
      <c r="AG8858" s="536"/>
    </row>
    <row r="8859" spans="33:33">
      <c r="AG8859" s="536"/>
    </row>
    <row r="8860" spans="33:33">
      <c r="AG8860" s="536"/>
    </row>
    <row r="8861" spans="33:33">
      <c r="AG8861" s="536"/>
    </row>
    <row r="8862" spans="33:33">
      <c r="AG8862" s="536"/>
    </row>
    <row r="8863" spans="33:33">
      <c r="AG8863" s="536"/>
    </row>
    <row r="8864" spans="33:33">
      <c r="AG8864" s="536"/>
    </row>
    <row r="8865" spans="33:33">
      <c r="AG8865" s="536"/>
    </row>
    <row r="8866" spans="33:33">
      <c r="AG8866" s="536"/>
    </row>
    <row r="8867" spans="33:33">
      <c r="AG8867" s="536"/>
    </row>
    <row r="8868" spans="33:33">
      <c r="AG8868" s="536"/>
    </row>
    <row r="8869" spans="33:33">
      <c r="AG8869" s="536"/>
    </row>
    <row r="8870" spans="33:33">
      <c r="AG8870" s="536"/>
    </row>
    <row r="8871" spans="33:33">
      <c r="AG8871" s="536"/>
    </row>
    <row r="8872" spans="33:33">
      <c r="AG8872" s="536"/>
    </row>
    <row r="8873" spans="33:33">
      <c r="AG8873" s="536"/>
    </row>
    <row r="8874" spans="33:33">
      <c r="AG8874" s="536"/>
    </row>
    <row r="8875" spans="33:33">
      <c r="AG8875" s="536"/>
    </row>
    <row r="8876" spans="33:33">
      <c r="AG8876" s="536"/>
    </row>
    <row r="8877" spans="33:33">
      <c r="AG8877" s="536"/>
    </row>
    <row r="8878" spans="33:33">
      <c r="AG8878" s="536"/>
    </row>
    <row r="8879" spans="33:33">
      <c r="AG8879" s="536"/>
    </row>
    <row r="8880" spans="33:33">
      <c r="AG8880" s="536"/>
    </row>
    <row r="8881" spans="33:33">
      <c r="AG8881" s="536"/>
    </row>
    <row r="8882" spans="33:33">
      <c r="AG8882" s="536"/>
    </row>
    <row r="8883" spans="33:33">
      <c r="AG8883" s="536"/>
    </row>
    <row r="8884" spans="33:33">
      <c r="AG8884" s="536"/>
    </row>
    <row r="8885" spans="33:33">
      <c r="AG8885" s="536"/>
    </row>
    <row r="8886" spans="33:33">
      <c r="AG8886" s="536"/>
    </row>
    <row r="8887" spans="33:33">
      <c r="AG8887" s="536"/>
    </row>
    <row r="8888" spans="33:33">
      <c r="AG8888" s="536"/>
    </row>
    <row r="8889" spans="33:33">
      <c r="AG8889" s="536"/>
    </row>
    <row r="8890" spans="33:33">
      <c r="AG8890" s="536"/>
    </row>
    <row r="8891" spans="33:33">
      <c r="AG8891" s="536"/>
    </row>
    <row r="8892" spans="33:33">
      <c r="AG8892" s="536"/>
    </row>
    <row r="8893" spans="33:33">
      <c r="AG8893" s="536"/>
    </row>
    <row r="8894" spans="33:33">
      <c r="AG8894" s="536"/>
    </row>
    <row r="8895" spans="33:33">
      <c r="AG8895" s="536"/>
    </row>
    <row r="8896" spans="33:33">
      <c r="AG8896" s="536"/>
    </row>
    <row r="8897" spans="33:33">
      <c r="AG8897" s="536"/>
    </row>
    <row r="8898" spans="33:33">
      <c r="AG8898" s="536"/>
    </row>
    <row r="8899" spans="33:33">
      <c r="AG8899" s="536"/>
    </row>
    <row r="8900" spans="33:33">
      <c r="AG8900" s="536"/>
    </row>
    <row r="8901" spans="33:33">
      <c r="AG8901" s="536"/>
    </row>
    <row r="8902" spans="33:33">
      <c r="AG8902" s="536"/>
    </row>
    <row r="8903" spans="33:33">
      <c r="AG8903" s="536"/>
    </row>
    <row r="8904" spans="33:33">
      <c r="AG8904" s="536"/>
    </row>
    <row r="8905" spans="33:33">
      <c r="AG8905" s="536"/>
    </row>
    <row r="8906" spans="33:33">
      <c r="AG8906" s="536"/>
    </row>
    <row r="8907" spans="33:33">
      <c r="AG8907" s="536"/>
    </row>
    <row r="8908" spans="33:33">
      <c r="AG8908" s="536"/>
    </row>
    <row r="8909" spans="33:33">
      <c r="AG8909" s="536"/>
    </row>
    <row r="8910" spans="33:33">
      <c r="AG8910" s="536"/>
    </row>
    <row r="8911" spans="33:33">
      <c r="AG8911" s="536"/>
    </row>
    <row r="8912" spans="33:33">
      <c r="AG8912" s="536"/>
    </row>
    <row r="8913" spans="33:33">
      <c r="AG8913" s="536"/>
    </row>
    <row r="8914" spans="33:33">
      <c r="AG8914" s="536"/>
    </row>
    <row r="8915" spans="33:33">
      <c r="AG8915" s="536"/>
    </row>
    <row r="8916" spans="33:33">
      <c r="AG8916" s="536"/>
    </row>
    <row r="8917" spans="33:33">
      <c r="AG8917" s="536"/>
    </row>
    <row r="8918" spans="33:33">
      <c r="AG8918" s="536"/>
    </row>
    <row r="8919" spans="33:33">
      <c r="AG8919" s="536"/>
    </row>
    <row r="8920" spans="33:33">
      <c r="AG8920" s="536"/>
    </row>
    <row r="8921" spans="33:33">
      <c r="AG8921" s="536"/>
    </row>
    <row r="8922" spans="33:33">
      <c r="AG8922" s="536"/>
    </row>
    <row r="8923" spans="33:33">
      <c r="AG8923" s="536"/>
    </row>
    <row r="8924" spans="33:33">
      <c r="AG8924" s="536"/>
    </row>
    <row r="8925" spans="33:33">
      <c r="AG8925" s="536"/>
    </row>
    <row r="8926" spans="33:33">
      <c r="AG8926" s="536"/>
    </row>
    <row r="8927" spans="33:33">
      <c r="AG8927" s="536"/>
    </row>
    <row r="8928" spans="33:33">
      <c r="AG8928" s="536"/>
    </row>
    <row r="8929" spans="33:33">
      <c r="AG8929" s="536"/>
    </row>
    <row r="8930" spans="33:33">
      <c r="AG8930" s="536"/>
    </row>
    <row r="8931" spans="33:33">
      <c r="AG8931" s="536"/>
    </row>
    <row r="8932" spans="33:33">
      <c r="AG8932" s="536"/>
    </row>
    <row r="8933" spans="33:33">
      <c r="AG8933" s="536"/>
    </row>
    <row r="8934" spans="33:33">
      <c r="AG8934" s="536"/>
    </row>
    <row r="8935" spans="33:33">
      <c r="AG8935" s="536"/>
    </row>
    <row r="8936" spans="33:33">
      <c r="AG8936" s="536"/>
    </row>
    <row r="8937" spans="33:33">
      <c r="AG8937" s="536"/>
    </row>
    <row r="8938" spans="33:33">
      <c r="AG8938" s="536"/>
    </row>
    <row r="8939" spans="33:33">
      <c r="AG8939" s="536"/>
    </row>
    <row r="8940" spans="33:33">
      <c r="AG8940" s="536"/>
    </row>
    <row r="8941" spans="33:33">
      <c r="AG8941" s="536"/>
    </row>
    <row r="8942" spans="33:33">
      <c r="AG8942" s="536"/>
    </row>
    <row r="8943" spans="33:33">
      <c r="AG8943" s="536"/>
    </row>
    <row r="8944" spans="33:33">
      <c r="AG8944" s="536"/>
    </row>
    <row r="8945" spans="33:33">
      <c r="AG8945" s="536"/>
    </row>
    <row r="8946" spans="33:33">
      <c r="AG8946" s="536"/>
    </row>
    <row r="8947" spans="33:33">
      <c r="AG8947" s="536"/>
    </row>
    <row r="8948" spans="33:33">
      <c r="AG8948" s="536"/>
    </row>
    <row r="8949" spans="33:33">
      <c r="AG8949" s="536"/>
    </row>
    <row r="8950" spans="33:33">
      <c r="AG8950" s="536"/>
    </row>
    <row r="8951" spans="33:33">
      <c r="AG8951" s="536"/>
    </row>
    <row r="8952" spans="33:33">
      <c r="AG8952" s="536"/>
    </row>
    <row r="8953" spans="33:33">
      <c r="AG8953" s="536"/>
    </row>
    <row r="8954" spans="33:33">
      <c r="AG8954" s="536"/>
    </row>
    <row r="8955" spans="33:33">
      <c r="AG8955" s="536"/>
    </row>
    <row r="8956" spans="33:33">
      <c r="AG8956" s="536"/>
    </row>
    <row r="8957" spans="33:33">
      <c r="AG8957" s="536"/>
    </row>
    <row r="8958" spans="33:33">
      <c r="AG8958" s="536"/>
    </row>
    <row r="8959" spans="33:33">
      <c r="AG8959" s="536"/>
    </row>
    <row r="8960" spans="33:33">
      <c r="AG8960" s="536"/>
    </row>
    <row r="8961" spans="33:33">
      <c r="AG8961" s="536"/>
    </row>
    <row r="8962" spans="33:33">
      <c r="AG8962" s="536"/>
    </row>
    <row r="8963" spans="33:33">
      <c r="AG8963" s="536"/>
    </row>
    <row r="8964" spans="33:33">
      <c r="AG8964" s="536"/>
    </row>
    <row r="8965" spans="33:33">
      <c r="AG8965" s="536"/>
    </row>
    <row r="8966" spans="33:33">
      <c r="AG8966" s="536"/>
    </row>
    <row r="8967" spans="33:33">
      <c r="AG8967" s="536"/>
    </row>
    <row r="8968" spans="33:33">
      <c r="AG8968" s="536"/>
    </row>
    <row r="8969" spans="33:33">
      <c r="AG8969" s="536"/>
    </row>
    <row r="8970" spans="33:33">
      <c r="AG8970" s="536"/>
    </row>
    <row r="8971" spans="33:33">
      <c r="AG8971" s="536"/>
    </row>
    <row r="8972" spans="33:33">
      <c r="AG8972" s="536"/>
    </row>
    <row r="8973" spans="33:33">
      <c r="AG8973" s="536"/>
    </row>
    <row r="8974" spans="33:33">
      <c r="AG8974" s="536"/>
    </row>
    <row r="8975" spans="33:33">
      <c r="AG8975" s="536"/>
    </row>
    <row r="8976" spans="33:33">
      <c r="AG8976" s="536"/>
    </row>
    <row r="8977" spans="33:33">
      <c r="AG8977" s="536"/>
    </row>
    <row r="8978" spans="33:33">
      <c r="AG8978" s="536"/>
    </row>
    <row r="8979" spans="33:33">
      <c r="AG8979" s="536"/>
    </row>
    <row r="8980" spans="33:33">
      <c r="AG8980" s="536"/>
    </row>
    <row r="8981" spans="33:33">
      <c r="AG8981" s="536"/>
    </row>
    <row r="8982" spans="33:33">
      <c r="AG8982" s="536"/>
    </row>
    <row r="8983" spans="33:33">
      <c r="AG8983" s="536"/>
    </row>
    <row r="8984" spans="33:33">
      <c r="AG8984" s="536"/>
    </row>
    <row r="8985" spans="33:33">
      <c r="AG8985" s="536"/>
    </row>
    <row r="8986" spans="33:33">
      <c r="AG8986" s="536"/>
    </row>
    <row r="8987" spans="33:33">
      <c r="AG8987" s="536"/>
    </row>
    <row r="8988" spans="33:33">
      <c r="AG8988" s="536"/>
    </row>
    <row r="8989" spans="33:33">
      <c r="AG8989" s="536"/>
    </row>
    <row r="8990" spans="33:33">
      <c r="AG8990" s="536"/>
    </row>
    <row r="8991" spans="33:33">
      <c r="AG8991" s="536"/>
    </row>
    <row r="8992" spans="33:33">
      <c r="AG8992" s="536"/>
    </row>
    <row r="8993" spans="33:33">
      <c r="AG8993" s="536"/>
    </row>
    <row r="8994" spans="33:33">
      <c r="AG8994" s="536"/>
    </row>
    <row r="8995" spans="33:33">
      <c r="AG8995" s="536"/>
    </row>
    <row r="8996" spans="33:33">
      <c r="AG8996" s="536"/>
    </row>
    <row r="8997" spans="33:33">
      <c r="AG8997" s="536"/>
    </row>
    <row r="8998" spans="33:33">
      <c r="AG8998" s="536"/>
    </row>
    <row r="8999" spans="33:33">
      <c r="AG8999" s="536"/>
    </row>
    <row r="9000" spans="33:33">
      <c r="AG9000" s="536"/>
    </row>
    <row r="9001" spans="33:33">
      <c r="AG9001" s="536"/>
    </row>
    <row r="9002" spans="33:33">
      <c r="AG9002" s="536"/>
    </row>
    <row r="9003" spans="33:33">
      <c r="AG9003" s="536"/>
    </row>
    <row r="9004" spans="33:33">
      <c r="AG9004" s="536"/>
    </row>
    <row r="9005" spans="33:33">
      <c r="AG9005" s="536"/>
    </row>
    <row r="9006" spans="33:33">
      <c r="AG9006" s="536"/>
    </row>
    <row r="9007" spans="33:33">
      <c r="AG9007" s="536"/>
    </row>
    <row r="9008" spans="33:33">
      <c r="AG9008" s="536"/>
    </row>
    <row r="9009" spans="33:33">
      <c r="AG9009" s="536"/>
    </row>
    <row r="9010" spans="33:33">
      <c r="AG9010" s="536"/>
    </row>
    <row r="9011" spans="33:33">
      <c r="AG9011" s="536"/>
    </row>
    <row r="9012" spans="33:33">
      <c r="AG9012" s="536"/>
    </row>
    <row r="9013" spans="33:33">
      <c r="AG9013" s="536"/>
    </row>
    <row r="9014" spans="33:33">
      <c r="AG9014" s="536"/>
    </row>
    <row r="9015" spans="33:33">
      <c r="AG9015" s="536"/>
    </row>
    <row r="9016" spans="33:33">
      <c r="AG9016" s="536"/>
    </row>
    <row r="9017" spans="33:33">
      <c r="AG9017" s="536"/>
    </row>
    <row r="9018" spans="33:33">
      <c r="AG9018" s="536"/>
    </row>
    <row r="9019" spans="33:33">
      <c r="AG9019" s="536"/>
    </row>
    <row r="9020" spans="33:33">
      <c r="AG9020" s="536"/>
    </row>
    <row r="9021" spans="33:33">
      <c r="AG9021" s="536"/>
    </row>
    <row r="9022" spans="33:33">
      <c r="AG9022" s="536"/>
    </row>
    <row r="9023" spans="33:33">
      <c r="AG9023" s="536"/>
    </row>
    <row r="9024" spans="33:33">
      <c r="AG9024" s="536"/>
    </row>
    <row r="9025" spans="33:33">
      <c r="AG9025" s="536"/>
    </row>
    <row r="9026" spans="33:33">
      <c r="AG9026" s="536"/>
    </row>
    <row r="9027" spans="33:33">
      <c r="AG9027" s="536"/>
    </row>
    <row r="9028" spans="33:33">
      <c r="AG9028" s="536"/>
    </row>
    <row r="9029" spans="33:33">
      <c r="AG9029" s="536"/>
    </row>
    <row r="9030" spans="33:33">
      <c r="AG9030" s="536"/>
    </row>
    <row r="9031" spans="33:33">
      <c r="AG9031" s="536"/>
    </row>
    <row r="9032" spans="33:33">
      <c r="AG9032" s="536"/>
    </row>
    <row r="9033" spans="33:33">
      <c r="AG9033" s="536"/>
    </row>
    <row r="9034" spans="33:33">
      <c r="AG9034" s="536"/>
    </row>
    <row r="9035" spans="33:33">
      <c r="AG9035" s="536"/>
    </row>
    <row r="9036" spans="33:33">
      <c r="AG9036" s="536"/>
    </row>
    <row r="9037" spans="33:33">
      <c r="AG9037" s="536"/>
    </row>
    <row r="9038" spans="33:33">
      <c r="AG9038" s="536"/>
    </row>
    <row r="9039" spans="33:33">
      <c r="AG9039" s="536"/>
    </row>
    <row r="9040" spans="33:33">
      <c r="AG9040" s="536"/>
    </row>
    <row r="9041" spans="33:33">
      <c r="AG9041" s="536"/>
    </row>
    <row r="9042" spans="33:33">
      <c r="AG9042" s="536"/>
    </row>
    <row r="9043" spans="33:33">
      <c r="AG9043" s="536"/>
    </row>
    <row r="9044" spans="33:33">
      <c r="AG9044" s="536"/>
    </row>
    <row r="9045" spans="33:33">
      <c r="AG9045" s="536"/>
    </row>
    <row r="9046" spans="33:33">
      <c r="AG9046" s="536"/>
    </row>
    <row r="9047" spans="33:33">
      <c r="AG9047" s="536"/>
    </row>
    <row r="9048" spans="33:33">
      <c r="AG9048" s="536"/>
    </row>
    <row r="9049" spans="33:33">
      <c r="AG9049" s="536"/>
    </row>
    <row r="9050" spans="33:33">
      <c r="AG9050" s="536"/>
    </row>
    <row r="9051" spans="33:33">
      <c r="AG9051" s="536"/>
    </row>
    <row r="9052" spans="33:33">
      <c r="AG9052" s="536"/>
    </row>
    <row r="9053" spans="33:33">
      <c r="AG9053" s="536"/>
    </row>
    <row r="9054" spans="33:33">
      <c r="AG9054" s="536"/>
    </row>
    <row r="9055" spans="33:33">
      <c r="AG9055" s="536"/>
    </row>
    <row r="9056" spans="33:33">
      <c r="AG9056" s="536"/>
    </row>
    <row r="9057" spans="33:33">
      <c r="AG9057" s="536"/>
    </row>
    <row r="9058" spans="33:33">
      <c r="AG9058" s="536"/>
    </row>
    <row r="9059" spans="33:33">
      <c r="AG9059" s="536"/>
    </row>
    <row r="9060" spans="33:33">
      <c r="AG9060" s="536"/>
    </row>
    <row r="9061" spans="33:33">
      <c r="AG9061" s="536"/>
    </row>
    <row r="9062" spans="33:33">
      <c r="AG9062" s="536"/>
    </row>
    <row r="9063" spans="33:33">
      <c r="AG9063" s="536"/>
    </row>
    <row r="9064" spans="33:33">
      <c r="AG9064" s="536"/>
    </row>
    <row r="9065" spans="33:33">
      <c r="AG9065" s="536"/>
    </row>
    <row r="9066" spans="33:33">
      <c r="AG9066" s="536"/>
    </row>
    <row r="9067" spans="33:33">
      <c r="AG9067" s="536"/>
    </row>
    <row r="9068" spans="33:33">
      <c r="AG9068" s="536"/>
    </row>
    <row r="9069" spans="33:33">
      <c r="AG9069" s="536"/>
    </row>
    <row r="9070" spans="33:33">
      <c r="AG9070" s="536"/>
    </row>
    <row r="9071" spans="33:33">
      <c r="AG9071" s="536"/>
    </row>
    <row r="9072" spans="33:33">
      <c r="AG9072" s="536"/>
    </row>
    <row r="9073" spans="33:33">
      <c r="AG9073" s="536"/>
    </row>
    <row r="9074" spans="33:33">
      <c r="AG9074" s="536"/>
    </row>
    <row r="9075" spans="33:33">
      <c r="AG9075" s="536"/>
    </row>
    <row r="9076" spans="33:33">
      <c r="AG9076" s="536"/>
    </row>
    <row r="9077" spans="33:33">
      <c r="AG9077" s="536"/>
    </row>
    <row r="9078" spans="33:33">
      <c r="AG9078" s="536"/>
    </row>
    <row r="9079" spans="33:33">
      <c r="AG9079" s="536"/>
    </row>
    <row r="9080" spans="33:33">
      <c r="AG9080" s="536"/>
    </row>
    <row r="9081" spans="33:33">
      <c r="AG9081" s="536"/>
    </row>
    <row r="9082" spans="33:33">
      <c r="AG9082" s="536"/>
    </row>
    <row r="9083" spans="33:33">
      <c r="AG9083" s="536"/>
    </row>
    <row r="9084" spans="33:33">
      <c r="AG9084" s="536"/>
    </row>
    <row r="9085" spans="33:33">
      <c r="AG9085" s="536"/>
    </row>
    <row r="9086" spans="33:33">
      <c r="AG9086" s="536"/>
    </row>
    <row r="9087" spans="33:33">
      <c r="AG9087" s="536"/>
    </row>
    <row r="9088" spans="33:33">
      <c r="AG9088" s="536"/>
    </row>
    <row r="9089" spans="33:33">
      <c r="AG9089" s="536"/>
    </row>
    <row r="9090" spans="33:33">
      <c r="AG9090" s="536"/>
    </row>
    <row r="9091" spans="33:33">
      <c r="AG9091" s="536"/>
    </row>
    <row r="9092" spans="33:33">
      <c r="AG9092" s="536"/>
    </row>
    <row r="9093" spans="33:33">
      <c r="AG9093" s="536"/>
    </row>
    <row r="9094" spans="33:33">
      <c r="AG9094" s="536"/>
    </row>
    <row r="9095" spans="33:33">
      <c r="AG9095" s="536"/>
    </row>
    <row r="9096" spans="33:33">
      <c r="AG9096" s="536"/>
    </row>
    <row r="9097" spans="33:33">
      <c r="AG9097" s="536"/>
    </row>
    <row r="9098" spans="33:33">
      <c r="AG9098" s="536"/>
    </row>
    <row r="9099" spans="33:33">
      <c r="AG9099" s="536"/>
    </row>
    <row r="9100" spans="33:33">
      <c r="AG9100" s="536"/>
    </row>
    <row r="9101" spans="33:33">
      <c r="AG9101" s="536"/>
    </row>
    <row r="9102" spans="33:33">
      <c r="AG9102" s="536"/>
    </row>
    <row r="9103" spans="33:33">
      <c r="AG9103" s="536"/>
    </row>
    <row r="9104" spans="33:33">
      <c r="AG9104" s="536"/>
    </row>
    <row r="9105" spans="33:33">
      <c r="AG9105" s="536"/>
    </row>
    <row r="9106" spans="33:33">
      <c r="AG9106" s="536"/>
    </row>
    <row r="9107" spans="33:33">
      <c r="AG9107" s="536"/>
    </row>
    <row r="9108" spans="33:33">
      <c r="AG9108" s="536"/>
    </row>
    <row r="9109" spans="33:33">
      <c r="AG9109" s="536"/>
    </row>
    <row r="9110" spans="33:33">
      <c r="AG9110" s="536"/>
    </row>
    <row r="9111" spans="33:33">
      <c r="AG9111" s="536"/>
    </row>
    <row r="9112" spans="33:33">
      <c r="AG9112" s="536"/>
    </row>
    <row r="9113" spans="33:33">
      <c r="AG9113" s="536"/>
    </row>
    <row r="9114" spans="33:33">
      <c r="AG9114" s="536"/>
    </row>
    <row r="9115" spans="33:33">
      <c r="AG9115" s="536"/>
    </row>
    <row r="9116" spans="33:33">
      <c r="AG9116" s="536"/>
    </row>
    <row r="9117" spans="33:33">
      <c r="AG9117" s="536"/>
    </row>
    <row r="9118" spans="33:33">
      <c r="AG9118" s="536"/>
    </row>
    <row r="9119" spans="33:33">
      <c r="AG9119" s="536"/>
    </row>
    <row r="9120" spans="33:33">
      <c r="AG9120" s="536"/>
    </row>
    <row r="9121" spans="33:33">
      <c r="AG9121" s="536"/>
    </row>
    <row r="9122" spans="33:33">
      <c r="AG9122" s="536"/>
    </row>
    <row r="9123" spans="33:33">
      <c r="AG9123" s="536"/>
    </row>
    <row r="9124" spans="33:33">
      <c r="AG9124" s="536"/>
    </row>
    <row r="9125" spans="33:33">
      <c r="AG9125" s="536"/>
    </row>
    <row r="9126" spans="33:33">
      <c r="AG9126" s="536"/>
    </row>
    <row r="9127" spans="33:33">
      <c r="AG9127" s="536"/>
    </row>
    <row r="9128" spans="33:33">
      <c r="AG9128" s="536"/>
    </row>
    <row r="9129" spans="33:33">
      <c r="AG9129" s="536"/>
    </row>
    <row r="9130" spans="33:33">
      <c r="AG9130" s="536"/>
    </row>
    <row r="9131" spans="33:33">
      <c r="AG9131" s="536"/>
    </row>
    <row r="9132" spans="33:33">
      <c r="AG9132" s="536"/>
    </row>
    <row r="9133" spans="33:33">
      <c r="AG9133" s="536"/>
    </row>
    <row r="9134" spans="33:33">
      <c r="AG9134" s="536"/>
    </row>
    <row r="9135" spans="33:33">
      <c r="AG9135" s="536"/>
    </row>
    <row r="9136" spans="33:33">
      <c r="AG9136" s="536"/>
    </row>
    <row r="9137" spans="33:33">
      <c r="AG9137" s="536"/>
    </row>
    <row r="9138" spans="33:33">
      <c r="AG9138" s="536"/>
    </row>
    <row r="9139" spans="33:33">
      <c r="AG9139" s="536"/>
    </row>
    <row r="9140" spans="33:33">
      <c r="AG9140" s="536"/>
    </row>
    <row r="9141" spans="33:33">
      <c r="AG9141" s="536"/>
    </row>
    <row r="9142" spans="33:33">
      <c r="AG9142" s="536"/>
    </row>
    <row r="9143" spans="33:33">
      <c r="AG9143" s="536"/>
    </row>
    <row r="9144" spans="33:33">
      <c r="AG9144" s="536"/>
    </row>
    <row r="9145" spans="33:33">
      <c r="AG9145" s="536"/>
    </row>
    <row r="9146" spans="33:33">
      <c r="AG9146" s="536"/>
    </row>
    <row r="9147" spans="33:33">
      <c r="AG9147" s="536"/>
    </row>
    <row r="9148" spans="33:33">
      <c r="AG9148" s="536"/>
    </row>
    <row r="9149" spans="33:33">
      <c r="AG9149" s="536"/>
    </row>
    <row r="9150" spans="33:33">
      <c r="AG9150" s="536"/>
    </row>
    <row r="9151" spans="33:33">
      <c r="AG9151" s="536"/>
    </row>
    <row r="9152" spans="33:33">
      <c r="AG9152" s="536"/>
    </row>
    <row r="9153" spans="33:33">
      <c r="AG9153" s="536"/>
    </row>
    <row r="9154" spans="33:33">
      <c r="AG9154" s="536"/>
    </row>
    <row r="9155" spans="33:33">
      <c r="AG9155" s="536"/>
    </row>
    <row r="9156" spans="33:33">
      <c r="AG9156" s="536"/>
    </row>
    <row r="9157" spans="33:33">
      <c r="AG9157" s="536"/>
    </row>
    <row r="9158" spans="33:33">
      <c r="AG9158" s="536"/>
    </row>
    <row r="9159" spans="33:33">
      <c r="AG9159" s="536"/>
    </row>
    <row r="9160" spans="33:33">
      <c r="AG9160" s="536"/>
    </row>
    <row r="9161" spans="33:33">
      <c r="AG9161" s="536"/>
    </row>
    <row r="9162" spans="33:33">
      <c r="AG9162" s="536"/>
    </row>
    <row r="9163" spans="33:33">
      <c r="AG9163" s="536"/>
    </row>
    <row r="9164" spans="33:33">
      <c r="AG9164" s="536"/>
    </row>
    <row r="9165" spans="33:33">
      <c r="AG9165" s="536"/>
    </row>
    <row r="9166" spans="33:33">
      <c r="AG9166" s="536"/>
    </row>
    <row r="9167" spans="33:33">
      <c r="AG9167" s="536"/>
    </row>
    <row r="9168" spans="33:33">
      <c r="AG9168" s="536"/>
    </row>
    <row r="9169" spans="33:33">
      <c r="AG9169" s="536"/>
    </row>
    <row r="9170" spans="33:33">
      <c r="AG9170" s="536"/>
    </row>
    <row r="9171" spans="33:33">
      <c r="AG9171" s="536"/>
    </row>
    <row r="9172" spans="33:33">
      <c r="AG9172" s="536"/>
    </row>
    <row r="9173" spans="33:33">
      <c r="AG9173" s="536"/>
    </row>
    <row r="9174" spans="33:33">
      <c r="AG9174" s="536"/>
    </row>
    <row r="9175" spans="33:33">
      <c r="AG9175" s="536"/>
    </row>
    <row r="9176" spans="33:33">
      <c r="AG9176" s="536"/>
    </row>
    <row r="9177" spans="33:33">
      <c r="AG9177" s="536"/>
    </row>
    <row r="9178" spans="33:33">
      <c r="AG9178" s="536"/>
    </row>
    <row r="9179" spans="33:33">
      <c r="AG9179" s="536"/>
    </row>
    <row r="9180" spans="33:33">
      <c r="AG9180" s="536"/>
    </row>
    <row r="9181" spans="33:33">
      <c r="AG9181" s="536"/>
    </row>
    <row r="9182" spans="33:33">
      <c r="AG9182" s="536"/>
    </row>
    <row r="9183" spans="33:33">
      <c r="AG9183" s="536"/>
    </row>
    <row r="9184" spans="33:33">
      <c r="AG9184" s="536"/>
    </row>
    <row r="9185" spans="33:33">
      <c r="AG9185" s="536"/>
    </row>
    <row r="9186" spans="33:33">
      <c r="AG9186" s="536"/>
    </row>
    <row r="9187" spans="33:33">
      <c r="AG9187" s="536"/>
    </row>
    <row r="9188" spans="33:33">
      <c r="AG9188" s="536"/>
    </row>
    <row r="9189" spans="33:33">
      <c r="AG9189" s="536"/>
    </row>
    <row r="9190" spans="33:33">
      <c r="AG9190" s="536"/>
    </row>
    <row r="9191" spans="33:33">
      <c r="AG9191" s="536"/>
    </row>
    <row r="9192" spans="33:33">
      <c r="AG9192" s="536"/>
    </row>
    <row r="9193" spans="33:33">
      <c r="AG9193" s="536"/>
    </row>
    <row r="9194" spans="33:33">
      <c r="AG9194" s="536"/>
    </row>
    <row r="9195" spans="33:33">
      <c r="AG9195" s="536"/>
    </row>
    <row r="9196" spans="33:33">
      <c r="AG9196" s="536"/>
    </row>
    <row r="9197" spans="33:33">
      <c r="AG9197" s="536"/>
    </row>
    <row r="9198" spans="33:33">
      <c r="AG9198" s="536"/>
    </row>
    <row r="9199" spans="33:33">
      <c r="AG9199" s="536"/>
    </row>
    <row r="9200" spans="33:33">
      <c r="AG9200" s="536"/>
    </row>
    <row r="9201" spans="33:33">
      <c r="AG9201" s="536"/>
    </row>
    <row r="9202" spans="33:33">
      <c r="AG9202" s="536"/>
    </row>
    <row r="9203" spans="33:33">
      <c r="AG9203" s="536"/>
    </row>
    <row r="9204" spans="33:33">
      <c r="AG9204" s="536"/>
    </row>
    <row r="9205" spans="33:33">
      <c r="AG9205" s="536"/>
    </row>
    <row r="9206" spans="33:33">
      <c r="AG9206" s="536"/>
    </row>
    <row r="9207" spans="33:33">
      <c r="AG9207" s="536"/>
    </row>
    <row r="9208" spans="33:33">
      <c r="AG9208" s="536"/>
    </row>
    <row r="9209" spans="33:33">
      <c r="AG9209" s="536"/>
    </row>
    <row r="9210" spans="33:33">
      <c r="AG9210" s="536"/>
    </row>
    <row r="9211" spans="33:33">
      <c r="AG9211" s="536"/>
    </row>
    <row r="9212" spans="33:33">
      <c r="AG9212" s="536"/>
    </row>
    <row r="9213" spans="33:33">
      <c r="AG9213" s="536"/>
    </row>
    <row r="9214" spans="33:33">
      <c r="AG9214" s="536"/>
    </row>
    <row r="9215" spans="33:33">
      <c r="AG9215" s="536"/>
    </row>
    <row r="9216" spans="33:33">
      <c r="AG9216" s="536"/>
    </row>
    <row r="9217" spans="33:33">
      <c r="AG9217" s="536"/>
    </row>
    <row r="9218" spans="33:33">
      <c r="AG9218" s="536"/>
    </row>
    <row r="9219" spans="33:33">
      <c r="AG9219" s="536"/>
    </row>
    <row r="9220" spans="33:33">
      <c r="AG9220" s="536"/>
    </row>
    <row r="9221" spans="33:33">
      <c r="AG9221" s="536"/>
    </row>
    <row r="9222" spans="33:33">
      <c r="AG9222" s="536"/>
    </row>
    <row r="9223" spans="33:33">
      <c r="AG9223" s="536"/>
    </row>
    <row r="9224" spans="33:33">
      <c r="AG9224" s="536"/>
    </row>
    <row r="9225" spans="33:33">
      <c r="AG9225" s="536"/>
    </row>
    <row r="9226" spans="33:33">
      <c r="AG9226" s="536"/>
    </row>
    <row r="9227" spans="33:33">
      <c r="AG9227" s="536"/>
    </row>
    <row r="9228" spans="33:33">
      <c r="AG9228" s="536"/>
    </row>
    <row r="9229" spans="33:33">
      <c r="AG9229" s="536"/>
    </row>
    <row r="9230" spans="33:33">
      <c r="AG9230" s="536"/>
    </row>
    <row r="9231" spans="33:33">
      <c r="AG9231" s="536"/>
    </row>
    <row r="9232" spans="33:33">
      <c r="AG9232" s="536"/>
    </row>
    <row r="9233" spans="33:33">
      <c r="AG9233" s="536"/>
    </row>
    <row r="9234" spans="33:33">
      <c r="AG9234" s="536"/>
    </row>
    <row r="9235" spans="33:33">
      <c r="AG9235" s="536"/>
    </row>
    <row r="9236" spans="33:33">
      <c r="AG9236" s="536"/>
    </row>
    <row r="9237" spans="33:33">
      <c r="AG9237" s="536"/>
    </row>
    <row r="9238" spans="33:33">
      <c r="AG9238" s="536"/>
    </row>
    <row r="9239" spans="33:33">
      <c r="AG9239" s="536"/>
    </row>
    <row r="9240" spans="33:33">
      <c r="AG9240" s="536"/>
    </row>
    <row r="9241" spans="33:33">
      <c r="AG9241" s="536"/>
    </row>
    <row r="9242" spans="33:33">
      <c r="AG9242" s="536"/>
    </row>
    <row r="9243" spans="33:33">
      <c r="AG9243" s="536"/>
    </row>
    <row r="9244" spans="33:33">
      <c r="AG9244" s="536"/>
    </row>
    <row r="9245" spans="33:33">
      <c r="AG9245" s="536"/>
    </row>
    <row r="9246" spans="33:33">
      <c r="AG9246" s="536"/>
    </row>
    <row r="9247" spans="33:33">
      <c r="AG9247" s="536"/>
    </row>
    <row r="9248" spans="33:33">
      <c r="AG9248" s="536"/>
    </row>
    <row r="9249" spans="33:33">
      <c r="AG9249" s="536"/>
    </row>
    <row r="9250" spans="33:33">
      <c r="AG9250" s="536"/>
    </row>
    <row r="9251" spans="33:33">
      <c r="AG9251" s="536"/>
    </row>
    <row r="9252" spans="33:33">
      <c r="AG9252" s="536"/>
    </row>
    <row r="9253" spans="33:33">
      <c r="AG9253" s="536"/>
    </row>
    <row r="9254" spans="33:33">
      <c r="AG9254" s="536"/>
    </row>
    <row r="9255" spans="33:33">
      <c r="AG9255" s="536"/>
    </row>
    <row r="9256" spans="33:33">
      <c r="AG9256" s="536"/>
    </row>
    <row r="9257" spans="33:33">
      <c r="AG9257" s="536"/>
    </row>
    <row r="9258" spans="33:33">
      <c r="AG9258" s="536"/>
    </row>
    <row r="9259" spans="33:33">
      <c r="AG9259" s="536"/>
    </row>
    <row r="9260" spans="33:33">
      <c r="AG9260" s="536"/>
    </row>
    <row r="9261" spans="33:33">
      <c r="AG9261" s="536"/>
    </row>
    <row r="9262" spans="33:33">
      <c r="AG9262" s="536"/>
    </row>
    <row r="9263" spans="33:33">
      <c r="AG9263" s="536"/>
    </row>
    <row r="9264" spans="33:33">
      <c r="AG9264" s="536"/>
    </row>
    <row r="9265" spans="33:33">
      <c r="AG9265" s="536"/>
    </row>
    <row r="9266" spans="33:33">
      <c r="AG9266" s="536"/>
    </row>
    <row r="9267" spans="33:33">
      <c r="AG9267" s="536"/>
    </row>
    <row r="9268" spans="33:33">
      <c r="AG9268" s="536"/>
    </row>
    <row r="9269" spans="33:33">
      <c r="AG9269" s="536"/>
    </row>
    <row r="9270" spans="33:33">
      <c r="AG9270" s="536"/>
    </row>
    <row r="9271" spans="33:33">
      <c r="AG9271" s="536"/>
    </row>
    <row r="9272" spans="33:33">
      <c r="AG9272" s="536"/>
    </row>
    <row r="9273" spans="33:33">
      <c r="AG9273" s="536"/>
    </row>
    <row r="9274" spans="33:33">
      <c r="AG9274" s="536"/>
    </row>
    <row r="9275" spans="33:33">
      <c r="AG9275" s="536"/>
    </row>
    <row r="9276" spans="33:33">
      <c r="AG9276" s="536"/>
    </row>
    <row r="9277" spans="33:33">
      <c r="AG9277" s="536"/>
    </row>
    <row r="9278" spans="33:33">
      <c r="AG9278" s="536"/>
    </row>
    <row r="9279" spans="33:33">
      <c r="AG9279" s="536"/>
    </row>
    <row r="9280" spans="33:33">
      <c r="AG9280" s="536"/>
    </row>
    <row r="9281" spans="33:33">
      <c r="AG9281" s="536"/>
    </row>
    <row r="9282" spans="33:33">
      <c r="AG9282" s="536"/>
    </row>
    <row r="9283" spans="33:33">
      <c r="AG9283" s="536"/>
    </row>
    <row r="9284" spans="33:33">
      <c r="AG9284" s="536"/>
    </row>
    <row r="9285" spans="33:33">
      <c r="AG9285" s="536"/>
    </row>
    <row r="9286" spans="33:33">
      <c r="AG9286" s="536"/>
    </row>
    <row r="9287" spans="33:33">
      <c r="AG9287" s="536"/>
    </row>
    <row r="9288" spans="33:33">
      <c r="AG9288" s="536"/>
    </row>
    <row r="9289" spans="33:33">
      <c r="AG9289" s="536"/>
    </row>
    <row r="9290" spans="33:33">
      <c r="AG9290" s="536"/>
    </row>
    <row r="9291" spans="33:33">
      <c r="AG9291" s="536"/>
    </row>
    <row r="9292" spans="33:33">
      <c r="AG9292" s="536"/>
    </row>
    <row r="9293" spans="33:33">
      <c r="AG9293" s="536"/>
    </row>
    <row r="9294" spans="33:33">
      <c r="AG9294" s="536"/>
    </row>
    <row r="9295" spans="33:33">
      <c r="AG9295" s="536"/>
    </row>
    <row r="9296" spans="33:33">
      <c r="AG9296" s="536"/>
    </row>
    <row r="9297" spans="33:33">
      <c r="AG9297" s="536"/>
    </row>
    <row r="9298" spans="33:33">
      <c r="AG9298" s="536"/>
    </row>
    <row r="9299" spans="33:33">
      <c r="AG9299" s="536"/>
    </row>
    <row r="9300" spans="33:33">
      <c r="AG9300" s="536"/>
    </row>
    <row r="9301" spans="33:33">
      <c r="AG9301" s="536"/>
    </row>
    <row r="9302" spans="33:33">
      <c r="AG9302" s="536"/>
    </row>
    <row r="9303" spans="33:33">
      <c r="AG9303" s="536"/>
    </row>
    <row r="9304" spans="33:33">
      <c r="AG9304" s="536"/>
    </row>
    <row r="9305" spans="33:33">
      <c r="AG9305" s="536"/>
    </row>
    <row r="9306" spans="33:33">
      <c r="AG9306" s="536"/>
    </row>
    <row r="9307" spans="33:33">
      <c r="AG9307" s="536"/>
    </row>
    <row r="9308" spans="33:33">
      <c r="AG9308" s="536"/>
    </row>
    <row r="9309" spans="33:33">
      <c r="AG9309" s="536"/>
    </row>
    <row r="9310" spans="33:33">
      <c r="AG9310" s="536"/>
    </row>
    <row r="9311" spans="33:33">
      <c r="AG9311" s="536"/>
    </row>
    <row r="9312" spans="33:33">
      <c r="AG9312" s="536"/>
    </row>
    <row r="9313" spans="33:33">
      <c r="AG9313" s="536"/>
    </row>
    <row r="9314" spans="33:33">
      <c r="AG9314" s="536"/>
    </row>
    <row r="9315" spans="33:33">
      <c r="AG9315" s="536"/>
    </row>
    <row r="9316" spans="33:33">
      <c r="AG9316" s="536"/>
    </row>
    <row r="9317" spans="33:33">
      <c r="AG9317" s="536"/>
    </row>
    <row r="9318" spans="33:33">
      <c r="AG9318" s="536"/>
    </row>
    <row r="9319" spans="33:33">
      <c r="AG9319" s="536"/>
    </row>
    <row r="9320" spans="33:33">
      <c r="AG9320" s="536"/>
    </row>
    <row r="9321" spans="33:33">
      <c r="AG9321" s="536"/>
    </row>
    <row r="9322" spans="33:33">
      <c r="AG9322" s="536"/>
    </row>
    <row r="9323" spans="33:33">
      <c r="AG9323" s="536"/>
    </row>
    <row r="9324" spans="33:33">
      <c r="AG9324" s="536"/>
    </row>
    <row r="9325" spans="33:33">
      <c r="AG9325" s="536"/>
    </row>
    <row r="9326" spans="33:33">
      <c r="AG9326" s="536"/>
    </row>
    <row r="9327" spans="33:33">
      <c r="AG9327" s="536"/>
    </row>
    <row r="9328" spans="33:33">
      <c r="AG9328" s="536"/>
    </row>
    <row r="9329" spans="33:33">
      <c r="AG9329" s="536"/>
    </row>
    <row r="9330" spans="33:33">
      <c r="AG9330" s="536"/>
    </row>
    <row r="9331" spans="33:33">
      <c r="AG9331" s="536"/>
    </row>
    <row r="9332" spans="33:33">
      <c r="AG9332" s="536"/>
    </row>
    <row r="9333" spans="33:33">
      <c r="AG9333" s="536"/>
    </row>
    <row r="9334" spans="33:33">
      <c r="AG9334" s="536"/>
    </row>
    <row r="9335" spans="33:33">
      <c r="AG9335" s="536"/>
    </row>
    <row r="9336" spans="33:33">
      <c r="AG9336" s="536"/>
    </row>
    <row r="9337" spans="33:33">
      <c r="AG9337" s="536"/>
    </row>
    <row r="9338" spans="33:33">
      <c r="AG9338" s="536"/>
    </row>
    <row r="9339" spans="33:33">
      <c r="AG9339" s="536"/>
    </row>
    <row r="9340" spans="33:33">
      <c r="AG9340" s="536"/>
    </row>
    <row r="9341" spans="33:33">
      <c r="AG9341" s="536"/>
    </row>
    <row r="9342" spans="33:33">
      <c r="AG9342" s="536"/>
    </row>
    <row r="9343" spans="33:33">
      <c r="AG9343" s="536"/>
    </row>
    <row r="9344" spans="33:33">
      <c r="AG9344" s="536"/>
    </row>
    <row r="9345" spans="33:33">
      <c r="AG9345" s="536"/>
    </row>
    <row r="9346" spans="33:33">
      <c r="AG9346" s="536"/>
    </row>
    <row r="9347" spans="33:33">
      <c r="AG9347" s="536"/>
    </row>
    <row r="9348" spans="33:33">
      <c r="AG9348" s="536"/>
    </row>
    <row r="9349" spans="33:33">
      <c r="AG9349" s="536"/>
    </row>
    <row r="9350" spans="33:33">
      <c r="AG9350" s="536"/>
    </row>
    <row r="9351" spans="33:33">
      <c r="AG9351" s="536"/>
    </row>
    <row r="9352" spans="33:33">
      <c r="AG9352" s="536"/>
    </row>
    <row r="9353" spans="33:33">
      <c r="AG9353" s="536"/>
    </row>
    <row r="9354" spans="33:33">
      <c r="AG9354" s="536"/>
    </row>
    <row r="9355" spans="33:33">
      <c r="AG9355" s="536"/>
    </row>
    <row r="9356" spans="33:33">
      <c r="AG9356" s="536"/>
    </row>
    <row r="9357" spans="33:33">
      <c r="AG9357" s="536"/>
    </row>
    <row r="9358" spans="33:33">
      <c r="AG9358" s="536"/>
    </row>
    <row r="9359" spans="33:33">
      <c r="AG9359" s="536"/>
    </row>
    <row r="9360" spans="33:33">
      <c r="AG9360" s="536"/>
    </row>
    <row r="9361" spans="33:33">
      <c r="AG9361" s="536"/>
    </row>
    <row r="9362" spans="33:33">
      <c r="AG9362" s="536"/>
    </row>
    <row r="9363" spans="33:33">
      <c r="AG9363" s="536"/>
    </row>
    <row r="9364" spans="33:33">
      <c r="AG9364" s="536"/>
    </row>
    <row r="9365" spans="33:33">
      <c r="AG9365" s="536"/>
    </row>
    <row r="9366" spans="33:33">
      <c r="AG9366" s="536"/>
    </row>
    <row r="9367" spans="33:33">
      <c r="AG9367" s="536"/>
    </row>
    <row r="9368" spans="33:33">
      <c r="AG9368" s="536"/>
    </row>
    <row r="9369" spans="33:33">
      <c r="AG9369" s="536"/>
    </row>
    <row r="9370" spans="33:33">
      <c r="AG9370" s="536"/>
    </row>
    <row r="9371" spans="33:33">
      <c r="AG9371" s="536"/>
    </row>
    <row r="9372" spans="33:33">
      <c r="AG9372" s="536"/>
    </row>
    <row r="9373" spans="33:33">
      <c r="AG9373" s="536"/>
    </row>
    <row r="9374" spans="33:33">
      <c r="AG9374" s="536"/>
    </row>
    <row r="9375" spans="33:33">
      <c r="AG9375" s="536"/>
    </row>
    <row r="9376" spans="33:33">
      <c r="AG9376" s="536"/>
    </row>
    <row r="9377" spans="33:33">
      <c r="AG9377" s="536"/>
    </row>
    <row r="9378" spans="33:33">
      <c r="AG9378" s="536"/>
    </row>
    <row r="9379" spans="33:33">
      <c r="AG9379" s="536"/>
    </row>
    <row r="9380" spans="33:33">
      <c r="AG9380" s="536"/>
    </row>
    <row r="9381" spans="33:33">
      <c r="AG9381" s="536"/>
    </row>
    <row r="9382" spans="33:33">
      <c r="AG9382" s="536"/>
    </row>
    <row r="9383" spans="33:33">
      <c r="AG9383" s="536"/>
    </row>
    <row r="9384" spans="33:33">
      <c r="AG9384" s="536"/>
    </row>
    <row r="9385" spans="33:33">
      <c r="AG9385" s="536"/>
    </row>
    <row r="9386" spans="33:33">
      <c r="AG9386" s="536"/>
    </row>
    <row r="9387" spans="33:33">
      <c r="AG9387" s="536"/>
    </row>
    <row r="9388" spans="33:33">
      <c r="AG9388" s="536"/>
    </row>
    <row r="9389" spans="33:33">
      <c r="AG9389" s="536"/>
    </row>
    <row r="9390" spans="33:33">
      <c r="AG9390" s="536"/>
    </row>
    <row r="9391" spans="33:33">
      <c r="AG9391" s="536"/>
    </row>
    <row r="9392" spans="33:33">
      <c r="AG9392" s="536"/>
    </row>
    <row r="9393" spans="33:33">
      <c r="AG9393" s="536"/>
    </row>
    <row r="9394" spans="33:33">
      <c r="AG9394" s="536"/>
    </row>
    <row r="9395" spans="33:33">
      <c r="AG9395" s="536"/>
    </row>
    <row r="9396" spans="33:33">
      <c r="AG9396" s="536"/>
    </row>
    <row r="9397" spans="33:33">
      <c r="AG9397" s="536"/>
    </row>
    <row r="9398" spans="33:33">
      <c r="AG9398" s="536"/>
    </row>
    <row r="9399" spans="33:33">
      <c r="AG9399" s="536"/>
    </row>
    <row r="9400" spans="33:33">
      <c r="AG9400" s="536"/>
    </row>
    <row r="9401" spans="33:33">
      <c r="AG9401" s="536"/>
    </row>
    <row r="9402" spans="33:33">
      <c r="AG9402" s="536"/>
    </row>
    <row r="9403" spans="33:33">
      <c r="AG9403" s="536"/>
    </row>
    <row r="9404" spans="33:33">
      <c r="AG9404" s="536"/>
    </row>
    <row r="9405" spans="33:33">
      <c r="AG9405" s="536"/>
    </row>
    <row r="9406" spans="33:33">
      <c r="AG9406" s="536"/>
    </row>
    <row r="9407" spans="33:33">
      <c r="AG9407" s="536"/>
    </row>
    <row r="9408" spans="33:33">
      <c r="AG9408" s="536"/>
    </row>
    <row r="9409" spans="33:33">
      <c r="AG9409" s="536"/>
    </row>
    <row r="9410" spans="33:33">
      <c r="AG9410" s="536"/>
    </row>
    <row r="9411" spans="33:33">
      <c r="AG9411" s="536"/>
    </row>
    <row r="9412" spans="33:33">
      <c r="AG9412" s="536"/>
    </row>
    <row r="9413" spans="33:33">
      <c r="AG9413" s="536"/>
    </row>
    <row r="9414" spans="33:33">
      <c r="AG9414" s="536"/>
    </row>
    <row r="9415" spans="33:33">
      <c r="AG9415" s="536"/>
    </row>
    <row r="9416" spans="33:33">
      <c r="AG9416" s="536"/>
    </row>
    <row r="9417" spans="33:33">
      <c r="AG9417" s="536"/>
    </row>
    <row r="9418" spans="33:33">
      <c r="AG9418" s="536"/>
    </row>
    <row r="9419" spans="33:33">
      <c r="AG9419" s="536"/>
    </row>
    <row r="9420" spans="33:33">
      <c r="AG9420" s="536"/>
    </row>
    <row r="9421" spans="33:33">
      <c r="AG9421" s="536"/>
    </row>
    <row r="9422" spans="33:33">
      <c r="AG9422" s="536"/>
    </row>
    <row r="9423" spans="33:33">
      <c r="AG9423" s="536"/>
    </row>
    <row r="9424" spans="33:33">
      <c r="AG9424" s="536"/>
    </row>
    <row r="9425" spans="33:33">
      <c r="AG9425" s="536"/>
    </row>
    <row r="9426" spans="33:33">
      <c r="AG9426" s="536"/>
    </row>
    <row r="9427" spans="33:33">
      <c r="AG9427" s="536"/>
    </row>
    <row r="9428" spans="33:33">
      <c r="AG9428" s="536"/>
    </row>
    <row r="9429" spans="33:33">
      <c r="AG9429" s="536"/>
    </row>
    <row r="9430" spans="33:33">
      <c r="AG9430" s="536"/>
    </row>
    <row r="9431" spans="33:33">
      <c r="AG9431" s="536"/>
    </row>
    <row r="9432" spans="33:33">
      <c r="AG9432" s="536"/>
    </row>
    <row r="9433" spans="33:33">
      <c r="AG9433" s="536"/>
    </row>
    <row r="9434" spans="33:33">
      <c r="AG9434" s="536"/>
    </row>
    <row r="9435" spans="33:33">
      <c r="AG9435" s="536"/>
    </row>
    <row r="9436" spans="33:33">
      <c r="AG9436" s="536"/>
    </row>
    <row r="9437" spans="33:33">
      <c r="AG9437" s="536"/>
    </row>
    <row r="9438" spans="33:33">
      <c r="AG9438" s="536"/>
    </row>
    <row r="9439" spans="33:33">
      <c r="AG9439" s="536"/>
    </row>
    <row r="9440" spans="33:33">
      <c r="AG9440" s="536"/>
    </row>
    <row r="9441" spans="33:33">
      <c r="AG9441" s="536"/>
    </row>
    <row r="9442" spans="33:33">
      <c r="AG9442" s="536"/>
    </row>
    <row r="9443" spans="33:33">
      <c r="AG9443" s="536"/>
    </row>
    <row r="9444" spans="33:33">
      <c r="AG9444" s="536"/>
    </row>
    <row r="9445" spans="33:33">
      <c r="AG9445" s="536"/>
    </row>
    <row r="9446" spans="33:33">
      <c r="AG9446" s="536"/>
    </row>
    <row r="9447" spans="33:33">
      <c r="AG9447" s="536"/>
    </row>
    <row r="9448" spans="33:33">
      <c r="AG9448" s="536"/>
    </row>
    <row r="9449" spans="33:33">
      <c r="AG9449" s="536"/>
    </row>
    <row r="9450" spans="33:33">
      <c r="AG9450" s="536"/>
    </row>
    <row r="9451" spans="33:33">
      <c r="AG9451" s="536"/>
    </row>
    <row r="9452" spans="33:33">
      <c r="AG9452" s="536"/>
    </row>
    <row r="9453" spans="33:33">
      <c r="AG9453" s="536"/>
    </row>
    <row r="9454" spans="33:33">
      <c r="AG9454" s="536"/>
    </row>
    <row r="9455" spans="33:33">
      <c r="AG9455" s="536"/>
    </row>
    <row r="9456" spans="33:33">
      <c r="AG9456" s="536"/>
    </row>
    <row r="9457" spans="33:33">
      <c r="AG9457" s="536"/>
    </row>
    <row r="9458" spans="33:33">
      <c r="AG9458" s="536"/>
    </row>
    <row r="9459" spans="33:33">
      <c r="AG9459" s="536"/>
    </row>
    <row r="9460" spans="33:33">
      <c r="AG9460" s="536"/>
    </row>
    <row r="9461" spans="33:33">
      <c r="AG9461" s="536"/>
    </row>
    <row r="9462" spans="33:33">
      <c r="AG9462" s="536"/>
    </row>
    <row r="9463" spans="33:33">
      <c r="AG9463" s="536"/>
    </row>
    <row r="9464" spans="33:33">
      <c r="AG9464" s="536"/>
    </row>
    <row r="9465" spans="33:33">
      <c r="AG9465" s="536"/>
    </row>
    <row r="9466" spans="33:33">
      <c r="AG9466" s="536"/>
    </row>
    <row r="9467" spans="33:33">
      <c r="AG9467" s="536"/>
    </row>
    <row r="9468" spans="33:33">
      <c r="AG9468" s="536"/>
    </row>
    <row r="9469" spans="33:33">
      <c r="AG9469" s="536"/>
    </row>
    <row r="9470" spans="33:33">
      <c r="AG9470" s="536"/>
    </row>
    <row r="9471" spans="33:33">
      <c r="AG9471" s="536"/>
    </row>
    <row r="9472" spans="33:33">
      <c r="AG9472" s="536"/>
    </row>
    <row r="9473" spans="33:33">
      <c r="AG9473" s="536"/>
    </row>
    <row r="9474" spans="33:33">
      <c r="AG9474" s="536"/>
    </row>
    <row r="9475" spans="33:33">
      <c r="AG9475" s="536"/>
    </row>
    <row r="9476" spans="33:33">
      <c r="AG9476" s="536"/>
    </row>
    <row r="9477" spans="33:33">
      <c r="AG9477" s="536"/>
    </row>
    <row r="9478" spans="33:33">
      <c r="AG9478" s="536"/>
    </row>
    <row r="9479" spans="33:33">
      <c r="AG9479" s="536"/>
    </row>
    <row r="9480" spans="33:33">
      <c r="AG9480" s="536"/>
    </row>
    <row r="9481" spans="33:33">
      <c r="AG9481" s="536"/>
    </row>
    <row r="9482" spans="33:33">
      <c r="AG9482" s="536"/>
    </row>
    <row r="9483" spans="33:33">
      <c r="AG9483" s="536"/>
    </row>
    <row r="9484" spans="33:33">
      <c r="AG9484" s="536"/>
    </row>
    <row r="9485" spans="33:33">
      <c r="AG9485" s="536"/>
    </row>
    <row r="9486" spans="33:33">
      <c r="AG9486" s="536"/>
    </row>
    <row r="9487" spans="33:33">
      <c r="AG9487" s="536"/>
    </row>
    <row r="9488" spans="33:33">
      <c r="AG9488" s="536"/>
    </row>
    <row r="9489" spans="33:33">
      <c r="AG9489" s="536"/>
    </row>
    <row r="9490" spans="33:33">
      <c r="AG9490" s="536"/>
    </row>
    <row r="9491" spans="33:33">
      <c r="AG9491" s="536"/>
    </row>
    <row r="9492" spans="33:33">
      <c r="AG9492" s="536"/>
    </row>
    <row r="9493" spans="33:33">
      <c r="AG9493" s="536"/>
    </row>
    <row r="9494" spans="33:33">
      <c r="AG9494" s="536"/>
    </row>
    <row r="9495" spans="33:33">
      <c r="AG9495" s="536"/>
    </row>
    <row r="9496" spans="33:33">
      <c r="AG9496" s="536"/>
    </row>
    <row r="9497" spans="33:33">
      <c r="AG9497" s="536"/>
    </row>
    <row r="9498" spans="33:33">
      <c r="AG9498" s="536"/>
    </row>
    <row r="9499" spans="33:33">
      <c r="AG9499" s="536"/>
    </row>
    <row r="9500" spans="33:33">
      <c r="AG9500" s="536"/>
    </row>
    <row r="9501" spans="33:33">
      <c r="AG9501" s="536"/>
    </row>
    <row r="9502" spans="33:33">
      <c r="AG9502" s="536"/>
    </row>
    <row r="9503" spans="33:33">
      <c r="AG9503" s="536"/>
    </row>
    <row r="9504" spans="33:33">
      <c r="AG9504" s="536"/>
    </row>
    <row r="9505" spans="33:33">
      <c r="AG9505" s="536"/>
    </row>
    <row r="9506" spans="33:33">
      <c r="AG9506" s="536"/>
    </row>
    <row r="9507" spans="33:33">
      <c r="AG9507" s="536"/>
    </row>
    <row r="9508" spans="33:33">
      <c r="AG9508" s="536"/>
    </row>
    <row r="9509" spans="33:33">
      <c r="AG9509" s="536"/>
    </row>
    <row r="9510" spans="33:33">
      <c r="AG9510" s="536"/>
    </row>
    <row r="9511" spans="33:33">
      <c r="AG9511" s="536"/>
    </row>
    <row r="9512" spans="33:33">
      <c r="AG9512" s="536"/>
    </row>
    <row r="9513" spans="33:33">
      <c r="AG9513" s="536"/>
    </row>
    <row r="9514" spans="33:33">
      <c r="AG9514" s="536"/>
    </row>
    <row r="9515" spans="33:33">
      <c r="AG9515" s="536"/>
    </row>
    <row r="9516" spans="33:33">
      <c r="AG9516" s="536"/>
    </row>
    <row r="9517" spans="33:33">
      <c r="AG9517" s="536"/>
    </row>
    <row r="9518" spans="33:33">
      <c r="AG9518" s="536"/>
    </row>
    <row r="9519" spans="33:33">
      <c r="AG9519" s="536"/>
    </row>
    <row r="9520" spans="33:33">
      <c r="AG9520" s="536"/>
    </row>
    <row r="9521" spans="33:33">
      <c r="AG9521" s="536"/>
    </row>
    <row r="9522" spans="33:33">
      <c r="AG9522" s="536"/>
    </row>
    <row r="9523" spans="33:33">
      <c r="AG9523" s="536"/>
    </row>
    <row r="9524" spans="33:33">
      <c r="AG9524" s="536"/>
    </row>
    <row r="9525" spans="33:33">
      <c r="AG9525" s="536"/>
    </row>
    <row r="9526" spans="33:33">
      <c r="AG9526" s="536"/>
    </row>
    <row r="9527" spans="33:33">
      <c r="AG9527" s="536"/>
    </row>
    <row r="9528" spans="33:33">
      <c r="AG9528" s="536"/>
    </row>
    <row r="9529" spans="33:33">
      <c r="AG9529" s="536"/>
    </row>
    <row r="9530" spans="33:33">
      <c r="AG9530" s="536"/>
    </row>
    <row r="9531" spans="33:33">
      <c r="AG9531" s="536"/>
    </row>
    <row r="9532" spans="33:33">
      <c r="AG9532" s="536"/>
    </row>
    <row r="9533" spans="33:33">
      <c r="AG9533" s="536"/>
    </row>
    <row r="9534" spans="33:33">
      <c r="AG9534" s="536"/>
    </row>
    <row r="9535" spans="33:33">
      <c r="AG9535" s="536"/>
    </row>
    <row r="9536" spans="33:33">
      <c r="AG9536" s="536"/>
    </row>
    <row r="9537" spans="33:33">
      <c r="AG9537" s="536"/>
    </row>
    <row r="9538" spans="33:33">
      <c r="AG9538" s="536"/>
    </row>
    <row r="9539" spans="33:33">
      <c r="AG9539" s="536"/>
    </row>
    <row r="9540" spans="33:33">
      <c r="AG9540" s="536"/>
    </row>
    <row r="9541" spans="33:33">
      <c r="AG9541" s="536"/>
    </row>
    <row r="9542" spans="33:33">
      <c r="AG9542" s="536"/>
    </row>
    <row r="9543" spans="33:33">
      <c r="AG9543" s="536"/>
    </row>
    <row r="9544" spans="33:33">
      <c r="AG9544" s="536"/>
    </row>
    <row r="9545" spans="33:33">
      <c r="AG9545" s="536"/>
    </row>
    <row r="9546" spans="33:33">
      <c r="AG9546" s="536"/>
    </row>
    <row r="9547" spans="33:33">
      <c r="AG9547" s="536"/>
    </row>
    <row r="9548" spans="33:33">
      <c r="AG9548" s="536"/>
    </row>
    <row r="9549" spans="33:33">
      <c r="AG9549" s="536"/>
    </row>
    <row r="9550" spans="33:33">
      <c r="AG9550" s="536"/>
    </row>
    <row r="9551" spans="33:33">
      <c r="AG9551" s="536"/>
    </row>
    <row r="9552" spans="33:33">
      <c r="AG9552" s="536"/>
    </row>
    <row r="9553" spans="33:33">
      <c r="AG9553" s="536"/>
    </row>
    <row r="9554" spans="33:33">
      <c r="AG9554" s="536"/>
    </row>
    <row r="9555" spans="33:33">
      <c r="AG9555" s="536"/>
    </row>
    <row r="9556" spans="33:33">
      <c r="AG9556" s="536"/>
    </row>
    <row r="9557" spans="33:33">
      <c r="AG9557" s="536"/>
    </row>
    <row r="9558" spans="33:33">
      <c r="AG9558" s="536"/>
    </row>
    <row r="9559" spans="33:33">
      <c r="AG9559" s="536"/>
    </row>
    <row r="9560" spans="33:33">
      <c r="AG9560" s="536"/>
    </row>
    <row r="9561" spans="33:33">
      <c r="AG9561" s="536"/>
    </row>
    <row r="9562" spans="33:33">
      <c r="AG9562" s="536"/>
    </row>
    <row r="9563" spans="33:33">
      <c r="AG9563" s="536"/>
    </row>
    <row r="9564" spans="33:33">
      <c r="AG9564" s="536"/>
    </row>
    <row r="9565" spans="33:33">
      <c r="AG9565" s="536"/>
    </row>
    <row r="9566" spans="33:33">
      <c r="AG9566" s="536"/>
    </row>
    <row r="9567" spans="33:33">
      <c r="AG9567" s="536"/>
    </row>
    <row r="9568" spans="33:33">
      <c r="AG9568" s="536"/>
    </row>
    <row r="9569" spans="33:33">
      <c r="AG9569" s="536"/>
    </row>
    <row r="9570" spans="33:33">
      <c r="AG9570" s="536"/>
    </row>
    <row r="9571" spans="33:33">
      <c r="AG9571" s="536"/>
    </row>
    <row r="9572" spans="33:33">
      <c r="AG9572" s="536"/>
    </row>
    <row r="9573" spans="33:33">
      <c r="AG9573" s="536"/>
    </row>
    <row r="9574" spans="33:33">
      <c r="AG9574" s="536"/>
    </row>
    <row r="9575" spans="33:33">
      <c r="AG9575" s="536"/>
    </row>
    <row r="9576" spans="33:33">
      <c r="AG9576" s="536"/>
    </row>
    <row r="9577" spans="33:33">
      <c r="AG9577" s="536"/>
    </row>
    <row r="9578" spans="33:33">
      <c r="AG9578" s="536"/>
    </row>
    <row r="9579" spans="33:33">
      <c r="AG9579" s="536"/>
    </row>
    <row r="9580" spans="33:33">
      <c r="AG9580" s="536"/>
    </row>
    <row r="9581" spans="33:33">
      <c r="AG9581" s="536"/>
    </row>
    <row r="9582" spans="33:33">
      <c r="AG9582" s="536"/>
    </row>
    <row r="9583" spans="33:33">
      <c r="AG9583" s="536"/>
    </row>
    <row r="9584" spans="33:33">
      <c r="AG9584" s="536"/>
    </row>
    <row r="9585" spans="33:33">
      <c r="AG9585" s="536"/>
    </row>
    <row r="9586" spans="33:33">
      <c r="AG9586" s="536"/>
    </row>
    <row r="9587" spans="33:33">
      <c r="AG9587" s="536"/>
    </row>
    <row r="9588" spans="33:33">
      <c r="AG9588" s="536"/>
    </row>
    <row r="9589" spans="33:33">
      <c r="AG9589" s="536"/>
    </row>
    <row r="9590" spans="33:33">
      <c r="AG9590" s="536"/>
    </row>
    <row r="9591" spans="33:33">
      <c r="AG9591" s="536"/>
    </row>
    <row r="9592" spans="33:33">
      <c r="AG9592" s="536"/>
    </row>
    <row r="9593" spans="33:33">
      <c r="AG9593" s="536"/>
    </row>
    <row r="9594" spans="33:33">
      <c r="AG9594" s="536"/>
    </row>
    <row r="9595" spans="33:33">
      <c r="AG9595" s="536"/>
    </row>
    <row r="9596" spans="33:33">
      <c r="AG9596" s="536"/>
    </row>
    <row r="9597" spans="33:33">
      <c r="AG9597" s="536"/>
    </row>
    <row r="9598" spans="33:33">
      <c r="AG9598" s="536"/>
    </row>
    <row r="9599" spans="33:33">
      <c r="AG9599" s="536"/>
    </row>
    <row r="9600" spans="33:33">
      <c r="AG9600" s="536"/>
    </row>
    <row r="9601" spans="33:33">
      <c r="AG9601" s="536"/>
    </row>
    <row r="9602" spans="33:33">
      <c r="AG9602" s="536"/>
    </row>
    <row r="9603" spans="33:33">
      <c r="AG9603" s="536"/>
    </row>
    <row r="9604" spans="33:33">
      <c r="AG9604" s="536"/>
    </row>
    <row r="9605" spans="33:33">
      <c r="AG9605" s="536"/>
    </row>
    <row r="9606" spans="33:33">
      <c r="AG9606" s="536"/>
    </row>
    <row r="9607" spans="33:33">
      <c r="AG9607" s="536"/>
    </row>
    <row r="9608" spans="33:33">
      <c r="AG9608" s="536"/>
    </row>
    <row r="9609" spans="33:33">
      <c r="AG9609" s="536"/>
    </row>
    <row r="9610" spans="33:33">
      <c r="AG9610" s="536"/>
    </row>
    <row r="9611" spans="33:33">
      <c r="AG9611" s="536"/>
    </row>
    <row r="9612" spans="33:33">
      <c r="AG9612" s="536"/>
    </row>
    <row r="9613" spans="33:33">
      <c r="AG9613" s="536"/>
    </row>
    <row r="9614" spans="33:33">
      <c r="AG9614" s="536"/>
    </row>
    <row r="9615" spans="33:33">
      <c r="AG9615" s="536"/>
    </row>
    <row r="9616" spans="33:33">
      <c r="AG9616" s="536"/>
    </row>
    <row r="9617" spans="33:33">
      <c r="AG9617" s="536"/>
    </row>
    <row r="9618" spans="33:33">
      <c r="AG9618" s="536"/>
    </row>
    <row r="9619" spans="33:33">
      <c r="AG9619" s="536"/>
    </row>
    <row r="9620" spans="33:33">
      <c r="AG9620" s="536"/>
    </row>
    <row r="9621" spans="33:33">
      <c r="AG9621" s="536"/>
    </row>
    <row r="9622" spans="33:33">
      <c r="AG9622" s="536"/>
    </row>
    <row r="9623" spans="33:33">
      <c r="AG9623" s="536"/>
    </row>
    <row r="9624" spans="33:33">
      <c r="AG9624" s="536"/>
    </row>
    <row r="9625" spans="33:33">
      <c r="AG9625" s="536"/>
    </row>
    <row r="9626" spans="33:33">
      <c r="AG9626" s="536"/>
    </row>
    <row r="9627" spans="33:33">
      <c r="AG9627" s="536"/>
    </row>
    <row r="9628" spans="33:33">
      <c r="AG9628" s="536"/>
    </row>
    <row r="9629" spans="33:33">
      <c r="AG9629" s="536"/>
    </row>
    <row r="9630" spans="33:33">
      <c r="AG9630" s="536"/>
    </row>
    <row r="9631" spans="33:33">
      <c r="AG9631" s="536"/>
    </row>
    <row r="9632" spans="33:33">
      <c r="AG9632" s="536"/>
    </row>
    <row r="9633" spans="33:33">
      <c r="AG9633" s="536"/>
    </row>
    <row r="9634" spans="33:33">
      <c r="AG9634" s="536"/>
    </row>
    <row r="9635" spans="33:33">
      <c r="AG9635" s="536"/>
    </row>
    <row r="9636" spans="33:33">
      <c r="AG9636" s="536"/>
    </row>
    <row r="9637" spans="33:33">
      <c r="AG9637" s="536"/>
    </row>
    <row r="9638" spans="33:33">
      <c r="AG9638" s="536"/>
    </row>
    <row r="9639" spans="33:33">
      <c r="AG9639" s="536"/>
    </row>
    <row r="9640" spans="33:33">
      <c r="AG9640" s="536"/>
    </row>
    <row r="9641" spans="33:33">
      <c r="AG9641" s="536"/>
    </row>
    <row r="9642" spans="33:33">
      <c r="AG9642" s="536"/>
    </row>
    <row r="9643" spans="33:33">
      <c r="AG9643" s="536"/>
    </row>
    <row r="9644" spans="33:33">
      <c r="AG9644" s="536"/>
    </row>
    <row r="9645" spans="33:33">
      <c r="AG9645" s="536"/>
    </row>
    <row r="9646" spans="33:33">
      <c r="AG9646" s="536"/>
    </row>
    <row r="9647" spans="33:33">
      <c r="AG9647" s="536"/>
    </row>
    <row r="9648" spans="33:33">
      <c r="AG9648" s="536"/>
    </row>
    <row r="9649" spans="33:33">
      <c r="AG9649" s="536"/>
    </row>
    <row r="9650" spans="33:33">
      <c r="AG9650" s="536"/>
    </row>
    <row r="9651" spans="33:33">
      <c r="AG9651" s="536"/>
    </row>
    <row r="9652" spans="33:33">
      <c r="AG9652" s="536"/>
    </row>
    <row r="9653" spans="33:33">
      <c r="AG9653" s="536"/>
    </row>
    <row r="9654" spans="33:33">
      <c r="AG9654" s="536"/>
    </row>
    <row r="9655" spans="33:33">
      <c r="AG9655" s="536"/>
    </row>
    <row r="9656" spans="33:33">
      <c r="AG9656" s="536"/>
    </row>
    <row r="9657" spans="33:33">
      <c r="AG9657" s="536"/>
    </row>
    <row r="9658" spans="33:33">
      <c r="AG9658" s="536"/>
    </row>
    <row r="9659" spans="33:33">
      <c r="AG9659" s="536"/>
    </row>
    <row r="9660" spans="33:33">
      <c r="AG9660" s="536"/>
    </row>
    <row r="9661" spans="33:33">
      <c r="AG9661" s="536"/>
    </row>
    <row r="9662" spans="33:33">
      <c r="AG9662" s="536"/>
    </row>
    <row r="9663" spans="33:33">
      <c r="AG9663" s="536"/>
    </row>
    <row r="9664" spans="33:33">
      <c r="AG9664" s="536"/>
    </row>
    <row r="9665" spans="33:33">
      <c r="AG9665" s="536"/>
    </row>
    <row r="9666" spans="33:33">
      <c r="AG9666" s="536"/>
    </row>
    <row r="9667" spans="33:33">
      <c r="AG9667" s="536"/>
    </row>
    <row r="9668" spans="33:33">
      <c r="AG9668" s="536"/>
    </row>
    <row r="9669" spans="33:33">
      <c r="AG9669" s="536"/>
    </row>
    <row r="9670" spans="33:33">
      <c r="AG9670" s="536"/>
    </row>
    <row r="9671" spans="33:33">
      <c r="AG9671" s="536"/>
    </row>
    <row r="9672" spans="33:33">
      <c r="AG9672" s="536"/>
    </row>
    <row r="9673" spans="33:33">
      <c r="AG9673" s="536"/>
    </row>
    <row r="9674" spans="33:33">
      <c r="AG9674" s="536"/>
    </row>
    <row r="9675" spans="33:33">
      <c r="AG9675" s="536"/>
    </row>
    <row r="9676" spans="33:33">
      <c r="AG9676" s="536"/>
    </row>
    <row r="9677" spans="33:33">
      <c r="AG9677" s="536"/>
    </row>
    <row r="9678" spans="33:33">
      <c r="AG9678" s="536"/>
    </row>
    <row r="9679" spans="33:33">
      <c r="AG9679" s="536"/>
    </row>
    <row r="9680" spans="33:33">
      <c r="AG9680" s="536"/>
    </row>
    <row r="9681" spans="33:33">
      <c r="AG9681" s="536"/>
    </row>
    <row r="9682" spans="33:33">
      <c r="AG9682" s="536"/>
    </row>
    <row r="9683" spans="33:33">
      <c r="AG9683" s="536"/>
    </row>
    <row r="9684" spans="33:33">
      <c r="AG9684" s="536"/>
    </row>
    <row r="9685" spans="33:33">
      <c r="AG9685" s="536"/>
    </row>
    <row r="9686" spans="33:33">
      <c r="AG9686" s="536"/>
    </row>
    <row r="9687" spans="33:33">
      <c r="AG9687" s="536"/>
    </row>
    <row r="9688" spans="33:33">
      <c r="AG9688" s="536"/>
    </row>
    <row r="9689" spans="33:33">
      <c r="AG9689" s="536"/>
    </row>
    <row r="9690" spans="33:33">
      <c r="AG9690" s="536"/>
    </row>
    <row r="9691" spans="33:33">
      <c r="AG9691" s="536"/>
    </row>
    <row r="9692" spans="33:33">
      <c r="AG9692" s="536"/>
    </row>
    <row r="9693" spans="33:33">
      <c r="AG9693" s="536"/>
    </row>
    <row r="9694" spans="33:33">
      <c r="AG9694" s="536"/>
    </row>
    <row r="9695" spans="33:33">
      <c r="AG9695" s="536"/>
    </row>
    <row r="9696" spans="33:33">
      <c r="AG9696" s="536"/>
    </row>
    <row r="9697" spans="33:33">
      <c r="AG9697" s="536"/>
    </row>
    <row r="9698" spans="33:33">
      <c r="AG9698" s="536"/>
    </row>
    <row r="9699" spans="33:33">
      <c r="AG9699" s="536"/>
    </row>
    <row r="9700" spans="33:33">
      <c r="AG9700" s="536"/>
    </row>
    <row r="9701" spans="33:33">
      <c r="AG9701" s="536"/>
    </row>
    <row r="9702" spans="33:33">
      <c r="AG9702" s="536"/>
    </row>
    <row r="9703" spans="33:33">
      <c r="AG9703" s="536"/>
    </row>
    <row r="9704" spans="33:33">
      <c r="AG9704" s="536"/>
    </row>
    <row r="9705" spans="33:33">
      <c r="AG9705" s="536"/>
    </row>
    <row r="9706" spans="33:33">
      <c r="AG9706" s="536"/>
    </row>
    <row r="9707" spans="33:33">
      <c r="AG9707" s="536"/>
    </row>
    <row r="9708" spans="33:33">
      <c r="AG9708" s="536"/>
    </row>
    <row r="9709" spans="33:33">
      <c r="AG9709" s="536"/>
    </row>
    <row r="9710" spans="33:33">
      <c r="AG9710" s="536"/>
    </row>
    <row r="9711" spans="33:33">
      <c r="AG9711" s="536"/>
    </row>
    <row r="9712" spans="33:33">
      <c r="AG9712" s="536"/>
    </row>
    <row r="9713" spans="33:33">
      <c r="AG9713" s="536"/>
    </row>
    <row r="9714" spans="33:33">
      <c r="AG9714" s="536"/>
    </row>
    <row r="9715" spans="33:33">
      <c r="AG9715" s="536"/>
    </row>
    <row r="9716" spans="33:33">
      <c r="AG9716" s="536"/>
    </row>
    <row r="9717" spans="33:33">
      <c r="AG9717" s="536"/>
    </row>
    <row r="9718" spans="33:33">
      <c r="AG9718" s="536"/>
    </row>
    <row r="9719" spans="33:33">
      <c r="AG9719" s="536"/>
    </row>
    <row r="9720" spans="33:33">
      <c r="AG9720" s="536"/>
    </row>
    <row r="9721" spans="33:33">
      <c r="AG9721" s="536"/>
    </row>
    <row r="9722" spans="33:33">
      <c r="AG9722" s="536"/>
    </row>
    <row r="9723" spans="33:33">
      <c r="AG9723" s="536"/>
    </row>
    <row r="9724" spans="33:33">
      <c r="AG9724" s="536"/>
    </row>
    <row r="9725" spans="33:33">
      <c r="AG9725" s="536"/>
    </row>
    <row r="9726" spans="33:33">
      <c r="AG9726" s="536"/>
    </row>
    <row r="9727" spans="33:33">
      <c r="AG9727" s="536"/>
    </row>
    <row r="9728" spans="33:33">
      <c r="AG9728" s="536"/>
    </row>
    <row r="9729" spans="33:33">
      <c r="AG9729" s="536"/>
    </row>
    <row r="9730" spans="33:33">
      <c r="AG9730" s="536"/>
    </row>
    <row r="9731" spans="33:33">
      <c r="AG9731" s="536"/>
    </row>
    <row r="9732" spans="33:33">
      <c r="AG9732" s="536"/>
    </row>
    <row r="9733" spans="33:33">
      <c r="AG9733" s="536"/>
    </row>
    <row r="9734" spans="33:33">
      <c r="AG9734" s="536"/>
    </row>
    <row r="9735" spans="33:33">
      <c r="AG9735" s="536"/>
    </row>
    <row r="9736" spans="33:33">
      <c r="AG9736" s="536"/>
    </row>
    <row r="9737" spans="33:33">
      <c r="AG9737" s="536"/>
    </row>
    <row r="9738" spans="33:33">
      <c r="AG9738" s="536"/>
    </row>
    <row r="9739" spans="33:33">
      <c r="AG9739" s="536"/>
    </row>
    <row r="9740" spans="33:33">
      <c r="AG9740" s="536"/>
    </row>
    <row r="9741" spans="33:33">
      <c r="AG9741" s="536"/>
    </row>
    <row r="9742" spans="33:33">
      <c r="AG9742" s="536"/>
    </row>
    <row r="9743" spans="33:33">
      <c r="AG9743" s="536"/>
    </row>
    <row r="9744" spans="33:33">
      <c r="AG9744" s="536"/>
    </row>
    <row r="9745" spans="33:33">
      <c r="AG9745" s="536"/>
    </row>
    <row r="9746" spans="33:33">
      <c r="AG9746" s="536"/>
    </row>
    <row r="9747" spans="33:33">
      <c r="AG9747" s="536"/>
    </row>
    <row r="9748" spans="33:33">
      <c r="AG9748" s="536"/>
    </row>
    <row r="9749" spans="33:33">
      <c r="AG9749" s="536"/>
    </row>
    <row r="9750" spans="33:33">
      <c r="AG9750" s="536"/>
    </row>
    <row r="9751" spans="33:33">
      <c r="AG9751" s="536"/>
    </row>
    <row r="9752" spans="33:33">
      <c r="AG9752" s="536"/>
    </row>
    <row r="9753" spans="33:33">
      <c r="AG9753" s="536"/>
    </row>
    <row r="9754" spans="33:33">
      <c r="AG9754" s="536"/>
    </row>
    <row r="9755" spans="33:33">
      <c r="AG9755" s="536"/>
    </row>
    <row r="9756" spans="33:33">
      <c r="AG9756" s="536"/>
    </row>
    <row r="9757" spans="33:33">
      <c r="AG9757" s="536"/>
    </row>
    <row r="9758" spans="33:33">
      <c r="AG9758" s="536"/>
    </row>
    <row r="9759" spans="33:33">
      <c r="AG9759" s="536"/>
    </row>
    <row r="9760" spans="33:33">
      <c r="AG9760" s="536"/>
    </row>
    <row r="9761" spans="33:33">
      <c r="AG9761" s="536"/>
    </row>
    <row r="9762" spans="33:33">
      <c r="AG9762" s="536"/>
    </row>
    <row r="9763" spans="33:33">
      <c r="AG9763" s="536"/>
    </row>
    <row r="9764" spans="33:33">
      <c r="AG9764" s="536"/>
    </row>
    <row r="9765" spans="33:33">
      <c r="AG9765" s="536"/>
    </row>
    <row r="9766" spans="33:33">
      <c r="AG9766" s="536"/>
    </row>
    <row r="9767" spans="33:33">
      <c r="AG9767" s="536"/>
    </row>
    <row r="9768" spans="33:33">
      <c r="AG9768" s="536"/>
    </row>
    <row r="9769" spans="33:33">
      <c r="AG9769" s="536"/>
    </row>
    <row r="9770" spans="33:33">
      <c r="AG9770" s="536"/>
    </row>
    <row r="9771" spans="33:33">
      <c r="AG9771" s="536"/>
    </row>
    <row r="9772" spans="33:33">
      <c r="AG9772" s="536"/>
    </row>
    <row r="9773" spans="33:33">
      <c r="AG9773" s="536"/>
    </row>
    <row r="9774" spans="33:33">
      <c r="AG9774" s="536"/>
    </row>
    <row r="9775" spans="33:33">
      <c r="AG9775" s="536"/>
    </row>
    <row r="9776" spans="33:33">
      <c r="AG9776" s="536"/>
    </row>
    <row r="9777" spans="33:33">
      <c r="AG9777" s="536"/>
    </row>
    <row r="9778" spans="33:33">
      <c r="AG9778" s="536"/>
    </row>
    <row r="9779" spans="33:33">
      <c r="AG9779" s="536"/>
    </row>
    <row r="9780" spans="33:33">
      <c r="AG9780" s="536"/>
    </row>
    <row r="9781" spans="33:33">
      <c r="AG9781" s="536"/>
    </row>
    <row r="9782" spans="33:33">
      <c r="AG9782" s="536"/>
    </row>
    <row r="9783" spans="33:33">
      <c r="AG9783" s="536"/>
    </row>
    <row r="9784" spans="33:33">
      <c r="AG9784" s="536"/>
    </row>
    <row r="9785" spans="33:33">
      <c r="AG9785" s="536"/>
    </row>
    <row r="9786" spans="33:33">
      <c r="AG9786" s="536"/>
    </row>
    <row r="9787" spans="33:33">
      <c r="AG9787" s="536"/>
    </row>
    <row r="9788" spans="33:33">
      <c r="AG9788" s="536"/>
    </row>
    <row r="9789" spans="33:33">
      <c r="AG9789" s="536"/>
    </row>
    <row r="9790" spans="33:33">
      <c r="AG9790" s="536"/>
    </row>
    <row r="9791" spans="33:33">
      <c r="AG9791" s="536"/>
    </row>
    <row r="9792" spans="33:33">
      <c r="AG9792" s="536"/>
    </row>
    <row r="9793" spans="33:33">
      <c r="AG9793" s="536"/>
    </row>
    <row r="9794" spans="33:33">
      <c r="AG9794" s="536"/>
    </row>
    <row r="9795" spans="33:33">
      <c r="AG9795" s="536"/>
    </row>
    <row r="9796" spans="33:33">
      <c r="AG9796" s="536"/>
    </row>
    <row r="9797" spans="33:33">
      <c r="AG9797" s="536"/>
    </row>
    <row r="9798" spans="33:33">
      <c r="AG9798" s="536"/>
    </row>
    <row r="9799" spans="33:33">
      <c r="AG9799" s="536"/>
    </row>
    <row r="9800" spans="33:33">
      <c r="AG9800" s="536"/>
    </row>
    <row r="9801" spans="33:33">
      <c r="AG9801" s="536"/>
    </row>
    <row r="9802" spans="33:33">
      <c r="AG9802" s="536"/>
    </row>
    <row r="9803" spans="33:33">
      <c r="AG9803" s="536"/>
    </row>
    <row r="9804" spans="33:33">
      <c r="AG9804" s="536"/>
    </row>
    <row r="9805" spans="33:33">
      <c r="AG9805" s="536"/>
    </row>
    <row r="9806" spans="33:33">
      <c r="AG9806" s="536"/>
    </row>
    <row r="9807" spans="33:33">
      <c r="AG9807" s="536"/>
    </row>
    <row r="9808" spans="33:33">
      <c r="AG9808" s="536"/>
    </row>
    <row r="9809" spans="33:33">
      <c r="AG9809" s="536"/>
    </row>
    <row r="9810" spans="33:33">
      <c r="AG9810" s="536"/>
    </row>
    <row r="9811" spans="33:33">
      <c r="AG9811" s="536"/>
    </row>
    <row r="9812" spans="33:33">
      <c r="AG9812" s="536"/>
    </row>
    <row r="9813" spans="33:33">
      <c r="AG9813" s="536"/>
    </row>
    <row r="9814" spans="33:33">
      <c r="AG9814" s="536"/>
    </row>
    <row r="9815" spans="33:33">
      <c r="AG9815" s="536"/>
    </row>
    <row r="9816" spans="33:33">
      <c r="AG9816" s="536"/>
    </row>
    <row r="9817" spans="33:33">
      <c r="AG9817" s="536"/>
    </row>
    <row r="9818" spans="33:33">
      <c r="AG9818" s="536"/>
    </row>
    <row r="9819" spans="33:33">
      <c r="AG9819" s="536"/>
    </row>
    <row r="9820" spans="33:33">
      <c r="AG9820" s="536"/>
    </row>
    <row r="9821" spans="33:33">
      <c r="AG9821" s="536"/>
    </row>
    <row r="9822" spans="33:33">
      <c r="AG9822" s="536"/>
    </row>
    <row r="9823" spans="33:33">
      <c r="AG9823" s="536"/>
    </row>
    <row r="9824" spans="33:33">
      <c r="AG9824" s="536"/>
    </row>
    <row r="9825" spans="33:33">
      <c r="AG9825" s="536"/>
    </row>
    <row r="9826" spans="33:33">
      <c r="AG9826" s="536"/>
    </row>
    <row r="9827" spans="33:33">
      <c r="AG9827" s="536"/>
    </row>
    <row r="9828" spans="33:33">
      <c r="AG9828" s="536"/>
    </row>
    <row r="9829" spans="33:33">
      <c r="AG9829" s="536"/>
    </row>
    <row r="9830" spans="33:33">
      <c r="AG9830" s="536"/>
    </row>
    <row r="9831" spans="33:33">
      <c r="AG9831" s="536"/>
    </row>
    <row r="9832" spans="33:33">
      <c r="AG9832" s="536"/>
    </row>
    <row r="9833" spans="33:33">
      <c r="AG9833" s="536"/>
    </row>
    <row r="9834" spans="33:33">
      <c r="AG9834" s="536"/>
    </row>
    <row r="9835" spans="33:33">
      <c r="AG9835" s="536"/>
    </row>
    <row r="9836" spans="33:33">
      <c r="AG9836" s="536"/>
    </row>
    <row r="9837" spans="33:33">
      <c r="AG9837" s="536"/>
    </row>
    <row r="9838" spans="33:33">
      <c r="AG9838" s="536"/>
    </row>
    <row r="9839" spans="33:33">
      <c r="AG9839" s="536"/>
    </row>
    <row r="9840" spans="33:33">
      <c r="AG9840" s="536"/>
    </row>
    <row r="9841" spans="33:33">
      <c r="AG9841" s="536"/>
    </row>
    <row r="9842" spans="33:33">
      <c r="AG9842" s="536"/>
    </row>
    <row r="9843" spans="33:33">
      <c r="AG9843" s="536"/>
    </row>
    <row r="9844" spans="33:33">
      <c r="AG9844" s="536"/>
    </row>
    <row r="9845" spans="33:33">
      <c r="AG9845" s="536"/>
    </row>
    <row r="9846" spans="33:33">
      <c r="AG9846" s="536"/>
    </row>
    <row r="9847" spans="33:33">
      <c r="AG9847" s="536"/>
    </row>
    <row r="9848" spans="33:33">
      <c r="AG9848" s="536"/>
    </row>
    <row r="9849" spans="33:33">
      <c r="AG9849" s="536"/>
    </row>
    <row r="9850" spans="33:33">
      <c r="AG9850" s="536"/>
    </row>
    <row r="9851" spans="33:33">
      <c r="AG9851" s="536"/>
    </row>
    <row r="9852" spans="33:33">
      <c r="AG9852" s="536"/>
    </row>
    <row r="9853" spans="33:33">
      <c r="AG9853" s="536"/>
    </row>
    <row r="9854" spans="33:33">
      <c r="AG9854" s="536"/>
    </row>
    <row r="9855" spans="33:33">
      <c r="AG9855" s="536"/>
    </row>
    <row r="9856" spans="33:33">
      <c r="AG9856" s="536"/>
    </row>
    <row r="9857" spans="33:33">
      <c r="AG9857" s="536"/>
    </row>
    <row r="9858" spans="33:33">
      <c r="AG9858" s="536"/>
    </row>
    <row r="9859" spans="33:33">
      <c r="AG9859" s="536"/>
    </row>
    <row r="9860" spans="33:33">
      <c r="AG9860" s="536"/>
    </row>
    <row r="9861" spans="33:33">
      <c r="AG9861" s="536"/>
    </row>
    <row r="9862" spans="33:33">
      <c r="AG9862" s="536"/>
    </row>
    <row r="9863" spans="33:33">
      <c r="AG9863" s="536"/>
    </row>
    <row r="9864" spans="33:33">
      <c r="AG9864" s="536"/>
    </row>
    <row r="9865" spans="33:33">
      <c r="AG9865" s="536"/>
    </row>
    <row r="9866" spans="33:33">
      <c r="AG9866" s="536"/>
    </row>
    <row r="9867" spans="33:33">
      <c r="AG9867" s="536"/>
    </row>
    <row r="9868" spans="33:33">
      <c r="AG9868" s="536"/>
    </row>
    <row r="9869" spans="33:33">
      <c r="AG9869" s="536"/>
    </row>
    <row r="9870" spans="33:33">
      <c r="AG9870" s="536"/>
    </row>
    <row r="9871" spans="33:33">
      <c r="AG9871" s="536"/>
    </row>
    <row r="9872" spans="33:33">
      <c r="AG9872" s="536"/>
    </row>
    <row r="9873" spans="33:33">
      <c r="AG9873" s="536"/>
    </row>
    <row r="9874" spans="33:33">
      <c r="AG9874" s="536"/>
    </row>
    <row r="9875" spans="33:33">
      <c r="AG9875" s="536"/>
    </row>
    <row r="9876" spans="33:33">
      <c r="AG9876" s="536"/>
    </row>
    <row r="9877" spans="33:33">
      <c r="AG9877" s="536"/>
    </row>
    <row r="9878" spans="33:33">
      <c r="AG9878" s="536"/>
    </row>
    <row r="9879" spans="33:33">
      <c r="AG9879" s="536"/>
    </row>
    <row r="9880" spans="33:33">
      <c r="AG9880" s="536"/>
    </row>
    <row r="9881" spans="33:33">
      <c r="AG9881" s="536"/>
    </row>
    <row r="9882" spans="33:33">
      <c r="AG9882" s="536"/>
    </row>
    <row r="9883" spans="33:33">
      <c r="AG9883" s="536"/>
    </row>
    <row r="9884" spans="33:33">
      <c r="AG9884" s="536"/>
    </row>
    <row r="9885" spans="33:33">
      <c r="AG9885" s="536"/>
    </row>
    <row r="9886" spans="33:33">
      <c r="AG9886" s="536"/>
    </row>
    <row r="9887" spans="33:33">
      <c r="AG9887" s="536"/>
    </row>
    <row r="9888" spans="33:33">
      <c r="AG9888" s="536"/>
    </row>
    <row r="9889" spans="33:33">
      <c r="AG9889" s="536"/>
    </row>
    <row r="9890" spans="33:33">
      <c r="AG9890" s="536"/>
    </row>
    <row r="9891" spans="33:33">
      <c r="AG9891" s="536"/>
    </row>
    <row r="9892" spans="33:33">
      <c r="AG9892" s="536"/>
    </row>
    <row r="9893" spans="33:33">
      <c r="AG9893" s="536"/>
    </row>
    <row r="9894" spans="33:33">
      <c r="AG9894" s="536"/>
    </row>
    <row r="9895" spans="33:33">
      <c r="AG9895" s="536"/>
    </row>
    <row r="9896" spans="33:33">
      <c r="AG9896" s="536"/>
    </row>
    <row r="9897" spans="33:33">
      <c r="AG9897" s="536"/>
    </row>
    <row r="9898" spans="33:33">
      <c r="AG9898" s="536"/>
    </row>
    <row r="9899" spans="33:33">
      <c r="AG9899" s="536"/>
    </row>
    <row r="9900" spans="33:33">
      <c r="AG9900" s="536"/>
    </row>
    <row r="9901" spans="33:33">
      <c r="AG9901" s="536"/>
    </row>
    <row r="9902" spans="33:33">
      <c r="AG9902" s="536"/>
    </row>
    <row r="9903" spans="33:33">
      <c r="AG9903" s="536"/>
    </row>
    <row r="9904" spans="33:33">
      <c r="AG9904" s="536"/>
    </row>
    <row r="9905" spans="33:33">
      <c r="AG9905" s="536"/>
    </row>
    <row r="9906" spans="33:33">
      <c r="AG9906" s="536"/>
    </row>
    <row r="9907" spans="33:33">
      <c r="AG9907" s="536"/>
    </row>
    <row r="9908" spans="33:33">
      <c r="AG9908" s="536"/>
    </row>
    <row r="9909" spans="33:33">
      <c r="AG9909" s="536"/>
    </row>
    <row r="9910" spans="33:33">
      <c r="AG9910" s="536"/>
    </row>
    <row r="9911" spans="33:33">
      <c r="AG9911" s="536"/>
    </row>
    <row r="9912" spans="33:33">
      <c r="AG9912" s="536"/>
    </row>
    <row r="9913" spans="33:33">
      <c r="AG9913" s="536"/>
    </row>
    <row r="9914" spans="33:33">
      <c r="AG9914" s="536"/>
    </row>
    <row r="9915" spans="33:33">
      <c r="AG9915" s="536"/>
    </row>
    <row r="9916" spans="33:33">
      <c r="AG9916" s="536"/>
    </row>
    <row r="9917" spans="33:33">
      <c r="AG9917" s="536"/>
    </row>
    <row r="9918" spans="33:33">
      <c r="AG9918" s="536"/>
    </row>
    <row r="9919" spans="33:33">
      <c r="AG9919" s="536"/>
    </row>
    <row r="9920" spans="33:33">
      <c r="AG9920" s="536"/>
    </row>
    <row r="9921" spans="33:33">
      <c r="AG9921" s="536"/>
    </row>
    <row r="9922" spans="33:33">
      <c r="AG9922" s="536"/>
    </row>
    <row r="9923" spans="33:33">
      <c r="AG9923" s="536"/>
    </row>
    <row r="9924" spans="33:33">
      <c r="AG9924" s="536"/>
    </row>
    <row r="9925" spans="33:33">
      <c r="AG9925" s="536"/>
    </row>
    <row r="9926" spans="33:33">
      <c r="AG9926" s="536"/>
    </row>
    <row r="9927" spans="33:33">
      <c r="AG9927" s="536"/>
    </row>
    <row r="9928" spans="33:33">
      <c r="AG9928" s="536"/>
    </row>
    <row r="9929" spans="33:33">
      <c r="AG9929" s="536"/>
    </row>
    <row r="9930" spans="33:33">
      <c r="AG9930" s="536"/>
    </row>
    <row r="9931" spans="33:33">
      <c r="AG9931" s="536"/>
    </row>
    <row r="9932" spans="33:33">
      <c r="AG9932" s="536"/>
    </row>
    <row r="9933" spans="33:33">
      <c r="AG9933" s="536"/>
    </row>
    <row r="9934" spans="33:33">
      <c r="AG9934" s="536"/>
    </row>
    <row r="9935" spans="33:33">
      <c r="AG9935" s="536"/>
    </row>
    <row r="9936" spans="33:33">
      <c r="AG9936" s="536"/>
    </row>
    <row r="9937" spans="33:33">
      <c r="AG9937" s="536"/>
    </row>
    <row r="9938" spans="33:33">
      <c r="AG9938" s="536"/>
    </row>
    <row r="9939" spans="33:33">
      <c r="AG9939" s="536"/>
    </row>
    <row r="9940" spans="33:33">
      <c r="AG9940" s="536"/>
    </row>
    <row r="9941" spans="33:33">
      <c r="AG9941" s="536"/>
    </row>
    <row r="9942" spans="33:33">
      <c r="AG9942" s="536"/>
    </row>
    <row r="9943" spans="33:33">
      <c r="AG9943" s="536"/>
    </row>
    <row r="9944" spans="33:33">
      <c r="AG9944" s="536"/>
    </row>
    <row r="9945" spans="33:33">
      <c r="AG9945" s="536"/>
    </row>
    <row r="9946" spans="33:33">
      <c r="AG9946" s="536"/>
    </row>
    <row r="9947" spans="33:33">
      <c r="AG9947" s="536"/>
    </row>
    <row r="9948" spans="33:33">
      <c r="AG9948" s="536"/>
    </row>
    <row r="9949" spans="33:33">
      <c r="AG9949" s="536"/>
    </row>
    <row r="9950" spans="33:33">
      <c r="AG9950" s="536"/>
    </row>
    <row r="9951" spans="33:33">
      <c r="AG9951" s="536"/>
    </row>
    <row r="9952" spans="33:33">
      <c r="AG9952" s="536"/>
    </row>
    <row r="9953" spans="33:33">
      <c r="AG9953" s="536"/>
    </row>
    <row r="9954" spans="33:33">
      <c r="AG9954" s="536"/>
    </row>
    <row r="9955" spans="33:33">
      <c r="AG9955" s="536"/>
    </row>
    <row r="9956" spans="33:33">
      <c r="AG9956" s="536"/>
    </row>
    <row r="9957" spans="33:33">
      <c r="AG9957" s="536"/>
    </row>
    <row r="9958" spans="33:33">
      <c r="AG9958" s="536"/>
    </row>
    <row r="9959" spans="33:33">
      <c r="AG9959" s="536"/>
    </row>
    <row r="9960" spans="33:33">
      <c r="AG9960" s="536"/>
    </row>
    <row r="9961" spans="33:33">
      <c r="AG9961" s="536"/>
    </row>
    <row r="9962" spans="33:33">
      <c r="AG9962" s="536"/>
    </row>
    <row r="9963" spans="33:33">
      <c r="AG9963" s="536"/>
    </row>
    <row r="9964" spans="33:33">
      <c r="AG9964" s="536"/>
    </row>
    <row r="9965" spans="33:33">
      <c r="AG9965" s="536"/>
    </row>
    <row r="9966" spans="33:33">
      <c r="AG9966" s="536"/>
    </row>
    <row r="9967" spans="33:33">
      <c r="AG9967" s="536"/>
    </row>
    <row r="9968" spans="33:33">
      <c r="AG9968" s="536"/>
    </row>
    <row r="9969" spans="33:33">
      <c r="AG9969" s="536"/>
    </row>
    <row r="9970" spans="33:33">
      <c r="AG9970" s="536"/>
    </row>
    <row r="9971" spans="33:33">
      <c r="AG9971" s="536"/>
    </row>
    <row r="9972" spans="33:33">
      <c r="AG9972" s="536"/>
    </row>
    <row r="9973" spans="33:33">
      <c r="AG9973" s="536"/>
    </row>
    <row r="9974" spans="33:33">
      <c r="AG9974" s="536"/>
    </row>
    <row r="9975" spans="33:33">
      <c r="AG9975" s="536"/>
    </row>
    <row r="9976" spans="33:33">
      <c r="AG9976" s="536"/>
    </row>
    <row r="9977" spans="33:33">
      <c r="AG9977" s="536"/>
    </row>
    <row r="9978" spans="33:33">
      <c r="AG9978" s="536"/>
    </row>
    <row r="9979" spans="33:33">
      <c r="AG9979" s="536"/>
    </row>
    <row r="9980" spans="33:33">
      <c r="AG9980" s="536"/>
    </row>
    <row r="9981" spans="33:33">
      <c r="AG9981" s="536"/>
    </row>
    <row r="9982" spans="33:33">
      <c r="AG9982" s="536"/>
    </row>
    <row r="9983" spans="33:33">
      <c r="AG9983" s="536"/>
    </row>
    <row r="9984" spans="33:33">
      <c r="AG9984" s="536"/>
    </row>
    <row r="9985" spans="33:33">
      <c r="AG9985" s="536"/>
    </row>
    <row r="9986" spans="33:33">
      <c r="AG9986" s="536"/>
    </row>
    <row r="9987" spans="33:33">
      <c r="AG9987" s="536"/>
    </row>
    <row r="9988" spans="33:33">
      <c r="AG9988" s="536"/>
    </row>
    <row r="9989" spans="33:33">
      <c r="AG9989" s="536"/>
    </row>
    <row r="9990" spans="33:33">
      <c r="AG9990" s="536"/>
    </row>
    <row r="9991" spans="33:33">
      <c r="AG9991" s="536"/>
    </row>
    <row r="9992" spans="33:33">
      <c r="AG9992" s="536"/>
    </row>
    <row r="9993" spans="33:33">
      <c r="AG9993" s="536"/>
    </row>
    <row r="9994" spans="33:33">
      <c r="AG9994" s="536"/>
    </row>
    <row r="9995" spans="33:33">
      <c r="AG9995" s="536"/>
    </row>
    <row r="9996" spans="33:33">
      <c r="AG9996" s="536"/>
    </row>
    <row r="9997" spans="33:33">
      <c r="AG9997" s="536"/>
    </row>
    <row r="9998" spans="33:33">
      <c r="AG9998" s="536"/>
    </row>
    <row r="9999" spans="33:33">
      <c r="AG9999" s="536"/>
    </row>
    <row r="10000" spans="33:33">
      <c r="AG10000" s="536"/>
    </row>
    <row r="10001" spans="33:33">
      <c r="AG10001" s="536"/>
    </row>
    <row r="10002" spans="33:33">
      <c r="AG10002" s="536"/>
    </row>
    <row r="10003" spans="33:33">
      <c r="AG10003" s="536"/>
    </row>
    <row r="10004" spans="33:33">
      <c r="AG10004" s="536"/>
    </row>
    <row r="10005" spans="33:33">
      <c r="AG10005" s="536"/>
    </row>
    <row r="10006" spans="33:33">
      <c r="AG10006" s="536"/>
    </row>
    <row r="10007" spans="33:33">
      <c r="AG10007" s="536"/>
    </row>
    <row r="10008" spans="33:33">
      <c r="AG10008" s="536"/>
    </row>
    <row r="10009" spans="33:33">
      <c r="AG10009" s="536"/>
    </row>
    <row r="10010" spans="33:33">
      <c r="AG10010" s="536"/>
    </row>
    <row r="10011" spans="33:33">
      <c r="AG10011" s="536"/>
    </row>
    <row r="10012" spans="33:33">
      <c r="AG10012" s="536"/>
    </row>
    <row r="10013" spans="33:33">
      <c r="AG10013" s="536"/>
    </row>
    <row r="10014" spans="33:33">
      <c r="AG10014" s="536"/>
    </row>
    <row r="10015" spans="33:33">
      <c r="AG10015" s="536"/>
    </row>
    <row r="10016" spans="33:33">
      <c r="AG10016" s="536"/>
    </row>
    <row r="10017" spans="33:33">
      <c r="AG10017" s="536"/>
    </row>
    <row r="10018" spans="33:33">
      <c r="AG10018" s="536"/>
    </row>
    <row r="10019" spans="33:33">
      <c r="AG10019" s="536"/>
    </row>
    <row r="10020" spans="33:33">
      <c r="AG10020" s="536"/>
    </row>
    <row r="10021" spans="33:33">
      <c r="AG10021" s="536"/>
    </row>
    <row r="10022" spans="33:33">
      <c r="AG10022" s="536"/>
    </row>
    <row r="10023" spans="33:33">
      <c r="AG10023" s="536"/>
    </row>
    <row r="10024" spans="33:33">
      <c r="AG10024" s="536"/>
    </row>
    <row r="10025" spans="33:33">
      <c r="AG10025" s="536"/>
    </row>
    <row r="10026" spans="33:33">
      <c r="AG10026" s="536"/>
    </row>
    <row r="10027" spans="33:33">
      <c r="AG10027" s="536"/>
    </row>
    <row r="10028" spans="33:33">
      <c r="AG10028" s="536"/>
    </row>
    <row r="10029" spans="33:33">
      <c r="AG10029" s="536"/>
    </row>
    <row r="10030" spans="33:33">
      <c r="AG10030" s="536"/>
    </row>
    <row r="10031" spans="33:33">
      <c r="AG10031" s="536"/>
    </row>
    <row r="10032" spans="33:33">
      <c r="AG10032" s="536"/>
    </row>
    <row r="10033" spans="33:33">
      <c r="AG10033" s="536"/>
    </row>
    <row r="10034" spans="33:33">
      <c r="AG10034" s="536"/>
    </row>
    <row r="10035" spans="33:33">
      <c r="AG10035" s="536"/>
    </row>
    <row r="10036" spans="33:33">
      <c r="AG10036" s="536"/>
    </row>
    <row r="10037" spans="33:33">
      <c r="AG10037" s="536"/>
    </row>
    <row r="10038" spans="33:33">
      <c r="AG10038" s="536"/>
    </row>
    <row r="10039" spans="33:33">
      <c r="AG10039" s="536"/>
    </row>
    <row r="10040" spans="33:33">
      <c r="AG10040" s="536"/>
    </row>
    <row r="10041" spans="33:33">
      <c r="AG10041" s="536"/>
    </row>
    <row r="10042" spans="33:33">
      <c r="AG10042" s="536"/>
    </row>
    <row r="10043" spans="33:33">
      <c r="AG10043" s="536"/>
    </row>
    <row r="10044" spans="33:33">
      <c r="AG10044" s="536"/>
    </row>
    <row r="10045" spans="33:33">
      <c r="AG10045" s="536"/>
    </row>
    <row r="10046" spans="33:33">
      <c r="AG10046" s="536"/>
    </row>
    <row r="10047" spans="33:33">
      <c r="AG10047" s="536"/>
    </row>
    <row r="10048" spans="33:33">
      <c r="AG10048" s="536"/>
    </row>
    <row r="10049" spans="33:33">
      <c r="AG10049" s="536"/>
    </row>
    <row r="10050" spans="33:33">
      <c r="AG10050" s="536"/>
    </row>
    <row r="10051" spans="33:33">
      <c r="AG10051" s="536"/>
    </row>
    <row r="10052" spans="33:33">
      <c r="AG10052" s="536"/>
    </row>
    <row r="10053" spans="33:33">
      <c r="AG10053" s="536"/>
    </row>
    <row r="10054" spans="33:33">
      <c r="AG10054" s="536"/>
    </row>
    <row r="10055" spans="33:33">
      <c r="AG10055" s="536"/>
    </row>
    <row r="10056" spans="33:33">
      <c r="AG10056" s="536"/>
    </row>
    <row r="10057" spans="33:33">
      <c r="AG10057" s="536"/>
    </row>
    <row r="10058" spans="33:33">
      <c r="AG10058" s="536"/>
    </row>
    <row r="10059" spans="33:33">
      <c r="AG10059" s="536"/>
    </row>
    <row r="10060" spans="33:33">
      <c r="AG10060" s="536"/>
    </row>
    <row r="10061" spans="33:33">
      <c r="AG10061" s="536"/>
    </row>
    <row r="10062" spans="33:33">
      <c r="AG10062" s="536"/>
    </row>
    <row r="10063" spans="33:33">
      <c r="AG10063" s="536"/>
    </row>
    <row r="10064" spans="33:33">
      <c r="AG10064" s="536"/>
    </row>
    <row r="10065" spans="33:33">
      <c r="AG10065" s="536"/>
    </row>
    <row r="10066" spans="33:33">
      <c r="AG10066" s="536"/>
    </row>
    <row r="10067" spans="33:33">
      <c r="AG10067" s="536"/>
    </row>
    <row r="10068" spans="33:33">
      <c r="AG10068" s="536"/>
    </row>
    <row r="10069" spans="33:33">
      <c r="AG10069" s="536"/>
    </row>
    <row r="10070" spans="33:33">
      <c r="AG10070" s="536"/>
    </row>
    <row r="10071" spans="33:33">
      <c r="AG10071" s="536"/>
    </row>
    <row r="10072" spans="33:33">
      <c r="AG10072" s="536"/>
    </row>
    <row r="10073" spans="33:33">
      <c r="AG10073" s="536"/>
    </row>
    <row r="10074" spans="33:33">
      <c r="AG10074" s="536"/>
    </row>
    <row r="10075" spans="33:33">
      <c r="AG10075" s="536"/>
    </row>
    <row r="10076" spans="33:33">
      <c r="AG10076" s="536"/>
    </row>
    <row r="10077" spans="33:33">
      <c r="AG10077" s="536"/>
    </row>
    <row r="10078" spans="33:33">
      <c r="AG10078" s="536"/>
    </row>
    <row r="10079" spans="33:33">
      <c r="AG10079" s="536"/>
    </row>
    <row r="10080" spans="33:33">
      <c r="AG10080" s="536"/>
    </row>
    <row r="10081" spans="33:33">
      <c r="AG10081" s="536"/>
    </row>
    <row r="10082" spans="33:33">
      <c r="AG10082" s="536"/>
    </row>
    <row r="10083" spans="33:33">
      <c r="AG10083" s="536"/>
    </row>
    <row r="10084" spans="33:33">
      <c r="AG10084" s="536"/>
    </row>
    <row r="10085" spans="33:33">
      <c r="AG10085" s="536"/>
    </row>
    <row r="10086" spans="33:33">
      <c r="AG10086" s="536"/>
    </row>
    <row r="10087" spans="33:33">
      <c r="AG10087" s="536"/>
    </row>
    <row r="10088" spans="33:33">
      <c r="AG10088" s="536"/>
    </row>
    <row r="10089" spans="33:33">
      <c r="AG10089" s="536"/>
    </row>
    <row r="10090" spans="33:33">
      <c r="AG10090" s="536"/>
    </row>
    <row r="10091" spans="33:33">
      <c r="AG10091" s="536"/>
    </row>
    <row r="10092" spans="33:33">
      <c r="AG10092" s="536"/>
    </row>
    <row r="10093" spans="33:33">
      <c r="AG10093" s="536"/>
    </row>
    <row r="10094" spans="33:33">
      <c r="AG10094" s="536"/>
    </row>
    <row r="10095" spans="33:33">
      <c r="AG10095" s="536"/>
    </row>
    <row r="10096" spans="33:33">
      <c r="AG10096" s="536"/>
    </row>
    <row r="10097" spans="33:33">
      <c r="AG10097" s="536"/>
    </row>
    <row r="10098" spans="33:33">
      <c r="AG10098" s="536"/>
    </row>
    <row r="10099" spans="33:33">
      <c r="AG10099" s="536"/>
    </row>
    <row r="10100" spans="33:33">
      <c r="AG10100" s="536"/>
    </row>
    <row r="10101" spans="33:33">
      <c r="AG10101" s="536"/>
    </row>
    <row r="10102" spans="33:33">
      <c r="AG10102" s="536"/>
    </row>
    <row r="10103" spans="33:33">
      <c r="AG10103" s="536"/>
    </row>
    <row r="10104" spans="33:33">
      <c r="AG10104" s="536"/>
    </row>
    <row r="10105" spans="33:33">
      <c r="AG10105" s="536"/>
    </row>
    <row r="10106" spans="33:33">
      <c r="AG10106" s="536"/>
    </row>
    <row r="10107" spans="33:33">
      <c r="AG10107" s="536"/>
    </row>
    <row r="10108" spans="33:33">
      <c r="AG10108" s="536"/>
    </row>
    <row r="10109" spans="33:33">
      <c r="AG10109" s="536"/>
    </row>
    <row r="10110" spans="33:33">
      <c r="AG10110" s="536"/>
    </row>
    <row r="10111" spans="33:33">
      <c r="AG10111" s="536"/>
    </row>
    <row r="10112" spans="33:33">
      <c r="AG10112" s="536"/>
    </row>
    <row r="10113" spans="33:33">
      <c r="AG10113" s="536"/>
    </row>
    <row r="10114" spans="33:33">
      <c r="AG10114" s="536"/>
    </row>
    <row r="10115" spans="33:33">
      <c r="AG10115" s="536"/>
    </row>
    <row r="10116" spans="33:33">
      <c r="AG10116" s="536"/>
    </row>
    <row r="10117" spans="33:33">
      <c r="AG10117" s="536"/>
    </row>
    <row r="10118" spans="33:33">
      <c r="AG10118" s="536"/>
    </row>
    <row r="10119" spans="33:33">
      <c r="AG10119" s="536"/>
    </row>
    <row r="10120" spans="33:33">
      <c r="AG10120" s="536"/>
    </row>
    <row r="10121" spans="33:33">
      <c r="AG10121" s="536"/>
    </row>
    <row r="10122" spans="33:33">
      <c r="AG10122" s="536"/>
    </row>
    <row r="10123" spans="33:33">
      <c r="AG10123" s="536"/>
    </row>
    <row r="10124" spans="33:33">
      <c r="AG10124" s="536"/>
    </row>
    <row r="10125" spans="33:33">
      <c r="AG10125" s="536"/>
    </row>
    <row r="10126" spans="33:33">
      <c r="AG10126" s="536"/>
    </row>
    <row r="10127" spans="33:33">
      <c r="AG10127" s="536"/>
    </row>
    <row r="10128" spans="33:33">
      <c r="AG10128" s="536"/>
    </row>
    <row r="10129" spans="33:33">
      <c r="AG10129" s="536"/>
    </row>
    <row r="10130" spans="33:33">
      <c r="AG10130" s="536"/>
    </row>
    <row r="10131" spans="33:33">
      <c r="AG10131" s="536"/>
    </row>
    <row r="10132" spans="33:33">
      <c r="AG10132" s="536"/>
    </row>
    <row r="10133" spans="33:33">
      <c r="AG10133" s="536"/>
    </row>
    <row r="10134" spans="33:33">
      <c r="AG10134" s="536"/>
    </row>
    <row r="10135" spans="33:33">
      <c r="AG10135" s="536"/>
    </row>
    <row r="10136" spans="33:33">
      <c r="AG10136" s="536"/>
    </row>
    <row r="10137" spans="33:33">
      <c r="AG10137" s="536"/>
    </row>
    <row r="10138" spans="33:33">
      <c r="AG10138" s="536"/>
    </row>
    <row r="10139" spans="33:33">
      <c r="AG10139" s="536"/>
    </row>
    <row r="10140" spans="33:33">
      <c r="AG10140" s="536"/>
    </row>
    <row r="10141" spans="33:33">
      <c r="AG10141" s="536"/>
    </row>
    <row r="10142" spans="33:33">
      <c r="AG10142" s="536"/>
    </row>
    <row r="10143" spans="33:33">
      <c r="AG10143" s="536"/>
    </row>
    <row r="10144" spans="33:33">
      <c r="AG10144" s="536"/>
    </row>
    <row r="10145" spans="33:33">
      <c r="AG10145" s="536"/>
    </row>
    <row r="10146" spans="33:33">
      <c r="AG10146" s="536"/>
    </row>
    <row r="10147" spans="33:33">
      <c r="AG10147" s="536"/>
    </row>
    <row r="10148" spans="33:33">
      <c r="AG10148" s="536"/>
    </row>
    <row r="10149" spans="33:33">
      <c r="AG10149" s="536"/>
    </row>
    <row r="10150" spans="33:33">
      <c r="AG10150" s="536"/>
    </row>
    <row r="10151" spans="33:33">
      <c r="AG10151" s="536"/>
    </row>
    <row r="10152" spans="33:33">
      <c r="AG10152" s="536"/>
    </row>
    <row r="10153" spans="33:33">
      <c r="AG10153" s="536"/>
    </row>
    <row r="10154" spans="33:33">
      <c r="AG10154" s="536"/>
    </row>
    <row r="10155" spans="33:33">
      <c r="AG10155" s="536"/>
    </row>
    <row r="10156" spans="33:33">
      <c r="AG10156" s="536"/>
    </row>
    <row r="10157" spans="33:33">
      <c r="AG10157" s="536"/>
    </row>
    <row r="10158" spans="33:33">
      <c r="AG10158" s="536"/>
    </row>
    <row r="10159" spans="33:33">
      <c r="AG10159" s="536"/>
    </row>
    <row r="10160" spans="33:33">
      <c r="AG10160" s="536"/>
    </row>
    <row r="10161" spans="33:33">
      <c r="AG10161" s="536"/>
    </row>
    <row r="10162" spans="33:33">
      <c r="AG10162" s="536"/>
    </row>
    <row r="10163" spans="33:33">
      <c r="AG10163" s="536"/>
    </row>
    <row r="10164" spans="33:33">
      <c r="AG10164" s="536"/>
    </row>
    <row r="10165" spans="33:33">
      <c r="AG10165" s="536"/>
    </row>
    <row r="10166" spans="33:33">
      <c r="AG10166" s="536"/>
    </row>
    <row r="10167" spans="33:33">
      <c r="AG10167" s="536"/>
    </row>
    <row r="10168" spans="33:33">
      <c r="AG10168" s="536"/>
    </row>
    <row r="10169" spans="33:33">
      <c r="AG10169" s="536"/>
    </row>
    <row r="10170" spans="33:33">
      <c r="AG10170" s="536"/>
    </row>
    <row r="10171" spans="33:33">
      <c r="AG10171" s="536"/>
    </row>
    <row r="10172" spans="33:33">
      <c r="AG10172" s="536"/>
    </row>
    <row r="10173" spans="33:33">
      <c r="AG10173" s="536"/>
    </row>
    <row r="10174" spans="33:33">
      <c r="AG10174" s="536"/>
    </row>
    <row r="10175" spans="33:33">
      <c r="AG10175" s="536"/>
    </row>
    <row r="10176" spans="33:33">
      <c r="AG10176" s="536"/>
    </row>
    <row r="10177" spans="33:33">
      <c r="AG10177" s="536"/>
    </row>
    <row r="10178" spans="33:33">
      <c r="AG10178" s="536"/>
    </row>
    <row r="10179" spans="33:33">
      <c r="AG10179" s="536"/>
    </row>
    <row r="10180" spans="33:33">
      <c r="AG10180" s="536"/>
    </row>
    <row r="10181" spans="33:33">
      <c r="AG10181" s="536"/>
    </row>
    <row r="10182" spans="33:33">
      <c r="AG10182" s="536"/>
    </row>
    <row r="10183" spans="33:33">
      <c r="AG10183" s="536"/>
    </row>
    <row r="10184" spans="33:33">
      <c r="AG10184" s="536"/>
    </row>
    <row r="10185" spans="33:33">
      <c r="AG10185" s="536"/>
    </row>
    <row r="10186" spans="33:33">
      <c r="AG10186" s="536"/>
    </row>
    <row r="10187" spans="33:33">
      <c r="AG10187" s="536"/>
    </row>
    <row r="10188" spans="33:33">
      <c r="AG10188" s="536"/>
    </row>
    <row r="10189" spans="33:33">
      <c r="AG10189" s="536"/>
    </row>
    <row r="10190" spans="33:33">
      <c r="AG10190" s="536"/>
    </row>
    <row r="10191" spans="33:33">
      <c r="AG10191" s="536"/>
    </row>
    <row r="10192" spans="33:33">
      <c r="AG10192" s="536"/>
    </row>
    <row r="10193" spans="33:33">
      <c r="AG10193" s="536"/>
    </row>
    <row r="10194" spans="33:33">
      <c r="AG10194" s="536"/>
    </row>
    <row r="10195" spans="33:33">
      <c r="AG10195" s="536"/>
    </row>
    <row r="10196" spans="33:33">
      <c r="AG10196" s="536"/>
    </row>
    <row r="10197" spans="33:33">
      <c r="AG10197" s="536"/>
    </row>
    <row r="10198" spans="33:33">
      <c r="AG10198" s="536"/>
    </row>
    <row r="10199" spans="33:33">
      <c r="AG10199" s="536"/>
    </row>
    <row r="10200" spans="33:33">
      <c r="AG10200" s="536"/>
    </row>
    <row r="10201" spans="33:33">
      <c r="AG10201" s="536"/>
    </row>
    <row r="10202" spans="33:33">
      <c r="AG10202" s="536"/>
    </row>
    <row r="10203" spans="33:33">
      <c r="AG10203" s="536"/>
    </row>
    <row r="10204" spans="33:33">
      <c r="AG10204" s="536"/>
    </row>
    <row r="10205" spans="33:33">
      <c r="AG10205" s="536"/>
    </row>
    <row r="10206" spans="33:33">
      <c r="AG10206" s="536"/>
    </row>
    <row r="10207" spans="33:33">
      <c r="AG10207" s="536"/>
    </row>
    <row r="10208" spans="33:33">
      <c r="AG10208" s="536"/>
    </row>
    <row r="10209" spans="33:33">
      <c r="AG10209" s="536"/>
    </row>
    <row r="10210" spans="33:33">
      <c r="AG10210" s="536"/>
    </row>
    <row r="10211" spans="33:33">
      <c r="AG10211" s="536"/>
    </row>
    <row r="10212" spans="33:33">
      <c r="AG10212" s="536"/>
    </row>
    <row r="10213" spans="33:33">
      <c r="AG10213" s="536"/>
    </row>
    <row r="10214" spans="33:33">
      <c r="AG10214" s="536"/>
    </row>
    <row r="10215" spans="33:33">
      <c r="AG10215" s="536"/>
    </row>
    <row r="10216" spans="33:33">
      <c r="AG10216" s="536"/>
    </row>
    <row r="10217" spans="33:33">
      <c r="AG10217" s="536"/>
    </row>
    <row r="10218" spans="33:33">
      <c r="AG10218" s="536"/>
    </row>
    <row r="10219" spans="33:33">
      <c r="AG10219" s="536"/>
    </row>
    <row r="10220" spans="33:33">
      <c r="AG10220" s="536"/>
    </row>
    <row r="10221" spans="33:33">
      <c r="AG10221" s="536"/>
    </row>
    <row r="10222" spans="33:33">
      <c r="AG10222" s="536"/>
    </row>
    <row r="10223" spans="33:33">
      <c r="AG10223" s="536"/>
    </row>
    <row r="10224" spans="33:33">
      <c r="AG10224" s="536"/>
    </row>
    <row r="10225" spans="33:33">
      <c r="AG10225" s="536"/>
    </row>
    <row r="10226" spans="33:33">
      <c r="AG10226" s="536"/>
    </row>
    <row r="10227" spans="33:33">
      <c r="AG10227" s="536"/>
    </row>
    <row r="10228" spans="33:33">
      <c r="AG10228" s="536"/>
    </row>
    <row r="10229" spans="33:33">
      <c r="AG10229" s="536"/>
    </row>
    <row r="10230" spans="33:33">
      <c r="AG10230" s="536"/>
    </row>
    <row r="10231" spans="33:33">
      <c r="AG10231" s="536"/>
    </row>
    <row r="10232" spans="33:33">
      <c r="AG10232" s="536"/>
    </row>
    <row r="10233" spans="33:33">
      <c r="AG10233" s="536"/>
    </row>
    <row r="10234" spans="33:33">
      <c r="AG10234" s="536"/>
    </row>
    <row r="10235" spans="33:33">
      <c r="AG10235" s="536"/>
    </row>
    <row r="10236" spans="33:33">
      <c r="AG10236" s="536"/>
    </row>
    <row r="10237" spans="33:33">
      <c r="AG10237" s="536"/>
    </row>
    <row r="10238" spans="33:33">
      <c r="AG10238" s="536"/>
    </row>
    <row r="10239" spans="33:33">
      <c r="AG10239" s="536"/>
    </row>
    <row r="10240" spans="33:33">
      <c r="AG10240" s="536"/>
    </row>
    <row r="10241" spans="33:33">
      <c r="AG10241" s="536"/>
    </row>
    <row r="10242" spans="33:33">
      <c r="AG10242" s="536"/>
    </row>
    <row r="10243" spans="33:33">
      <c r="AG10243" s="536"/>
    </row>
    <row r="10244" spans="33:33">
      <c r="AG10244" s="536"/>
    </row>
    <row r="10245" spans="33:33">
      <c r="AG10245" s="536"/>
    </row>
    <row r="10246" spans="33:33">
      <c r="AG10246" s="536"/>
    </row>
    <row r="10247" spans="33:33">
      <c r="AG10247" s="536"/>
    </row>
    <row r="10248" spans="33:33">
      <c r="AG10248" s="536"/>
    </row>
    <row r="10249" spans="33:33">
      <c r="AG10249" s="536"/>
    </row>
    <row r="10250" spans="33:33">
      <c r="AG10250" s="536"/>
    </row>
    <row r="10251" spans="33:33">
      <c r="AG10251" s="536"/>
    </row>
    <row r="10252" spans="33:33">
      <c r="AG10252" s="536"/>
    </row>
    <row r="10253" spans="33:33">
      <c r="AG10253" s="536"/>
    </row>
    <row r="10254" spans="33:33">
      <c r="AG10254" s="536"/>
    </row>
    <row r="10255" spans="33:33">
      <c r="AG10255" s="536"/>
    </row>
    <row r="10256" spans="33:33">
      <c r="AG10256" s="536"/>
    </row>
    <row r="10257" spans="33:33">
      <c r="AG10257" s="536"/>
    </row>
    <row r="10258" spans="33:33">
      <c r="AG10258" s="536"/>
    </row>
    <row r="10259" spans="33:33">
      <c r="AG10259" s="536"/>
    </row>
    <row r="10260" spans="33:33">
      <c r="AG10260" s="536"/>
    </row>
    <row r="10261" spans="33:33">
      <c r="AG10261" s="536"/>
    </row>
    <row r="10262" spans="33:33">
      <c r="AG10262" s="536"/>
    </row>
    <row r="10263" spans="33:33">
      <c r="AG10263" s="536"/>
    </row>
    <row r="10264" spans="33:33">
      <c r="AG10264" s="536"/>
    </row>
    <row r="10265" spans="33:33">
      <c r="AG10265" s="536"/>
    </row>
    <row r="10266" spans="33:33">
      <c r="AG10266" s="536"/>
    </row>
    <row r="10267" spans="33:33">
      <c r="AG10267" s="536"/>
    </row>
    <row r="10268" spans="33:33">
      <c r="AG10268" s="536"/>
    </row>
    <row r="10269" spans="33:33">
      <c r="AG10269" s="536"/>
    </row>
    <row r="10270" spans="33:33">
      <c r="AG10270" s="536"/>
    </row>
    <row r="10271" spans="33:33">
      <c r="AG10271" s="536"/>
    </row>
    <row r="10272" spans="33:33">
      <c r="AG10272" s="536"/>
    </row>
    <row r="10273" spans="33:33">
      <c r="AG10273" s="536"/>
    </row>
    <row r="10274" spans="33:33">
      <c r="AG10274" s="536"/>
    </row>
    <row r="10275" spans="33:33">
      <c r="AG10275" s="536"/>
    </row>
    <row r="10276" spans="33:33">
      <c r="AG10276" s="536"/>
    </row>
    <row r="10277" spans="33:33">
      <c r="AG10277" s="536"/>
    </row>
    <row r="10278" spans="33:33">
      <c r="AG10278" s="536"/>
    </row>
    <row r="10279" spans="33:33">
      <c r="AG10279" s="536"/>
    </row>
    <row r="10280" spans="33:33">
      <c r="AG10280" s="536"/>
    </row>
    <row r="10281" spans="33:33">
      <c r="AG10281" s="536"/>
    </row>
    <row r="10282" spans="33:33">
      <c r="AG10282" s="536"/>
    </row>
    <row r="10283" spans="33:33">
      <c r="AG10283" s="536"/>
    </row>
    <row r="10284" spans="33:33">
      <c r="AG10284" s="536"/>
    </row>
    <row r="10285" spans="33:33">
      <c r="AG10285" s="536"/>
    </row>
    <row r="10286" spans="33:33">
      <c r="AG10286" s="536"/>
    </row>
    <row r="10287" spans="33:33">
      <c r="AG10287" s="536"/>
    </row>
    <row r="10288" spans="33:33">
      <c r="AG10288" s="536"/>
    </row>
    <row r="10289" spans="33:33">
      <c r="AG10289" s="536"/>
    </row>
    <row r="10290" spans="33:33">
      <c r="AG10290" s="536"/>
    </row>
    <row r="10291" spans="33:33">
      <c r="AG10291" s="536"/>
    </row>
    <row r="10292" spans="33:33">
      <c r="AG10292" s="536"/>
    </row>
    <row r="10293" spans="33:33">
      <c r="AG10293" s="536"/>
    </row>
    <row r="10294" spans="33:33">
      <c r="AG10294" s="536"/>
    </row>
    <row r="10295" spans="33:33">
      <c r="AG10295" s="536"/>
    </row>
    <row r="10296" spans="33:33">
      <c r="AG10296" s="536"/>
    </row>
    <row r="10297" spans="33:33">
      <c r="AG10297" s="536"/>
    </row>
    <row r="10298" spans="33:33">
      <c r="AG10298" s="536"/>
    </row>
    <row r="10299" spans="33:33">
      <c r="AG10299" s="536"/>
    </row>
    <row r="10300" spans="33:33">
      <c r="AG10300" s="536"/>
    </row>
    <row r="10301" spans="33:33">
      <c r="AG10301" s="536"/>
    </row>
    <row r="10302" spans="33:33">
      <c r="AG10302" s="536"/>
    </row>
    <row r="10303" spans="33:33">
      <c r="AG10303" s="536"/>
    </row>
    <row r="10304" spans="33:33">
      <c r="AG10304" s="536"/>
    </row>
    <row r="10305" spans="33:33">
      <c r="AG10305" s="536"/>
    </row>
    <row r="10306" spans="33:33">
      <c r="AG10306" s="536"/>
    </row>
    <row r="10307" spans="33:33">
      <c r="AG10307" s="536"/>
    </row>
    <row r="10308" spans="33:33">
      <c r="AG10308" s="536"/>
    </row>
    <row r="10309" spans="33:33">
      <c r="AG10309" s="536"/>
    </row>
    <row r="10310" spans="33:33">
      <c r="AG10310" s="536"/>
    </row>
    <row r="10311" spans="33:33">
      <c r="AG10311" s="536"/>
    </row>
    <row r="10312" spans="33:33">
      <c r="AG10312" s="536"/>
    </row>
    <row r="10313" spans="33:33">
      <c r="AG10313" s="536"/>
    </row>
    <row r="10314" spans="33:33">
      <c r="AG10314" s="536"/>
    </row>
    <row r="10315" spans="33:33">
      <c r="AG10315" s="536"/>
    </row>
    <row r="10316" spans="33:33">
      <c r="AG10316" s="536"/>
    </row>
    <row r="10317" spans="33:33">
      <c r="AG10317" s="536"/>
    </row>
    <row r="10318" spans="33:33">
      <c r="AG10318" s="536"/>
    </row>
    <row r="10319" spans="33:33">
      <c r="AG10319" s="536"/>
    </row>
    <row r="10320" spans="33:33">
      <c r="AG10320" s="536"/>
    </row>
    <row r="10321" spans="33:33">
      <c r="AG10321" s="536"/>
    </row>
    <row r="10322" spans="33:33">
      <c r="AG10322" s="536"/>
    </row>
    <row r="10323" spans="33:33">
      <c r="AG10323" s="536"/>
    </row>
    <row r="10324" spans="33:33">
      <c r="AG10324" s="536"/>
    </row>
    <row r="10325" spans="33:33">
      <c r="AG10325" s="536"/>
    </row>
    <row r="10326" spans="33:33">
      <c r="AG10326" s="536"/>
    </row>
    <row r="10327" spans="33:33">
      <c r="AG10327" s="536"/>
    </row>
    <row r="10328" spans="33:33">
      <c r="AG10328" s="536"/>
    </row>
    <row r="10329" spans="33:33">
      <c r="AG10329" s="536"/>
    </row>
    <row r="10330" spans="33:33">
      <c r="AG10330" s="536"/>
    </row>
    <row r="10331" spans="33:33">
      <c r="AG10331" s="536"/>
    </row>
    <row r="10332" spans="33:33">
      <c r="AG10332" s="536"/>
    </row>
    <row r="10333" spans="33:33">
      <c r="AG10333" s="536"/>
    </row>
    <row r="10334" spans="33:33">
      <c r="AG10334" s="536"/>
    </row>
    <row r="10335" spans="33:33">
      <c r="AG10335" s="536"/>
    </row>
    <row r="10336" spans="33:33">
      <c r="AG10336" s="536"/>
    </row>
    <row r="10337" spans="33:33">
      <c r="AG10337" s="536"/>
    </row>
    <row r="10338" spans="33:33">
      <c r="AG10338" s="536"/>
    </row>
    <row r="10339" spans="33:33">
      <c r="AG10339" s="536"/>
    </row>
    <row r="10340" spans="33:33">
      <c r="AG10340" s="536"/>
    </row>
    <row r="10341" spans="33:33">
      <c r="AG10341" s="536"/>
    </row>
    <row r="10342" spans="33:33">
      <c r="AG10342" s="536"/>
    </row>
    <row r="10343" spans="33:33">
      <c r="AG10343" s="536"/>
    </row>
    <row r="10344" spans="33:33">
      <c r="AG10344" s="536"/>
    </row>
    <row r="10345" spans="33:33">
      <c r="AG10345" s="536"/>
    </row>
    <row r="10346" spans="33:33">
      <c r="AG10346" s="536"/>
    </row>
    <row r="10347" spans="33:33">
      <c r="AG10347" s="536"/>
    </row>
    <row r="10348" spans="33:33">
      <c r="AG10348" s="536"/>
    </row>
    <row r="10349" spans="33:33">
      <c r="AG10349" s="536"/>
    </row>
    <row r="10350" spans="33:33">
      <c r="AG10350" s="536"/>
    </row>
    <row r="10351" spans="33:33">
      <c r="AG10351" s="536"/>
    </row>
    <row r="10352" spans="33:33">
      <c r="AG10352" s="536"/>
    </row>
    <row r="10353" spans="33:33">
      <c r="AG10353" s="536"/>
    </row>
    <row r="10354" spans="33:33">
      <c r="AG10354" s="536"/>
    </row>
    <row r="10355" spans="33:33">
      <c r="AG10355" s="536"/>
    </row>
    <row r="10356" spans="33:33">
      <c r="AG10356" s="536"/>
    </row>
    <row r="10357" spans="33:33">
      <c r="AG10357" s="536"/>
    </row>
    <row r="10358" spans="33:33">
      <c r="AG10358" s="536"/>
    </row>
    <row r="10359" spans="33:33">
      <c r="AG10359" s="536"/>
    </row>
    <row r="10360" spans="33:33">
      <c r="AG10360" s="536"/>
    </row>
    <row r="10361" spans="33:33">
      <c r="AG10361" s="536"/>
    </row>
    <row r="10362" spans="33:33">
      <c r="AG10362" s="536"/>
    </row>
    <row r="10363" spans="33:33">
      <c r="AG10363" s="536"/>
    </row>
    <row r="10364" spans="33:33">
      <c r="AG10364" s="536"/>
    </row>
    <row r="10365" spans="33:33">
      <c r="AG10365" s="536"/>
    </row>
    <row r="10366" spans="33:33">
      <c r="AG10366" s="536"/>
    </row>
    <row r="10367" spans="33:33">
      <c r="AG10367" s="536"/>
    </row>
    <row r="10368" spans="33:33">
      <c r="AG10368" s="536"/>
    </row>
    <row r="10369" spans="33:33">
      <c r="AG10369" s="536"/>
    </row>
    <row r="10370" spans="33:33">
      <c r="AG10370" s="536"/>
    </row>
    <row r="10371" spans="33:33">
      <c r="AG10371" s="536"/>
    </row>
    <row r="10372" spans="33:33">
      <c r="AG10372" s="536"/>
    </row>
    <row r="10373" spans="33:33">
      <c r="AG10373" s="536"/>
    </row>
    <row r="10374" spans="33:33">
      <c r="AG10374" s="536"/>
    </row>
    <row r="10375" spans="33:33">
      <c r="AG10375" s="536"/>
    </row>
    <row r="10376" spans="33:33">
      <c r="AG10376" s="536"/>
    </row>
    <row r="10377" spans="33:33">
      <c r="AG10377" s="536"/>
    </row>
    <row r="10378" spans="33:33">
      <c r="AG10378" s="536"/>
    </row>
    <row r="10379" spans="33:33">
      <c r="AG10379" s="536"/>
    </row>
    <row r="10380" spans="33:33">
      <c r="AG10380" s="536"/>
    </row>
    <row r="10381" spans="33:33">
      <c r="AG10381" s="536"/>
    </row>
    <row r="10382" spans="33:33">
      <c r="AG10382" s="536"/>
    </row>
    <row r="10383" spans="33:33">
      <c r="AG10383" s="536"/>
    </row>
    <row r="10384" spans="33:33">
      <c r="AG10384" s="536"/>
    </row>
    <row r="10385" spans="33:33">
      <c r="AG10385" s="536"/>
    </row>
    <row r="10386" spans="33:33">
      <c r="AG10386" s="536"/>
    </row>
    <row r="10387" spans="33:33">
      <c r="AG10387" s="536"/>
    </row>
    <row r="10388" spans="33:33">
      <c r="AG10388" s="536"/>
    </row>
    <row r="10389" spans="33:33">
      <c r="AG10389" s="536"/>
    </row>
    <row r="10390" spans="33:33">
      <c r="AG10390" s="536"/>
    </row>
    <row r="10391" spans="33:33">
      <c r="AG10391" s="536"/>
    </row>
    <row r="10392" spans="33:33">
      <c r="AG10392" s="536"/>
    </row>
    <row r="10393" spans="33:33">
      <c r="AG10393" s="536"/>
    </row>
    <row r="10394" spans="33:33">
      <c r="AG10394" s="536"/>
    </row>
    <row r="10395" spans="33:33">
      <c r="AG10395" s="536"/>
    </row>
    <row r="10396" spans="33:33">
      <c r="AG10396" s="536"/>
    </row>
    <row r="10397" spans="33:33">
      <c r="AG10397" s="536"/>
    </row>
    <row r="10398" spans="33:33">
      <c r="AG10398" s="536"/>
    </row>
    <row r="10399" spans="33:33">
      <c r="AG10399" s="536"/>
    </row>
    <row r="10400" spans="33:33">
      <c r="AG10400" s="536"/>
    </row>
    <row r="10401" spans="33:33">
      <c r="AG10401" s="536"/>
    </row>
    <row r="10402" spans="33:33">
      <c r="AG10402" s="536"/>
    </row>
    <row r="10403" spans="33:33">
      <c r="AG10403" s="536"/>
    </row>
    <row r="10404" spans="33:33">
      <c r="AG10404" s="536"/>
    </row>
    <row r="10405" spans="33:33">
      <c r="AG10405" s="536"/>
    </row>
    <row r="10406" spans="33:33">
      <c r="AG10406" s="536"/>
    </row>
    <row r="10407" spans="33:33">
      <c r="AG10407" s="536"/>
    </row>
    <row r="10408" spans="33:33">
      <c r="AG10408" s="536"/>
    </row>
    <row r="10409" spans="33:33">
      <c r="AG10409" s="536"/>
    </row>
    <row r="10410" spans="33:33">
      <c r="AG10410" s="536"/>
    </row>
    <row r="10411" spans="33:33">
      <c r="AG10411" s="536"/>
    </row>
    <row r="10412" spans="33:33">
      <c r="AG10412" s="536"/>
    </row>
    <row r="10413" spans="33:33">
      <c r="AG10413" s="536"/>
    </row>
    <row r="10414" spans="33:33">
      <c r="AG10414" s="536"/>
    </row>
    <row r="10415" spans="33:33">
      <c r="AG10415" s="536"/>
    </row>
    <row r="10416" spans="33:33">
      <c r="AG10416" s="536"/>
    </row>
    <row r="10417" spans="33:33">
      <c r="AG10417" s="536"/>
    </row>
    <row r="10418" spans="33:33">
      <c r="AG10418" s="536"/>
    </row>
    <row r="10419" spans="33:33">
      <c r="AG10419" s="536"/>
    </row>
    <row r="10420" spans="33:33">
      <c r="AG10420" s="536"/>
    </row>
    <row r="10421" spans="33:33">
      <c r="AG10421" s="536"/>
    </row>
    <row r="10422" spans="33:33">
      <c r="AG10422" s="536"/>
    </row>
    <row r="10423" spans="33:33">
      <c r="AG10423" s="536"/>
    </row>
    <row r="10424" spans="33:33">
      <c r="AG10424" s="536"/>
    </row>
    <row r="10425" spans="33:33">
      <c r="AG10425" s="536"/>
    </row>
    <row r="10426" spans="33:33">
      <c r="AG10426" s="536"/>
    </row>
    <row r="10427" spans="33:33">
      <c r="AG10427" s="536"/>
    </row>
    <row r="10428" spans="33:33">
      <c r="AG10428" s="536"/>
    </row>
    <row r="10429" spans="33:33">
      <c r="AG10429" s="536"/>
    </row>
    <row r="10430" spans="33:33">
      <c r="AG10430" s="536"/>
    </row>
    <row r="10431" spans="33:33">
      <c r="AG10431" s="536"/>
    </row>
    <row r="10432" spans="33:33">
      <c r="AG10432" s="536"/>
    </row>
    <row r="10433" spans="33:33">
      <c r="AG10433" s="536"/>
    </row>
    <row r="10434" spans="33:33">
      <c r="AG10434" s="536"/>
    </row>
    <row r="10435" spans="33:33">
      <c r="AG10435" s="536"/>
    </row>
    <row r="10436" spans="33:33">
      <c r="AG10436" s="536"/>
    </row>
    <row r="10437" spans="33:33">
      <c r="AG10437" s="536"/>
    </row>
    <row r="10438" spans="33:33">
      <c r="AG10438" s="536"/>
    </row>
    <row r="10439" spans="33:33">
      <c r="AG10439" s="536"/>
    </row>
    <row r="10440" spans="33:33">
      <c r="AG10440" s="536"/>
    </row>
    <row r="10441" spans="33:33">
      <c r="AG10441" s="536"/>
    </row>
    <row r="10442" spans="33:33">
      <c r="AG10442" s="536"/>
    </row>
    <row r="10443" spans="33:33">
      <c r="AG10443" s="536"/>
    </row>
    <row r="10444" spans="33:33">
      <c r="AG10444" s="536"/>
    </row>
    <row r="10445" spans="33:33">
      <c r="AG10445" s="536"/>
    </row>
    <row r="10446" spans="33:33">
      <c r="AG10446" s="536"/>
    </row>
    <row r="10447" spans="33:33">
      <c r="AG10447" s="536"/>
    </row>
    <row r="10448" spans="33:33">
      <c r="AG10448" s="536"/>
    </row>
    <row r="10449" spans="33:33">
      <c r="AG10449" s="536"/>
    </row>
    <row r="10450" spans="33:33">
      <c r="AG10450" s="536"/>
    </row>
    <row r="10451" spans="33:33">
      <c r="AG10451" s="536"/>
    </row>
    <row r="10452" spans="33:33">
      <c r="AG10452" s="536"/>
    </row>
    <row r="10453" spans="33:33">
      <c r="AG10453" s="536"/>
    </row>
    <row r="10454" spans="33:33">
      <c r="AG10454" s="536"/>
    </row>
    <row r="10455" spans="33:33">
      <c r="AG10455" s="536"/>
    </row>
    <row r="10456" spans="33:33">
      <c r="AG10456" s="536"/>
    </row>
    <row r="10457" spans="33:33">
      <c r="AG10457" s="536"/>
    </row>
    <row r="10458" spans="33:33">
      <c r="AG10458" s="536"/>
    </row>
    <row r="10459" spans="33:33">
      <c r="AG10459" s="536"/>
    </row>
    <row r="10460" spans="33:33">
      <c r="AG10460" s="536"/>
    </row>
    <row r="10461" spans="33:33">
      <c r="AG10461" s="536"/>
    </row>
    <row r="10462" spans="33:33">
      <c r="AG10462" s="536"/>
    </row>
    <row r="10463" spans="33:33">
      <c r="AG10463" s="536"/>
    </row>
    <row r="10464" spans="33:33">
      <c r="AG10464" s="536"/>
    </row>
    <row r="10465" spans="33:33">
      <c r="AG10465" s="536"/>
    </row>
    <row r="10466" spans="33:33">
      <c r="AG10466" s="536"/>
    </row>
    <row r="10467" spans="33:33">
      <c r="AG10467" s="536"/>
    </row>
    <row r="10468" spans="33:33">
      <c r="AG10468" s="536"/>
    </row>
    <row r="10469" spans="33:33">
      <c r="AG10469" s="536"/>
    </row>
    <row r="10470" spans="33:33">
      <c r="AG10470" s="536"/>
    </row>
    <row r="10471" spans="33:33">
      <c r="AG10471" s="536"/>
    </row>
    <row r="10472" spans="33:33">
      <c r="AG10472" s="536"/>
    </row>
    <row r="10473" spans="33:33">
      <c r="AG10473" s="536"/>
    </row>
    <row r="10474" spans="33:33">
      <c r="AG10474" s="536"/>
    </row>
    <row r="10475" spans="33:33">
      <c r="AG10475" s="536"/>
    </row>
    <row r="10476" spans="33:33">
      <c r="AG10476" s="536"/>
    </row>
    <row r="10477" spans="33:33">
      <c r="AG10477" s="536"/>
    </row>
    <row r="10478" spans="33:33">
      <c r="AG10478" s="536"/>
    </row>
    <row r="10479" spans="33:33">
      <c r="AG10479" s="536"/>
    </row>
    <row r="10480" spans="33:33">
      <c r="AG10480" s="536"/>
    </row>
    <row r="10481" spans="33:33">
      <c r="AG10481" s="536"/>
    </row>
    <row r="10482" spans="33:33">
      <c r="AG10482" s="536"/>
    </row>
    <row r="10483" spans="33:33">
      <c r="AG10483" s="536"/>
    </row>
    <row r="10484" spans="33:33">
      <c r="AG10484" s="536"/>
    </row>
    <row r="10485" spans="33:33">
      <c r="AG10485" s="536"/>
    </row>
    <row r="10486" spans="33:33">
      <c r="AG10486" s="536"/>
    </row>
    <row r="10487" spans="33:33">
      <c r="AG10487" s="536"/>
    </row>
    <row r="10488" spans="33:33">
      <c r="AG10488" s="536"/>
    </row>
    <row r="10489" spans="33:33">
      <c r="AG10489" s="536"/>
    </row>
    <row r="10490" spans="33:33">
      <c r="AG10490" s="536"/>
    </row>
    <row r="10491" spans="33:33">
      <c r="AG10491" s="536"/>
    </row>
    <row r="10492" spans="33:33">
      <c r="AG10492" s="536"/>
    </row>
    <row r="10493" spans="33:33">
      <c r="AG10493" s="536"/>
    </row>
    <row r="10494" spans="33:33">
      <c r="AG10494" s="536"/>
    </row>
    <row r="10495" spans="33:33">
      <c r="AG10495" s="536"/>
    </row>
    <row r="10496" spans="33:33">
      <c r="AG10496" s="536"/>
    </row>
    <row r="10497" spans="33:33">
      <c r="AG10497" s="536"/>
    </row>
    <row r="10498" spans="33:33">
      <c r="AG10498" s="536"/>
    </row>
    <row r="10499" spans="33:33">
      <c r="AG10499" s="536"/>
    </row>
    <row r="10500" spans="33:33">
      <c r="AG10500" s="536"/>
    </row>
    <row r="10501" spans="33:33">
      <c r="AG10501" s="536"/>
    </row>
    <row r="10502" spans="33:33">
      <c r="AG10502" s="536"/>
    </row>
    <row r="10503" spans="33:33">
      <c r="AG10503" s="536"/>
    </row>
    <row r="10504" spans="33:33">
      <c r="AG10504" s="536"/>
    </row>
    <row r="10505" spans="33:33">
      <c r="AG10505" s="536"/>
    </row>
    <row r="10506" spans="33:33">
      <c r="AG10506" s="536"/>
    </row>
    <row r="10507" spans="33:33">
      <c r="AG10507" s="536"/>
    </row>
    <row r="10508" spans="33:33">
      <c r="AG10508" s="536"/>
    </row>
    <row r="10509" spans="33:33">
      <c r="AG10509" s="536"/>
    </row>
    <row r="10510" spans="33:33">
      <c r="AG10510" s="536"/>
    </row>
    <row r="10511" spans="33:33">
      <c r="AG10511" s="536"/>
    </row>
    <row r="10512" spans="33:33">
      <c r="AG10512" s="536"/>
    </row>
    <row r="10513" spans="33:33">
      <c r="AG10513" s="536"/>
    </row>
    <row r="10514" spans="33:33">
      <c r="AG10514" s="536"/>
    </row>
    <row r="10515" spans="33:33">
      <c r="AG10515" s="536"/>
    </row>
    <row r="10516" spans="33:33">
      <c r="AG10516" s="536"/>
    </row>
    <row r="10517" spans="33:33">
      <c r="AG10517" s="536"/>
    </row>
    <row r="10518" spans="33:33">
      <c r="AG10518" s="536"/>
    </row>
    <row r="10519" spans="33:33">
      <c r="AG10519" s="536"/>
    </row>
    <row r="10520" spans="33:33">
      <c r="AG10520" s="536"/>
    </row>
    <row r="10521" spans="33:33">
      <c r="AG10521" s="536"/>
    </row>
    <row r="10522" spans="33:33">
      <c r="AG10522" s="536"/>
    </row>
    <row r="10523" spans="33:33">
      <c r="AG10523" s="536"/>
    </row>
    <row r="10524" spans="33:33">
      <c r="AG10524" s="536"/>
    </row>
    <row r="10525" spans="33:33">
      <c r="AG10525" s="536"/>
    </row>
    <row r="10526" spans="33:33">
      <c r="AG10526" s="536"/>
    </row>
    <row r="10527" spans="33:33">
      <c r="AG10527" s="536"/>
    </row>
    <row r="10528" spans="33:33">
      <c r="AG10528" s="536"/>
    </row>
    <row r="10529" spans="33:33">
      <c r="AG10529" s="536"/>
    </row>
    <row r="10530" spans="33:33">
      <c r="AG10530" s="536"/>
    </row>
    <row r="10531" spans="33:33">
      <c r="AG10531" s="536"/>
    </row>
    <row r="10532" spans="33:33">
      <c r="AG10532" s="536"/>
    </row>
    <row r="10533" spans="33:33">
      <c r="AG10533" s="536"/>
    </row>
    <row r="10534" spans="33:33">
      <c r="AG10534" s="536"/>
    </row>
    <row r="10535" spans="33:33">
      <c r="AG10535" s="536"/>
    </row>
    <row r="10536" spans="33:33">
      <c r="AG10536" s="536"/>
    </row>
    <row r="10537" spans="33:33">
      <c r="AG10537" s="536"/>
    </row>
    <row r="10538" spans="33:33">
      <c r="AG10538" s="536"/>
    </row>
    <row r="10539" spans="33:33">
      <c r="AG10539" s="536"/>
    </row>
    <row r="10540" spans="33:33">
      <c r="AG10540" s="536"/>
    </row>
    <row r="10541" spans="33:33">
      <c r="AG10541" s="536"/>
    </row>
    <row r="10542" spans="33:33">
      <c r="AG10542" s="536"/>
    </row>
    <row r="10543" spans="33:33">
      <c r="AG10543" s="536"/>
    </row>
    <row r="10544" spans="33:33">
      <c r="AG10544" s="536"/>
    </row>
    <row r="10545" spans="33:33">
      <c r="AG10545" s="536"/>
    </row>
    <row r="10546" spans="33:33">
      <c r="AG10546" s="536"/>
    </row>
    <row r="10547" spans="33:33">
      <c r="AG10547" s="536"/>
    </row>
    <row r="10548" spans="33:33">
      <c r="AG10548" s="536"/>
    </row>
    <row r="10549" spans="33:33">
      <c r="AG10549" s="536"/>
    </row>
    <row r="10550" spans="33:33">
      <c r="AG10550" s="536"/>
    </row>
    <row r="10551" spans="33:33">
      <c r="AG10551" s="536"/>
    </row>
    <row r="10552" spans="33:33">
      <c r="AG10552" s="536"/>
    </row>
    <row r="10553" spans="33:33">
      <c r="AG10553" s="536"/>
    </row>
    <row r="10554" spans="33:33">
      <c r="AG10554" s="536"/>
    </row>
    <row r="10555" spans="33:33">
      <c r="AG10555" s="536"/>
    </row>
    <row r="10556" spans="33:33">
      <c r="AG10556" s="536"/>
    </row>
    <row r="10557" spans="33:33">
      <c r="AG10557" s="536"/>
    </row>
    <row r="10558" spans="33:33">
      <c r="AG10558" s="536"/>
    </row>
    <row r="10559" spans="33:33">
      <c r="AG10559" s="536"/>
    </row>
    <row r="10560" spans="33:33">
      <c r="AG10560" s="536"/>
    </row>
    <row r="10561" spans="33:33">
      <c r="AG10561" s="536"/>
    </row>
    <row r="10562" spans="33:33">
      <c r="AG10562" s="536"/>
    </row>
    <row r="10563" spans="33:33">
      <c r="AG10563" s="536"/>
    </row>
    <row r="10564" spans="33:33">
      <c r="AG10564" s="536"/>
    </row>
    <row r="10565" spans="33:33">
      <c r="AG10565" s="536"/>
    </row>
    <row r="10566" spans="33:33">
      <c r="AG10566" s="536"/>
    </row>
    <row r="10567" spans="33:33">
      <c r="AG10567" s="536"/>
    </row>
    <row r="10568" spans="33:33">
      <c r="AG10568" s="536"/>
    </row>
    <row r="10569" spans="33:33">
      <c r="AG10569" s="536"/>
    </row>
    <row r="10570" spans="33:33">
      <c r="AG10570" s="536"/>
    </row>
    <row r="10571" spans="33:33">
      <c r="AG10571" s="536"/>
    </row>
    <row r="10572" spans="33:33">
      <c r="AG10572" s="536"/>
    </row>
    <row r="10573" spans="33:33">
      <c r="AG10573" s="536"/>
    </row>
    <row r="10574" spans="33:33">
      <c r="AG10574" s="536"/>
    </row>
    <row r="10575" spans="33:33">
      <c r="AG10575" s="536"/>
    </row>
    <row r="10576" spans="33:33">
      <c r="AG10576" s="536"/>
    </row>
    <row r="10577" spans="33:33">
      <c r="AG10577" s="536"/>
    </row>
    <row r="10578" spans="33:33">
      <c r="AG10578" s="536"/>
    </row>
    <row r="10579" spans="33:33">
      <c r="AG10579" s="536"/>
    </row>
    <row r="10580" spans="33:33">
      <c r="AG10580" s="536"/>
    </row>
    <row r="10581" spans="33:33">
      <c r="AG10581" s="536"/>
    </row>
    <row r="10582" spans="33:33">
      <c r="AG10582" s="536"/>
    </row>
    <row r="10583" spans="33:33">
      <c r="AG10583" s="536"/>
    </row>
    <row r="10584" spans="33:33">
      <c r="AG10584" s="536"/>
    </row>
    <row r="10585" spans="33:33">
      <c r="AG10585" s="536"/>
    </row>
    <row r="10586" spans="33:33">
      <c r="AG10586" s="536"/>
    </row>
    <row r="10587" spans="33:33">
      <c r="AG10587" s="536"/>
    </row>
    <row r="10588" spans="33:33">
      <c r="AG10588" s="536"/>
    </row>
    <row r="10589" spans="33:33">
      <c r="AG10589" s="536"/>
    </row>
    <row r="10590" spans="33:33">
      <c r="AG10590" s="536"/>
    </row>
    <row r="10591" spans="33:33">
      <c r="AG10591" s="536"/>
    </row>
    <row r="10592" spans="33:33">
      <c r="AG10592" s="536"/>
    </row>
    <row r="10593" spans="33:33">
      <c r="AG10593" s="536"/>
    </row>
    <row r="10594" spans="33:33">
      <c r="AG10594" s="536"/>
    </row>
    <row r="10595" spans="33:33">
      <c r="AG10595" s="536"/>
    </row>
    <row r="10596" spans="33:33">
      <c r="AG10596" s="536"/>
    </row>
    <row r="10597" spans="33:33">
      <c r="AG10597" s="536"/>
    </row>
    <row r="10598" spans="33:33">
      <c r="AG10598" s="536"/>
    </row>
    <row r="10599" spans="33:33">
      <c r="AG10599" s="536"/>
    </row>
    <row r="10600" spans="33:33">
      <c r="AG10600" s="536"/>
    </row>
    <row r="10601" spans="33:33">
      <c r="AG10601" s="536"/>
    </row>
    <row r="10602" spans="33:33">
      <c r="AG10602" s="536"/>
    </row>
    <row r="10603" spans="33:33">
      <c r="AG10603" s="536"/>
    </row>
    <row r="10604" spans="33:33">
      <c r="AG10604" s="536"/>
    </row>
    <row r="10605" spans="33:33">
      <c r="AG10605" s="536"/>
    </row>
    <row r="10606" spans="33:33">
      <c r="AG10606" s="536"/>
    </row>
    <row r="10607" spans="33:33">
      <c r="AG10607" s="536"/>
    </row>
    <row r="10608" spans="33:33">
      <c r="AG10608" s="536"/>
    </row>
    <row r="10609" spans="33:33">
      <c r="AG10609" s="536"/>
    </row>
    <row r="10610" spans="33:33">
      <c r="AG10610" s="536"/>
    </row>
    <row r="10611" spans="33:33">
      <c r="AG10611" s="536"/>
    </row>
    <row r="10612" spans="33:33">
      <c r="AG10612" s="536"/>
    </row>
    <row r="10613" spans="33:33">
      <c r="AG10613" s="536"/>
    </row>
    <row r="10614" spans="33:33">
      <c r="AG10614" s="536"/>
    </row>
    <row r="10615" spans="33:33">
      <c r="AG10615" s="536"/>
    </row>
    <row r="10616" spans="33:33">
      <c r="AG10616" s="536"/>
    </row>
    <row r="10617" spans="33:33">
      <c r="AG10617" s="536"/>
    </row>
    <row r="10618" spans="33:33">
      <c r="AG10618" s="536"/>
    </row>
    <row r="10619" spans="33:33">
      <c r="AG10619" s="536"/>
    </row>
    <row r="10620" spans="33:33">
      <c r="AG10620" s="536"/>
    </row>
    <row r="10621" spans="33:33">
      <c r="AG10621" s="536"/>
    </row>
    <row r="10622" spans="33:33">
      <c r="AG10622" s="536"/>
    </row>
    <row r="10623" spans="33:33">
      <c r="AG10623" s="536"/>
    </row>
    <row r="10624" spans="33:33">
      <c r="AG10624" s="536"/>
    </row>
    <row r="10625" spans="33:33">
      <c r="AG10625" s="536"/>
    </row>
    <row r="10626" spans="33:33">
      <c r="AG10626" s="536"/>
    </row>
    <row r="10627" spans="33:33">
      <c r="AG10627" s="536"/>
    </row>
    <row r="10628" spans="33:33">
      <c r="AG10628" s="536"/>
    </row>
    <row r="10629" spans="33:33">
      <c r="AG10629" s="536"/>
    </row>
    <row r="10630" spans="33:33">
      <c r="AG10630" s="536"/>
    </row>
    <row r="10631" spans="33:33">
      <c r="AG10631" s="536"/>
    </row>
    <row r="10632" spans="33:33">
      <c r="AG10632" s="536"/>
    </row>
    <row r="10633" spans="33:33">
      <c r="AG10633" s="536"/>
    </row>
    <row r="10634" spans="33:33">
      <c r="AG10634" s="536"/>
    </row>
    <row r="10635" spans="33:33">
      <c r="AG10635" s="536"/>
    </row>
    <row r="10636" spans="33:33">
      <c r="AG10636" s="536"/>
    </row>
    <row r="10637" spans="33:33">
      <c r="AG10637" s="536"/>
    </row>
    <row r="10638" spans="33:33">
      <c r="AG10638" s="536"/>
    </row>
    <row r="10639" spans="33:33">
      <c r="AG10639" s="536"/>
    </row>
    <row r="10640" spans="33:33">
      <c r="AG10640" s="536"/>
    </row>
    <row r="10641" spans="33:33">
      <c r="AG10641" s="536"/>
    </row>
    <row r="10642" spans="33:33">
      <c r="AG10642" s="536"/>
    </row>
    <row r="10643" spans="33:33">
      <c r="AG10643" s="536"/>
    </row>
    <row r="10644" spans="33:33">
      <c r="AG10644" s="536"/>
    </row>
    <row r="10645" spans="33:33">
      <c r="AG10645" s="536"/>
    </row>
    <row r="10646" spans="33:33">
      <c r="AG10646" s="536"/>
    </row>
    <row r="10647" spans="33:33">
      <c r="AG10647" s="536"/>
    </row>
    <row r="10648" spans="33:33">
      <c r="AG10648" s="536"/>
    </row>
    <row r="10649" spans="33:33">
      <c r="AG10649" s="536"/>
    </row>
    <row r="10650" spans="33:33">
      <c r="AG10650" s="536"/>
    </row>
    <row r="10651" spans="33:33">
      <c r="AG10651" s="536"/>
    </row>
    <row r="10652" spans="33:33">
      <c r="AG10652" s="536"/>
    </row>
    <row r="10653" spans="33:33">
      <c r="AG10653" s="536"/>
    </row>
    <row r="10654" spans="33:33">
      <c r="AG10654" s="536"/>
    </row>
    <row r="10655" spans="33:33">
      <c r="AG10655" s="536"/>
    </row>
    <row r="10656" spans="33:33">
      <c r="AG10656" s="536"/>
    </row>
    <row r="10657" spans="33:33">
      <c r="AG10657" s="536"/>
    </row>
    <row r="10658" spans="33:33">
      <c r="AG10658" s="536"/>
    </row>
    <row r="10659" spans="33:33">
      <c r="AG10659" s="536"/>
    </row>
    <row r="10660" spans="33:33">
      <c r="AG10660" s="536"/>
    </row>
    <row r="10661" spans="33:33">
      <c r="AG10661" s="536"/>
    </row>
    <row r="10662" spans="33:33">
      <c r="AG10662" s="536"/>
    </row>
    <row r="10663" spans="33:33">
      <c r="AG10663" s="536"/>
    </row>
    <row r="10664" spans="33:33">
      <c r="AG10664" s="536"/>
    </row>
    <row r="10665" spans="33:33">
      <c r="AG10665" s="536"/>
    </row>
    <row r="10666" spans="33:33">
      <c r="AG10666" s="536"/>
    </row>
    <row r="10667" spans="33:33">
      <c r="AG10667" s="536"/>
    </row>
    <row r="10668" spans="33:33">
      <c r="AG10668" s="536"/>
    </row>
    <row r="10669" spans="33:33">
      <c r="AG10669" s="536"/>
    </row>
    <row r="10670" spans="33:33">
      <c r="AG10670" s="536"/>
    </row>
    <row r="10671" spans="33:33">
      <c r="AG10671" s="536"/>
    </row>
    <row r="10672" spans="33:33">
      <c r="AG10672" s="536"/>
    </row>
    <row r="10673" spans="33:33">
      <c r="AG10673" s="536"/>
    </row>
    <row r="10674" spans="33:33">
      <c r="AG10674" s="536"/>
    </row>
    <row r="10675" spans="33:33">
      <c r="AG10675" s="536"/>
    </row>
    <row r="10676" spans="33:33">
      <c r="AG10676" s="536"/>
    </row>
    <row r="10677" spans="33:33">
      <c r="AG10677" s="536"/>
    </row>
    <row r="10678" spans="33:33">
      <c r="AG10678" s="536"/>
    </row>
    <row r="10679" spans="33:33">
      <c r="AG10679" s="536"/>
    </row>
    <row r="10680" spans="33:33">
      <c r="AG10680" s="536"/>
    </row>
    <row r="10681" spans="33:33">
      <c r="AG10681" s="536"/>
    </row>
    <row r="10682" spans="33:33">
      <c r="AG10682" s="536"/>
    </row>
    <row r="10683" spans="33:33">
      <c r="AG10683" s="536"/>
    </row>
    <row r="10684" spans="33:33">
      <c r="AG10684" s="536"/>
    </row>
    <row r="10685" spans="33:33">
      <c r="AG10685" s="536"/>
    </row>
    <row r="10686" spans="33:33">
      <c r="AG10686" s="536"/>
    </row>
    <row r="10687" spans="33:33">
      <c r="AG10687" s="536"/>
    </row>
    <row r="10688" spans="33:33">
      <c r="AG10688" s="536"/>
    </row>
    <row r="10689" spans="33:33">
      <c r="AG10689" s="536"/>
    </row>
    <row r="10690" spans="33:33">
      <c r="AG10690" s="536"/>
    </row>
    <row r="10691" spans="33:33">
      <c r="AG10691" s="536"/>
    </row>
    <row r="10692" spans="33:33">
      <c r="AG10692" s="536"/>
    </row>
    <row r="10693" spans="33:33">
      <c r="AG10693" s="536"/>
    </row>
    <row r="10694" spans="33:33">
      <c r="AG10694" s="536"/>
    </row>
    <row r="10695" spans="33:33">
      <c r="AG10695" s="536"/>
    </row>
    <row r="10696" spans="33:33">
      <c r="AG10696" s="536"/>
    </row>
    <row r="10697" spans="33:33">
      <c r="AG10697" s="536"/>
    </row>
    <row r="10698" spans="33:33">
      <c r="AG10698" s="536"/>
    </row>
    <row r="10699" spans="33:33">
      <c r="AG10699" s="536"/>
    </row>
    <row r="10700" spans="33:33">
      <c r="AG10700" s="536"/>
    </row>
    <row r="10701" spans="33:33">
      <c r="AG10701" s="536"/>
    </row>
    <row r="10702" spans="33:33">
      <c r="AG10702" s="536"/>
    </row>
    <row r="10703" spans="33:33">
      <c r="AG10703" s="536"/>
    </row>
    <row r="10704" spans="33:33">
      <c r="AG10704" s="536"/>
    </row>
    <row r="10705" spans="33:33">
      <c r="AG10705" s="536"/>
    </row>
    <row r="10706" spans="33:33">
      <c r="AG10706" s="536"/>
    </row>
    <row r="10707" spans="33:33">
      <c r="AG10707" s="536"/>
    </row>
    <row r="10708" spans="33:33">
      <c r="AG10708" s="536"/>
    </row>
    <row r="10709" spans="33:33">
      <c r="AG10709" s="536"/>
    </row>
    <row r="10710" spans="33:33">
      <c r="AG10710" s="536"/>
    </row>
    <row r="10711" spans="33:33">
      <c r="AG10711" s="536"/>
    </row>
    <row r="10712" spans="33:33">
      <c r="AG10712" s="536"/>
    </row>
    <row r="10713" spans="33:33">
      <c r="AG10713" s="536"/>
    </row>
    <row r="10714" spans="33:33">
      <c r="AG10714" s="536"/>
    </row>
    <row r="10715" spans="33:33">
      <c r="AG10715" s="536"/>
    </row>
    <row r="10716" spans="33:33">
      <c r="AG10716" s="536"/>
    </row>
    <row r="10717" spans="33:33">
      <c r="AG10717" s="536"/>
    </row>
    <row r="10718" spans="33:33">
      <c r="AG10718" s="536"/>
    </row>
    <row r="10719" spans="33:33">
      <c r="AG10719" s="536"/>
    </row>
    <row r="10720" spans="33:33">
      <c r="AG10720" s="536"/>
    </row>
    <row r="10721" spans="33:33">
      <c r="AG10721" s="536"/>
    </row>
    <row r="10722" spans="33:33">
      <c r="AG10722" s="536"/>
    </row>
    <row r="10723" spans="33:33">
      <c r="AG10723" s="536"/>
    </row>
    <row r="10724" spans="33:33">
      <c r="AG10724" s="536"/>
    </row>
    <row r="10725" spans="33:33">
      <c r="AG10725" s="536"/>
    </row>
    <row r="10726" spans="33:33">
      <c r="AG10726" s="536"/>
    </row>
    <row r="10727" spans="33:33">
      <c r="AG10727" s="536"/>
    </row>
    <row r="10728" spans="33:33">
      <c r="AG10728" s="536"/>
    </row>
    <row r="10729" spans="33:33">
      <c r="AG10729" s="536"/>
    </row>
    <row r="10730" spans="33:33">
      <c r="AG10730" s="536"/>
    </row>
    <row r="10731" spans="33:33">
      <c r="AG10731" s="536"/>
    </row>
    <row r="10732" spans="33:33">
      <c r="AG10732" s="536"/>
    </row>
    <row r="10733" spans="33:33">
      <c r="AG10733" s="536"/>
    </row>
    <row r="10734" spans="33:33">
      <c r="AG10734" s="536"/>
    </row>
    <row r="10735" spans="33:33">
      <c r="AG10735" s="536"/>
    </row>
    <row r="10736" spans="33:33">
      <c r="AG10736" s="536"/>
    </row>
    <row r="10737" spans="33:33">
      <c r="AG10737" s="536"/>
    </row>
    <row r="10738" spans="33:33">
      <c r="AG10738" s="536"/>
    </row>
    <row r="10739" spans="33:33">
      <c r="AG10739" s="536"/>
    </row>
    <row r="10740" spans="33:33">
      <c r="AG10740" s="536"/>
    </row>
    <row r="10741" spans="33:33">
      <c r="AG10741" s="536"/>
    </row>
    <row r="10742" spans="33:33">
      <c r="AG10742" s="536"/>
    </row>
    <row r="10743" spans="33:33">
      <c r="AG10743" s="536"/>
    </row>
    <row r="10744" spans="33:33">
      <c r="AG10744" s="536"/>
    </row>
    <row r="10745" spans="33:33">
      <c r="AG10745" s="536"/>
    </row>
    <row r="10746" spans="33:33">
      <c r="AG10746" s="536"/>
    </row>
    <row r="10747" spans="33:33">
      <c r="AG10747" s="536"/>
    </row>
    <row r="10748" spans="33:33">
      <c r="AG10748" s="536"/>
    </row>
    <row r="10749" spans="33:33">
      <c r="AG10749" s="536"/>
    </row>
    <row r="10750" spans="33:33">
      <c r="AG10750" s="536"/>
    </row>
    <row r="10751" spans="33:33">
      <c r="AG10751" s="536"/>
    </row>
    <row r="10752" spans="33:33">
      <c r="AG10752" s="536"/>
    </row>
    <row r="10753" spans="33:33">
      <c r="AG10753" s="536"/>
    </row>
    <row r="10754" spans="33:33">
      <c r="AG10754" s="536"/>
    </row>
    <row r="10755" spans="33:33">
      <c r="AG10755" s="536"/>
    </row>
    <row r="10756" spans="33:33">
      <c r="AG10756" s="536"/>
    </row>
    <row r="10757" spans="33:33">
      <c r="AG10757" s="536"/>
    </row>
    <row r="10758" spans="33:33">
      <c r="AG10758" s="536"/>
    </row>
    <row r="10759" spans="33:33">
      <c r="AG10759" s="536"/>
    </row>
    <row r="10760" spans="33:33">
      <c r="AG10760" s="536"/>
    </row>
    <row r="10761" spans="33:33">
      <c r="AG10761" s="536"/>
    </row>
    <row r="10762" spans="33:33">
      <c r="AG10762" s="536"/>
    </row>
    <row r="10763" spans="33:33">
      <c r="AG10763" s="536"/>
    </row>
    <row r="10764" spans="33:33">
      <c r="AG10764" s="536"/>
    </row>
    <row r="10765" spans="33:33">
      <c r="AG10765" s="536"/>
    </row>
    <row r="10766" spans="33:33">
      <c r="AG10766" s="536"/>
    </row>
    <row r="10767" spans="33:33">
      <c r="AG10767" s="536"/>
    </row>
    <row r="10768" spans="33:33">
      <c r="AG10768" s="536"/>
    </row>
    <row r="10769" spans="33:33">
      <c r="AG10769" s="536"/>
    </row>
    <row r="10770" spans="33:33">
      <c r="AG10770" s="536"/>
    </row>
    <row r="10771" spans="33:33">
      <c r="AG10771" s="536"/>
    </row>
    <row r="10772" spans="33:33">
      <c r="AG10772" s="536"/>
    </row>
    <row r="10773" spans="33:33">
      <c r="AG10773" s="536"/>
    </row>
    <row r="10774" spans="33:33">
      <c r="AG10774" s="536"/>
    </row>
    <row r="10775" spans="33:33">
      <c r="AG10775" s="536"/>
    </row>
    <row r="10776" spans="33:33">
      <c r="AG10776" s="536"/>
    </row>
    <row r="10777" spans="33:33">
      <c r="AG10777" s="536"/>
    </row>
    <row r="10778" spans="33:33">
      <c r="AG10778" s="536"/>
    </row>
    <row r="10779" spans="33:33">
      <c r="AG10779" s="536"/>
    </row>
    <row r="10780" spans="33:33">
      <c r="AG10780" s="536"/>
    </row>
    <row r="10781" spans="33:33">
      <c r="AG10781" s="536"/>
    </row>
    <row r="10782" spans="33:33">
      <c r="AG10782" s="536"/>
    </row>
    <row r="10783" spans="33:33">
      <c r="AG10783" s="536"/>
    </row>
    <row r="10784" spans="33:33">
      <c r="AG10784" s="536"/>
    </row>
    <row r="10785" spans="33:33">
      <c r="AG10785" s="536"/>
    </row>
    <row r="10786" spans="33:33">
      <c r="AG10786" s="536"/>
    </row>
    <row r="10787" spans="33:33">
      <c r="AG10787" s="536"/>
    </row>
    <row r="10788" spans="33:33">
      <c r="AG10788" s="536"/>
    </row>
    <row r="10789" spans="33:33">
      <c r="AG10789" s="536"/>
    </row>
    <row r="10790" spans="33:33">
      <c r="AG10790" s="536"/>
    </row>
    <row r="10791" spans="33:33">
      <c r="AG10791" s="536"/>
    </row>
    <row r="10792" spans="33:33">
      <c r="AG10792" s="536"/>
    </row>
    <row r="10793" spans="33:33">
      <c r="AG10793" s="536"/>
    </row>
    <row r="10794" spans="33:33">
      <c r="AG10794" s="536"/>
    </row>
    <row r="10795" spans="33:33">
      <c r="AG10795" s="536"/>
    </row>
    <row r="10796" spans="33:33">
      <c r="AG10796" s="536"/>
    </row>
    <row r="10797" spans="33:33">
      <c r="AG10797" s="536"/>
    </row>
    <row r="10798" spans="33:33">
      <c r="AG10798" s="536"/>
    </row>
    <row r="10799" spans="33:33">
      <c r="AG10799" s="536"/>
    </row>
    <row r="10800" spans="33:33">
      <c r="AG10800" s="536"/>
    </row>
    <row r="10801" spans="33:33">
      <c r="AG10801" s="536"/>
    </row>
    <row r="10802" spans="33:33">
      <c r="AG10802" s="536"/>
    </row>
    <row r="10803" spans="33:33">
      <c r="AG10803" s="536"/>
    </row>
    <row r="10804" spans="33:33">
      <c r="AG10804" s="536"/>
    </row>
    <row r="10805" spans="33:33">
      <c r="AG10805" s="536"/>
    </row>
    <row r="10806" spans="33:33">
      <c r="AG10806" s="536"/>
    </row>
    <row r="10807" spans="33:33">
      <c r="AG10807" s="536"/>
    </row>
    <row r="10808" spans="33:33">
      <c r="AG10808" s="536"/>
    </row>
    <row r="10809" spans="33:33">
      <c r="AG10809" s="536"/>
    </row>
    <row r="10810" spans="33:33">
      <c r="AG10810" s="536"/>
    </row>
    <row r="10811" spans="33:33">
      <c r="AG10811" s="536"/>
    </row>
    <row r="10812" spans="33:33">
      <c r="AG10812" s="536"/>
    </row>
    <row r="10813" spans="33:33">
      <c r="AG10813" s="536"/>
    </row>
    <row r="10814" spans="33:33">
      <c r="AG10814" s="536"/>
    </row>
    <row r="10815" spans="33:33">
      <c r="AG10815" s="536"/>
    </row>
    <row r="10816" spans="33:33">
      <c r="AG10816" s="536"/>
    </row>
    <row r="10817" spans="33:33">
      <c r="AG10817" s="536"/>
    </row>
    <row r="10818" spans="33:33">
      <c r="AG10818" s="536"/>
    </row>
    <row r="10819" spans="33:33">
      <c r="AG10819" s="536"/>
    </row>
    <row r="10820" spans="33:33">
      <c r="AG10820" s="536"/>
    </row>
    <row r="10821" spans="33:33">
      <c r="AG10821" s="536"/>
    </row>
    <row r="10822" spans="33:33">
      <c r="AG10822" s="536"/>
    </row>
    <row r="10823" spans="33:33">
      <c r="AG10823" s="536"/>
    </row>
    <row r="10824" spans="33:33">
      <c r="AG10824" s="536"/>
    </row>
    <row r="10825" spans="33:33">
      <c r="AG10825" s="536"/>
    </row>
    <row r="10826" spans="33:33">
      <c r="AG10826" s="536"/>
    </row>
    <row r="10827" spans="33:33">
      <c r="AG10827" s="536"/>
    </row>
    <row r="10828" spans="33:33">
      <c r="AG10828" s="536"/>
    </row>
    <row r="10829" spans="33:33">
      <c r="AG10829" s="536"/>
    </row>
    <row r="10830" spans="33:33">
      <c r="AG10830" s="536"/>
    </row>
    <row r="10831" spans="33:33">
      <c r="AG10831" s="536"/>
    </row>
    <row r="10832" spans="33:33">
      <c r="AG10832" s="536"/>
    </row>
    <row r="10833" spans="33:33">
      <c r="AG10833" s="536"/>
    </row>
    <row r="10834" spans="33:33">
      <c r="AG10834" s="536"/>
    </row>
    <row r="10835" spans="33:33">
      <c r="AG10835" s="536"/>
    </row>
    <row r="10836" spans="33:33">
      <c r="AG10836" s="536"/>
    </row>
    <row r="10837" spans="33:33">
      <c r="AG10837" s="536"/>
    </row>
    <row r="10838" spans="33:33">
      <c r="AG10838" s="536"/>
    </row>
    <row r="10839" spans="33:33">
      <c r="AG10839" s="536"/>
    </row>
    <row r="10840" spans="33:33">
      <c r="AG10840" s="536"/>
    </row>
    <row r="10841" spans="33:33">
      <c r="AG10841" s="536"/>
    </row>
    <row r="10842" spans="33:33">
      <c r="AG10842" s="536"/>
    </row>
    <row r="10843" spans="33:33">
      <c r="AG10843" s="536"/>
    </row>
    <row r="10844" spans="33:33">
      <c r="AG10844" s="536"/>
    </row>
    <row r="10845" spans="33:33">
      <c r="AG10845" s="536"/>
    </row>
    <row r="10846" spans="33:33">
      <c r="AG10846" s="536"/>
    </row>
    <row r="10847" spans="33:33">
      <c r="AG10847" s="536"/>
    </row>
    <row r="10848" spans="33:33">
      <c r="AG10848" s="536"/>
    </row>
    <row r="10849" spans="33:33">
      <c r="AG10849" s="536"/>
    </row>
    <row r="10850" spans="33:33">
      <c r="AG10850" s="536"/>
    </row>
    <row r="10851" spans="33:33">
      <c r="AG10851" s="536"/>
    </row>
    <row r="10852" spans="33:33">
      <c r="AG10852" s="536"/>
    </row>
    <row r="10853" spans="33:33">
      <c r="AG10853" s="536"/>
    </row>
    <row r="10854" spans="33:33">
      <c r="AG10854" s="536"/>
    </row>
    <row r="10855" spans="33:33">
      <c r="AG10855" s="536"/>
    </row>
    <row r="10856" spans="33:33">
      <c r="AG10856" s="536"/>
    </row>
    <row r="10857" spans="33:33">
      <c r="AG10857" s="536"/>
    </row>
    <row r="10858" spans="33:33">
      <c r="AG10858" s="536"/>
    </row>
    <row r="10859" spans="33:33">
      <c r="AG10859" s="536"/>
    </row>
    <row r="10860" spans="33:33">
      <c r="AG10860" s="536"/>
    </row>
    <row r="10861" spans="33:33">
      <c r="AG10861" s="536"/>
    </row>
    <row r="10862" spans="33:33">
      <c r="AG10862" s="536"/>
    </row>
    <row r="10863" spans="33:33">
      <c r="AG10863" s="536"/>
    </row>
    <row r="10864" spans="33:33">
      <c r="AG10864" s="536"/>
    </row>
    <row r="10865" spans="33:33">
      <c r="AG10865" s="536"/>
    </row>
    <row r="10866" spans="33:33">
      <c r="AG10866" s="536"/>
    </row>
    <row r="10867" spans="33:33">
      <c r="AG10867" s="536"/>
    </row>
    <row r="10868" spans="33:33">
      <c r="AG10868" s="536"/>
    </row>
    <row r="10869" spans="33:33">
      <c r="AG10869" s="536"/>
    </row>
    <row r="10870" spans="33:33">
      <c r="AG10870" s="536"/>
    </row>
    <row r="10871" spans="33:33">
      <c r="AG10871" s="536"/>
    </row>
    <row r="10872" spans="33:33">
      <c r="AG10872" s="536"/>
    </row>
    <row r="10873" spans="33:33">
      <c r="AG10873" s="536"/>
    </row>
    <row r="10874" spans="33:33">
      <c r="AG10874" s="536"/>
    </row>
    <row r="10875" spans="33:33">
      <c r="AG10875" s="536"/>
    </row>
    <row r="10876" spans="33:33">
      <c r="AG10876" s="536"/>
    </row>
    <row r="10877" spans="33:33">
      <c r="AG10877" s="536"/>
    </row>
    <row r="10878" spans="33:33">
      <c r="AG10878" s="536"/>
    </row>
    <row r="10879" spans="33:33">
      <c r="AG10879" s="536"/>
    </row>
    <row r="10880" spans="33:33">
      <c r="AG10880" s="536"/>
    </row>
    <row r="10881" spans="33:33">
      <c r="AG10881" s="536"/>
    </row>
    <row r="10882" spans="33:33">
      <c r="AG10882" s="536"/>
    </row>
    <row r="10883" spans="33:33">
      <c r="AG10883" s="536"/>
    </row>
    <row r="10884" spans="33:33">
      <c r="AG10884" s="536"/>
    </row>
    <row r="10885" spans="33:33">
      <c r="AG10885" s="536"/>
    </row>
    <row r="10886" spans="33:33">
      <c r="AG10886" s="536"/>
    </row>
    <row r="10887" spans="33:33">
      <c r="AG10887" s="536"/>
    </row>
    <row r="10888" spans="33:33">
      <c r="AG10888" s="536"/>
    </row>
    <row r="10889" spans="33:33">
      <c r="AG10889" s="536"/>
    </row>
    <row r="10890" spans="33:33">
      <c r="AG10890" s="536"/>
    </row>
    <row r="10891" spans="33:33">
      <c r="AG10891" s="536"/>
    </row>
    <row r="10892" spans="33:33">
      <c r="AG10892" s="536"/>
    </row>
    <row r="10893" spans="33:33">
      <c r="AG10893" s="536"/>
    </row>
    <row r="10894" spans="33:33">
      <c r="AG10894" s="536"/>
    </row>
    <row r="10895" spans="33:33">
      <c r="AG10895" s="536"/>
    </row>
    <row r="10896" spans="33:33">
      <c r="AG10896" s="536"/>
    </row>
    <row r="10897" spans="33:33">
      <c r="AG10897" s="536"/>
    </row>
    <row r="10898" spans="33:33">
      <c r="AG10898" s="536"/>
    </row>
    <row r="10899" spans="33:33">
      <c r="AG10899" s="536"/>
    </row>
    <row r="10900" spans="33:33">
      <c r="AG10900" s="536"/>
    </row>
    <row r="10901" spans="33:33">
      <c r="AG10901" s="536"/>
    </row>
    <row r="10902" spans="33:33">
      <c r="AG10902" s="536"/>
    </row>
    <row r="10903" spans="33:33">
      <c r="AG10903" s="536"/>
    </row>
    <row r="10904" spans="33:33">
      <c r="AG10904" s="536"/>
    </row>
    <row r="10905" spans="33:33">
      <c r="AG10905" s="536"/>
    </row>
    <row r="10906" spans="33:33">
      <c r="AG10906" s="536"/>
    </row>
    <row r="10907" spans="33:33">
      <c r="AG10907" s="536"/>
    </row>
    <row r="10908" spans="33:33">
      <c r="AG10908" s="536"/>
    </row>
    <row r="10909" spans="33:33">
      <c r="AG10909" s="536"/>
    </row>
    <row r="10910" spans="33:33">
      <c r="AG10910" s="536"/>
    </row>
    <row r="10911" spans="33:33">
      <c r="AG10911" s="536"/>
    </row>
    <row r="10912" spans="33:33">
      <c r="AG10912" s="536"/>
    </row>
    <row r="10913" spans="33:33">
      <c r="AG10913" s="536"/>
    </row>
    <row r="10914" spans="33:33">
      <c r="AG10914" s="536"/>
    </row>
    <row r="10915" spans="33:33">
      <c r="AG10915" s="536"/>
    </row>
    <row r="10916" spans="33:33">
      <c r="AG10916" s="536"/>
    </row>
    <row r="10917" spans="33:33">
      <c r="AG10917" s="536"/>
    </row>
    <row r="10918" spans="33:33">
      <c r="AG10918" s="536"/>
    </row>
    <row r="10919" spans="33:33">
      <c r="AG10919" s="536"/>
    </row>
    <row r="10920" spans="33:33">
      <c r="AG10920" s="536"/>
    </row>
    <row r="10921" spans="33:33">
      <c r="AG10921" s="536"/>
    </row>
    <row r="10922" spans="33:33">
      <c r="AG10922" s="536"/>
    </row>
    <row r="10923" spans="33:33">
      <c r="AG10923" s="536"/>
    </row>
    <row r="10924" spans="33:33">
      <c r="AG10924" s="536"/>
    </row>
    <row r="10925" spans="33:33">
      <c r="AG10925" s="536"/>
    </row>
    <row r="10926" spans="33:33">
      <c r="AG10926" s="536"/>
    </row>
    <row r="10927" spans="33:33">
      <c r="AG10927" s="536"/>
    </row>
    <row r="10928" spans="33:33">
      <c r="AG10928" s="536"/>
    </row>
    <row r="10929" spans="33:33">
      <c r="AG10929" s="536"/>
    </row>
    <row r="10930" spans="33:33">
      <c r="AG10930" s="536"/>
    </row>
    <row r="10931" spans="33:33">
      <c r="AG10931" s="536"/>
    </row>
    <row r="10932" spans="33:33">
      <c r="AG10932" s="536"/>
    </row>
    <row r="10933" spans="33:33">
      <c r="AG10933" s="536"/>
    </row>
    <row r="10934" spans="33:33">
      <c r="AG10934" s="536"/>
    </row>
    <row r="10935" spans="33:33">
      <c r="AG10935" s="536"/>
    </row>
    <row r="10936" spans="33:33">
      <c r="AG10936" s="536"/>
    </row>
    <row r="10937" spans="33:33">
      <c r="AG10937" s="536"/>
    </row>
    <row r="10938" spans="33:33">
      <c r="AG10938" s="536"/>
    </row>
    <row r="10939" spans="33:33">
      <c r="AG10939" s="536"/>
    </row>
    <row r="10940" spans="33:33">
      <c r="AG10940" s="536"/>
    </row>
    <row r="10941" spans="33:33">
      <c r="AG10941" s="536"/>
    </row>
    <row r="10942" spans="33:33">
      <c r="AG10942" s="536"/>
    </row>
    <row r="10943" spans="33:33">
      <c r="AG10943" s="536"/>
    </row>
    <row r="10944" spans="33:33">
      <c r="AG10944" s="536"/>
    </row>
    <row r="10945" spans="33:33">
      <c r="AG10945" s="536"/>
    </row>
    <row r="10946" spans="33:33">
      <c r="AG10946" s="536"/>
    </row>
    <row r="10947" spans="33:33">
      <c r="AG10947" s="536"/>
    </row>
    <row r="10948" spans="33:33">
      <c r="AG10948" s="536"/>
    </row>
    <row r="10949" spans="33:33">
      <c r="AG10949" s="536"/>
    </row>
    <row r="10950" spans="33:33">
      <c r="AG10950" s="536"/>
    </row>
    <row r="10951" spans="33:33">
      <c r="AG10951" s="536"/>
    </row>
    <row r="10952" spans="33:33">
      <c r="AG10952" s="536"/>
    </row>
    <row r="10953" spans="33:33">
      <c r="AG10953" s="536"/>
    </row>
    <row r="10954" spans="33:33">
      <c r="AG10954" s="536"/>
    </row>
    <row r="10955" spans="33:33">
      <c r="AG10955" s="536"/>
    </row>
    <row r="10956" spans="33:33">
      <c r="AG10956" s="536"/>
    </row>
    <row r="10957" spans="33:33">
      <c r="AG10957" s="536"/>
    </row>
    <row r="10958" spans="33:33">
      <c r="AG10958" s="536"/>
    </row>
    <row r="10959" spans="33:33">
      <c r="AG10959" s="536"/>
    </row>
    <row r="10960" spans="33:33">
      <c r="AG10960" s="536"/>
    </row>
    <row r="10961" spans="33:33">
      <c r="AG10961" s="536"/>
    </row>
    <row r="10962" spans="33:33">
      <c r="AG10962" s="536"/>
    </row>
    <row r="10963" spans="33:33">
      <c r="AG10963" s="536"/>
    </row>
    <row r="10964" spans="33:33">
      <c r="AG10964" s="536"/>
    </row>
    <row r="10965" spans="33:33">
      <c r="AG10965" s="536"/>
    </row>
    <row r="10966" spans="33:33">
      <c r="AG10966" s="536"/>
    </row>
    <row r="10967" spans="33:33">
      <c r="AG10967" s="536"/>
    </row>
    <row r="10968" spans="33:33">
      <c r="AG10968" s="536"/>
    </row>
    <row r="10969" spans="33:33">
      <c r="AG10969" s="536"/>
    </row>
    <row r="10970" spans="33:33">
      <c r="AG10970" s="536"/>
    </row>
    <row r="10971" spans="33:33">
      <c r="AG10971" s="536"/>
    </row>
    <row r="10972" spans="33:33">
      <c r="AG10972" s="536"/>
    </row>
    <row r="10973" spans="33:33">
      <c r="AG10973" s="536"/>
    </row>
    <row r="10974" spans="33:33">
      <c r="AG10974" s="536"/>
    </row>
    <row r="10975" spans="33:33">
      <c r="AG10975" s="536"/>
    </row>
    <row r="10976" spans="33:33">
      <c r="AG10976" s="536"/>
    </row>
    <row r="10977" spans="33:33">
      <c r="AG10977" s="536"/>
    </row>
    <row r="10978" spans="33:33">
      <c r="AG10978" s="536"/>
    </row>
    <row r="10979" spans="33:33">
      <c r="AG10979" s="536"/>
    </row>
    <row r="10980" spans="33:33">
      <c r="AG10980" s="536"/>
    </row>
    <row r="10981" spans="33:33">
      <c r="AG10981" s="536"/>
    </row>
    <row r="10982" spans="33:33">
      <c r="AG10982" s="536"/>
    </row>
    <row r="10983" spans="33:33">
      <c r="AG10983" s="536"/>
    </row>
    <row r="10984" spans="33:33">
      <c r="AG10984" s="536"/>
    </row>
    <row r="10985" spans="33:33">
      <c r="AG10985" s="536"/>
    </row>
    <row r="10986" spans="33:33">
      <c r="AG10986" s="536"/>
    </row>
    <row r="10987" spans="33:33">
      <c r="AG10987" s="536"/>
    </row>
    <row r="10988" spans="33:33">
      <c r="AG10988" s="536"/>
    </row>
    <row r="10989" spans="33:33">
      <c r="AG10989" s="536"/>
    </row>
    <row r="10990" spans="33:33">
      <c r="AG10990" s="536"/>
    </row>
    <row r="10991" spans="33:33">
      <c r="AG10991" s="536"/>
    </row>
    <row r="10992" spans="33:33">
      <c r="AG10992" s="536"/>
    </row>
    <row r="10993" spans="33:33">
      <c r="AG10993" s="536"/>
    </row>
    <row r="10994" spans="33:33">
      <c r="AG10994" s="536"/>
    </row>
    <row r="10995" spans="33:33">
      <c r="AG10995" s="536"/>
    </row>
    <row r="10996" spans="33:33">
      <c r="AG10996" s="536"/>
    </row>
    <row r="10997" spans="33:33">
      <c r="AG10997" s="536"/>
    </row>
    <row r="10998" spans="33:33">
      <c r="AG10998" s="536"/>
    </row>
    <row r="10999" spans="33:33">
      <c r="AG10999" s="536"/>
    </row>
    <row r="11000" spans="33:33">
      <c r="AG11000" s="536"/>
    </row>
    <row r="11001" spans="33:33">
      <c r="AG11001" s="536"/>
    </row>
    <row r="11002" spans="33:33">
      <c r="AG11002" s="536"/>
    </row>
    <row r="11003" spans="33:33">
      <c r="AG11003" s="536"/>
    </row>
    <row r="11004" spans="33:33">
      <c r="AG11004" s="536"/>
    </row>
    <row r="11005" spans="33:33">
      <c r="AG11005" s="536"/>
    </row>
    <row r="11006" spans="33:33">
      <c r="AG11006" s="536"/>
    </row>
    <row r="11007" spans="33:33">
      <c r="AG11007" s="536"/>
    </row>
    <row r="11008" spans="33:33">
      <c r="AG11008" s="536"/>
    </row>
    <row r="11009" spans="33:33">
      <c r="AG11009" s="536"/>
    </row>
    <row r="11010" spans="33:33">
      <c r="AG11010" s="536"/>
    </row>
    <row r="11011" spans="33:33">
      <c r="AG11011" s="536"/>
    </row>
    <row r="11012" spans="33:33">
      <c r="AG11012" s="536"/>
    </row>
    <row r="11013" spans="33:33">
      <c r="AG11013" s="536"/>
    </row>
    <row r="11014" spans="33:33">
      <c r="AG11014" s="536"/>
    </row>
    <row r="11015" spans="33:33">
      <c r="AG11015" s="536"/>
    </row>
    <row r="11016" spans="33:33">
      <c r="AG11016" s="536"/>
    </row>
    <row r="11017" spans="33:33">
      <c r="AG11017" s="536"/>
    </row>
    <row r="11018" spans="33:33">
      <c r="AG11018" s="536"/>
    </row>
    <row r="11019" spans="33:33">
      <c r="AG11019" s="536"/>
    </row>
    <row r="11020" spans="33:33">
      <c r="AG11020" s="536"/>
    </row>
    <row r="11021" spans="33:33">
      <c r="AG11021" s="536"/>
    </row>
    <row r="11022" spans="33:33">
      <c r="AG11022" s="536"/>
    </row>
    <row r="11023" spans="33:33">
      <c r="AG11023" s="536"/>
    </row>
    <row r="11024" spans="33:33">
      <c r="AG11024" s="536"/>
    </row>
    <row r="11025" spans="33:33">
      <c r="AG11025" s="536"/>
    </row>
    <row r="11026" spans="33:33">
      <c r="AG11026" s="536"/>
    </row>
    <row r="11027" spans="33:33">
      <c r="AG11027" s="536"/>
    </row>
    <row r="11028" spans="33:33">
      <c r="AG11028" s="536"/>
    </row>
    <row r="11029" spans="33:33">
      <c r="AG11029" s="536"/>
    </row>
    <row r="11030" spans="33:33">
      <c r="AG11030" s="536"/>
    </row>
    <row r="11031" spans="33:33">
      <c r="AG11031" s="536"/>
    </row>
    <row r="11032" spans="33:33">
      <c r="AG11032" s="536"/>
    </row>
    <row r="11033" spans="33:33">
      <c r="AG11033" s="536"/>
    </row>
    <row r="11034" spans="33:33">
      <c r="AG11034" s="536"/>
    </row>
    <row r="11035" spans="33:33">
      <c r="AG11035" s="536"/>
    </row>
    <row r="11036" spans="33:33">
      <c r="AG11036" s="536"/>
    </row>
    <row r="11037" spans="33:33">
      <c r="AG11037" s="536"/>
    </row>
    <row r="11038" spans="33:33">
      <c r="AG11038" s="536"/>
    </row>
    <row r="11039" spans="33:33">
      <c r="AG11039" s="536"/>
    </row>
    <row r="11040" spans="33:33">
      <c r="AG11040" s="536"/>
    </row>
    <row r="11041" spans="33:33">
      <c r="AG11041" s="536"/>
    </row>
    <row r="11042" spans="33:33">
      <c r="AG11042" s="536"/>
    </row>
    <row r="11043" spans="33:33">
      <c r="AG11043" s="536"/>
    </row>
    <row r="11044" spans="33:33">
      <c r="AG11044" s="536"/>
    </row>
    <row r="11045" spans="33:33">
      <c r="AG11045" s="536"/>
    </row>
    <row r="11046" spans="33:33">
      <c r="AG11046" s="536"/>
    </row>
    <row r="11047" spans="33:33">
      <c r="AG11047" s="536"/>
    </row>
    <row r="11048" spans="33:33">
      <c r="AG11048" s="536"/>
    </row>
    <row r="11049" spans="33:33">
      <c r="AG11049" s="536"/>
    </row>
    <row r="11050" spans="33:33">
      <c r="AG11050" s="536"/>
    </row>
    <row r="11051" spans="33:33">
      <c r="AG11051" s="536"/>
    </row>
    <row r="11052" spans="33:33">
      <c r="AG11052" s="536"/>
    </row>
    <row r="11053" spans="33:33">
      <c r="AG11053" s="536"/>
    </row>
    <row r="11054" spans="33:33">
      <c r="AG11054" s="536"/>
    </row>
    <row r="11055" spans="33:33">
      <c r="AG11055" s="536"/>
    </row>
    <row r="11056" spans="33:33">
      <c r="AG11056" s="536"/>
    </row>
    <row r="11057" spans="33:33">
      <c r="AG11057" s="536"/>
    </row>
    <row r="11058" spans="33:33">
      <c r="AG11058" s="536"/>
    </row>
    <row r="11059" spans="33:33">
      <c r="AG11059" s="536"/>
    </row>
    <row r="11060" spans="33:33">
      <c r="AG11060" s="536"/>
    </row>
    <row r="11061" spans="33:33">
      <c r="AG11061" s="536"/>
    </row>
    <row r="11062" spans="33:33">
      <c r="AG11062" s="536"/>
    </row>
    <row r="11063" spans="33:33">
      <c r="AG11063" s="536"/>
    </row>
    <row r="11064" spans="33:33">
      <c r="AG11064" s="536"/>
    </row>
    <row r="11065" spans="33:33">
      <c r="AG11065" s="536"/>
    </row>
    <row r="11066" spans="33:33">
      <c r="AG11066" s="536"/>
    </row>
    <row r="11067" spans="33:33">
      <c r="AG11067" s="536"/>
    </row>
    <row r="11068" spans="33:33">
      <c r="AG11068" s="536"/>
    </row>
    <row r="11069" spans="33:33">
      <c r="AG11069" s="536"/>
    </row>
    <row r="11070" spans="33:33">
      <c r="AG11070" s="536"/>
    </row>
    <row r="11071" spans="33:33">
      <c r="AG11071" s="536"/>
    </row>
    <row r="11072" spans="33:33">
      <c r="AG11072" s="536"/>
    </row>
    <row r="11073" spans="33:33">
      <c r="AG11073" s="536"/>
    </row>
    <row r="11074" spans="33:33">
      <c r="AG11074" s="536"/>
    </row>
    <row r="11075" spans="33:33">
      <c r="AG11075" s="536"/>
    </row>
    <row r="11076" spans="33:33">
      <c r="AG11076" s="536"/>
    </row>
    <row r="11077" spans="33:33">
      <c r="AG11077" s="536"/>
    </row>
    <row r="11078" spans="33:33">
      <c r="AG11078" s="536"/>
    </row>
    <row r="11079" spans="33:33">
      <c r="AG11079" s="536"/>
    </row>
    <row r="11080" spans="33:33">
      <c r="AG11080" s="536"/>
    </row>
    <row r="11081" spans="33:33">
      <c r="AG11081" s="536"/>
    </row>
    <row r="11082" spans="33:33">
      <c r="AG11082" s="536"/>
    </row>
    <row r="11083" spans="33:33">
      <c r="AG11083" s="536"/>
    </row>
    <row r="11084" spans="33:33">
      <c r="AG11084" s="536"/>
    </row>
    <row r="11085" spans="33:33">
      <c r="AG11085" s="536"/>
    </row>
    <row r="11086" spans="33:33">
      <c r="AG11086" s="536"/>
    </row>
    <row r="11087" spans="33:33">
      <c r="AG11087" s="536"/>
    </row>
    <row r="11088" spans="33:33">
      <c r="AG11088" s="536"/>
    </row>
    <row r="11089" spans="33:33">
      <c r="AG11089" s="536"/>
    </row>
    <row r="11090" spans="33:33">
      <c r="AG11090" s="536"/>
    </row>
    <row r="11091" spans="33:33">
      <c r="AG11091" s="536"/>
    </row>
    <row r="11092" spans="33:33">
      <c r="AG11092" s="536"/>
    </row>
    <row r="11093" spans="33:33">
      <c r="AG11093" s="536"/>
    </row>
    <row r="11094" spans="33:33">
      <c r="AG11094" s="536"/>
    </row>
    <row r="11095" spans="33:33">
      <c r="AG11095" s="536"/>
    </row>
    <row r="11096" spans="33:33">
      <c r="AG11096" s="536"/>
    </row>
    <row r="11097" spans="33:33">
      <c r="AG11097" s="536"/>
    </row>
    <row r="11098" spans="33:33">
      <c r="AG11098" s="536"/>
    </row>
    <row r="11099" spans="33:33">
      <c r="AG11099" s="536"/>
    </row>
    <row r="11100" spans="33:33">
      <c r="AG11100" s="536"/>
    </row>
    <row r="11101" spans="33:33">
      <c r="AG11101" s="536"/>
    </row>
    <row r="11102" spans="33:33">
      <c r="AG11102" s="536"/>
    </row>
    <row r="11103" spans="33:33">
      <c r="AG11103" s="536"/>
    </row>
    <row r="11104" spans="33:33">
      <c r="AG11104" s="536"/>
    </row>
    <row r="11105" spans="33:33">
      <c r="AG11105" s="536"/>
    </row>
    <row r="11106" spans="33:33">
      <c r="AG11106" s="536"/>
    </row>
    <row r="11107" spans="33:33">
      <c r="AG11107" s="536"/>
    </row>
    <row r="11108" spans="33:33">
      <c r="AG11108" s="536"/>
    </row>
    <row r="11109" spans="33:33">
      <c r="AG11109" s="536"/>
    </row>
    <row r="11110" spans="33:33">
      <c r="AG11110" s="536"/>
    </row>
    <row r="11111" spans="33:33">
      <c r="AG11111" s="536"/>
    </row>
    <row r="11112" spans="33:33">
      <c r="AG11112" s="536"/>
    </row>
    <row r="11113" spans="33:33">
      <c r="AG11113" s="536"/>
    </row>
    <row r="11114" spans="33:33">
      <c r="AG11114" s="536"/>
    </row>
    <row r="11115" spans="33:33">
      <c r="AG11115" s="536"/>
    </row>
    <row r="11116" spans="33:33">
      <c r="AG11116" s="536"/>
    </row>
    <row r="11117" spans="33:33">
      <c r="AG11117" s="536"/>
    </row>
    <row r="11118" spans="33:33">
      <c r="AG11118" s="536"/>
    </row>
    <row r="11119" spans="33:33">
      <c r="AG11119" s="536"/>
    </row>
    <row r="11120" spans="33:33">
      <c r="AG11120" s="536"/>
    </row>
    <row r="11121" spans="33:33">
      <c r="AG11121" s="536"/>
    </row>
    <row r="11122" spans="33:33">
      <c r="AG11122" s="536"/>
    </row>
    <row r="11123" spans="33:33">
      <c r="AG11123" s="536"/>
    </row>
    <row r="11124" spans="33:33">
      <c r="AG11124" s="536"/>
    </row>
    <row r="11125" spans="33:33">
      <c r="AG11125" s="536"/>
    </row>
    <row r="11126" spans="33:33">
      <c r="AG11126" s="536"/>
    </row>
    <row r="11127" spans="33:33">
      <c r="AG11127" s="536"/>
    </row>
    <row r="11128" spans="33:33">
      <c r="AG11128" s="536"/>
    </row>
    <row r="11129" spans="33:33">
      <c r="AG11129" s="536"/>
    </row>
    <row r="11130" spans="33:33">
      <c r="AG11130" s="536"/>
    </row>
    <row r="11131" spans="33:33">
      <c r="AG11131" s="536"/>
    </row>
    <row r="11132" spans="33:33">
      <c r="AG11132" s="536"/>
    </row>
    <row r="11133" spans="33:33">
      <c r="AG11133" s="536"/>
    </row>
    <row r="11134" spans="33:33">
      <c r="AG11134" s="536"/>
    </row>
    <row r="11135" spans="33:33">
      <c r="AG11135" s="536"/>
    </row>
    <row r="11136" spans="33:33">
      <c r="AG11136" s="536"/>
    </row>
    <row r="11137" spans="33:33">
      <c r="AG11137" s="536"/>
    </row>
    <row r="11138" spans="33:33">
      <c r="AG11138" s="536"/>
    </row>
    <row r="11139" spans="33:33">
      <c r="AG11139" s="536"/>
    </row>
    <row r="11140" spans="33:33">
      <c r="AG11140" s="536"/>
    </row>
    <row r="11141" spans="33:33">
      <c r="AG11141" s="536"/>
    </row>
    <row r="11142" spans="33:33">
      <c r="AG11142" s="536"/>
    </row>
    <row r="11143" spans="33:33">
      <c r="AG11143" s="536"/>
    </row>
    <row r="11144" spans="33:33">
      <c r="AG11144" s="536"/>
    </row>
    <row r="11145" spans="33:33">
      <c r="AG11145" s="536"/>
    </row>
    <row r="11146" spans="33:33">
      <c r="AG11146" s="536"/>
    </row>
    <row r="11147" spans="33:33">
      <c r="AG11147" s="536"/>
    </row>
    <row r="11148" spans="33:33">
      <c r="AG11148" s="536"/>
    </row>
    <row r="11149" spans="33:33">
      <c r="AG11149" s="536"/>
    </row>
    <row r="11150" spans="33:33">
      <c r="AG11150" s="536"/>
    </row>
    <row r="11151" spans="33:33">
      <c r="AG11151" s="536"/>
    </row>
    <row r="11152" spans="33:33">
      <c r="AG11152" s="536"/>
    </row>
    <row r="11153" spans="33:33">
      <c r="AG11153" s="536"/>
    </row>
    <row r="11154" spans="33:33">
      <c r="AG11154" s="536"/>
    </row>
    <row r="11155" spans="33:33">
      <c r="AG11155" s="536"/>
    </row>
    <row r="11156" spans="33:33">
      <c r="AG11156" s="536"/>
    </row>
    <row r="11157" spans="33:33">
      <c r="AG11157" s="536"/>
    </row>
    <row r="11158" spans="33:33">
      <c r="AG11158" s="536"/>
    </row>
    <row r="11159" spans="33:33">
      <c r="AG11159" s="536"/>
    </row>
    <row r="11160" spans="33:33">
      <c r="AG11160" s="536"/>
    </row>
    <row r="11161" spans="33:33">
      <c r="AG11161" s="536"/>
    </row>
    <row r="11162" spans="33:33">
      <c r="AG11162" s="536"/>
    </row>
    <row r="11163" spans="33:33">
      <c r="AG11163" s="536"/>
    </row>
    <row r="11164" spans="33:33">
      <c r="AG11164" s="536"/>
    </row>
    <row r="11165" spans="33:33">
      <c r="AG11165" s="536"/>
    </row>
    <row r="11166" spans="33:33">
      <c r="AG11166" s="536"/>
    </row>
    <row r="11167" spans="33:33">
      <c r="AG11167" s="536"/>
    </row>
    <row r="11168" spans="33:33">
      <c r="AG11168" s="536"/>
    </row>
    <row r="11169" spans="33:33">
      <c r="AG11169" s="536"/>
    </row>
    <row r="11170" spans="33:33">
      <c r="AG11170" s="536"/>
    </row>
    <row r="11171" spans="33:33">
      <c r="AG11171" s="536"/>
    </row>
    <row r="11172" spans="33:33">
      <c r="AG11172" s="536"/>
    </row>
    <row r="11173" spans="33:33">
      <c r="AG11173" s="536"/>
    </row>
    <row r="11174" spans="33:33">
      <c r="AG11174" s="536"/>
    </row>
    <row r="11175" spans="33:33">
      <c r="AG11175" s="536"/>
    </row>
    <row r="11176" spans="33:33">
      <c r="AG11176" s="536"/>
    </row>
    <row r="11177" spans="33:33">
      <c r="AG11177" s="536"/>
    </row>
    <row r="11178" spans="33:33">
      <c r="AG11178" s="536"/>
    </row>
    <row r="11179" spans="33:33">
      <c r="AG11179" s="536"/>
    </row>
    <row r="11180" spans="33:33">
      <c r="AG11180" s="536"/>
    </row>
    <row r="11181" spans="33:33">
      <c r="AG11181" s="536"/>
    </row>
    <row r="11182" spans="33:33">
      <c r="AG11182" s="536"/>
    </row>
    <row r="11183" spans="33:33">
      <c r="AG11183" s="536"/>
    </row>
    <row r="11184" spans="33:33">
      <c r="AG11184" s="536"/>
    </row>
    <row r="11185" spans="33:33">
      <c r="AG11185" s="536"/>
    </row>
    <row r="11186" spans="33:33">
      <c r="AG11186" s="536"/>
    </row>
    <row r="11187" spans="33:33">
      <c r="AG11187" s="536"/>
    </row>
    <row r="11188" spans="33:33">
      <c r="AG11188" s="536"/>
    </row>
    <row r="11189" spans="33:33">
      <c r="AG11189" s="536"/>
    </row>
    <row r="11190" spans="33:33">
      <c r="AG11190" s="536"/>
    </row>
    <row r="11191" spans="33:33">
      <c r="AG11191" s="536"/>
    </row>
    <row r="11192" spans="33:33">
      <c r="AG11192" s="536"/>
    </row>
    <row r="11193" spans="33:33">
      <c r="AG11193" s="536"/>
    </row>
    <row r="11194" spans="33:33">
      <c r="AG11194" s="536"/>
    </row>
    <row r="11195" spans="33:33">
      <c r="AG11195" s="536"/>
    </row>
    <row r="11196" spans="33:33">
      <c r="AG11196" s="536"/>
    </row>
    <row r="11197" spans="33:33">
      <c r="AG11197" s="536"/>
    </row>
    <row r="11198" spans="33:33">
      <c r="AG11198" s="536"/>
    </row>
    <row r="11199" spans="33:33">
      <c r="AG11199" s="536"/>
    </row>
    <row r="11200" spans="33:33">
      <c r="AG11200" s="536"/>
    </row>
    <row r="11201" spans="33:33">
      <c r="AG11201" s="536"/>
    </row>
    <row r="11202" spans="33:33">
      <c r="AG11202" s="536"/>
    </row>
    <row r="11203" spans="33:33">
      <c r="AG11203" s="536"/>
    </row>
    <row r="11204" spans="33:33">
      <c r="AG11204" s="536"/>
    </row>
    <row r="11205" spans="33:33">
      <c r="AG11205" s="536"/>
    </row>
    <row r="11206" spans="33:33">
      <c r="AG11206" s="536"/>
    </row>
    <row r="11207" spans="33:33">
      <c r="AG11207" s="536"/>
    </row>
    <row r="11208" spans="33:33">
      <c r="AG11208" s="536"/>
    </row>
    <row r="11209" spans="33:33">
      <c r="AG11209" s="536"/>
    </row>
    <row r="11210" spans="33:33">
      <c r="AG11210" s="536"/>
    </row>
    <row r="11211" spans="33:33">
      <c r="AG11211" s="536"/>
    </row>
    <row r="11212" spans="33:33">
      <c r="AG11212" s="536"/>
    </row>
    <row r="11213" spans="33:33">
      <c r="AG11213" s="536"/>
    </row>
    <row r="11214" spans="33:33">
      <c r="AG11214" s="536"/>
    </row>
    <row r="11215" spans="33:33">
      <c r="AG11215" s="536"/>
    </row>
    <row r="11216" spans="33:33">
      <c r="AG11216" s="536"/>
    </row>
    <row r="11217" spans="33:33">
      <c r="AG11217" s="536"/>
    </row>
    <row r="11218" spans="33:33">
      <c r="AG11218" s="536"/>
    </row>
    <row r="11219" spans="33:33">
      <c r="AG11219" s="536"/>
    </row>
    <row r="11220" spans="33:33">
      <c r="AG11220" s="536"/>
    </row>
    <row r="11221" spans="33:33">
      <c r="AG11221" s="536"/>
    </row>
    <row r="11222" spans="33:33">
      <c r="AG11222" s="536"/>
    </row>
    <row r="11223" spans="33:33">
      <c r="AG11223" s="536"/>
    </row>
    <row r="11224" spans="33:33">
      <c r="AG11224" s="536"/>
    </row>
    <row r="11225" spans="33:33">
      <c r="AG11225" s="536"/>
    </row>
    <row r="11226" spans="33:33">
      <c r="AG11226" s="536"/>
    </row>
    <row r="11227" spans="33:33">
      <c r="AG11227" s="536"/>
    </row>
    <row r="11228" spans="33:33">
      <c r="AG11228" s="536"/>
    </row>
    <row r="11229" spans="33:33">
      <c r="AG11229" s="536"/>
    </row>
    <row r="11230" spans="33:33">
      <c r="AG11230" s="536"/>
    </row>
    <row r="11231" spans="33:33">
      <c r="AG11231" s="536"/>
    </row>
    <row r="11232" spans="33:33">
      <c r="AG11232" s="536"/>
    </row>
    <row r="11233" spans="33:33">
      <c r="AG11233" s="536"/>
    </row>
    <row r="11234" spans="33:33">
      <c r="AG11234" s="536"/>
    </row>
    <row r="11235" spans="33:33">
      <c r="AG11235" s="536"/>
    </row>
    <row r="11236" spans="33:33">
      <c r="AG11236" s="536"/>
    </row>
    <row r="11237" spans="33:33">
      <c r="AG11237" s="536"/>
    </row>
    <row r="11238" spans="33:33">
      <c r="AG11238" s="536"/>
    </row>
    <row r="11239" spans="33:33">
      <c r="AG11239" s="536"/>
    </row>
    <row r="11240" spans="33:33">
      <c r="AG11240" s="536"/>
    </row>
    <row r="11241" spans="33:33">
      <c r="AG11241" s="536"/>
    </row>
    <row r="11242" spans="33:33">
      <c r="AG11242" s="536"/>
    </row>
    <row r="11243" spans="33:33">
      <c r="AG11243" s="536"/>
    </row>
    <row r="11244" spans="33:33">
      <c r="AG11244" s="536"/>
    </row>
    <row r="11245" spans="33:33">
      <c r="AG11245" s="536"/>
    </row>
    <row r="11246" spans="33:33">
      <c r="AG11246" s="536"/>
    </row>
    <row r="11247" spans="33:33">
      <c r="AG11247" s="536"/>
    </row>
    <row r="11248" spans="33:33">
      <c r="AG11248" s="536"/>
    </row>
    <row r="11249" spans="33:33">
      <c r="AG11249" s="536"/>
    </row>
    <row r="11250" spans="33:33">
      <c r="AG11250" s="536"/>
    </row>
    <row r="11251" spans="33:33">
      <c r="AG11251" s="536"/>
    </row>
    <row r="11252" spans="33:33">
      <c r="AG11252" s="536"/>
    </row>
    <row r="11253" spans="33:33">
      <c r="AG11253" s="536"/>
    </row>
    <row r="11254" spans="33:33">
      <c r="AG11254" s="536"/>
    </row>
    <row r="11255" spans="33:33">
      <c r="AG11255" s="536"/>
    </row>
    <row r="11256" spans="33:33">
      <c r="AG11256" s="536"/>
    </row>
    <row r="11257" spans="33:33">
      <c r="AG11257" s="536"/>
    </row>
    <row r="11258" spans="33:33">
      <c r="AG11258" s="536"/>
    </row>
    <row r="11259" spans="33:33">
      <c r="AG11259" s="536"/>
    </row>
    <row r="11260" spans="33:33">
      <c r="AG11260" s="536"/>
    </row>
    <row r="11261" spans="33:33">
      <c r="AG11261" s="536"/>
    </row>
    <row r="11262" spans="33:33">
      <c r="AG11262" s="536"/>
    </row>
    <row r="11263" spans="33:33">
      <c r="AG11263" s="536"/>
    </row>
    <row r="11264" spans="33:33">
      <c r="AG11264" s="536"/>
    </row>
    <row r="11265" spans="33:33">
      <c r="AG11265" s="536"/>
    </row>
    <row r="11266" spans="33:33">
      <c r="AG11266" s="536"/>
    </row>
    <row r="11267" spans="33:33">
      <c r="AG11267" s="536"/>
    </row>
    <row r="11268" spans="33:33">
      <c r="AG11268" s="536"/>
    </row>
    <row r="11269" spans="33:33">
      <c r="AG11269" s="536"/>
    </row>
    <row r="11270" spans="33:33">
      <c r="AG11270" s="536"/>
    </row>
    <row r="11271" spans="33:33">
      <c r="AG11271" s="536"/>
    </row>
    <row r="11272" spans="33:33">
      <c r="AG11272" s="536"/>
    </row>
    <row r="11273" spans="33:33">
      <c r="AG11273" s="536"/>
    </row>
    <row r="11274" spans="33:33">
      <c r="AG11274" s="536"/>
    </row>
    <row r="11275" spans="33:33">
      <c r="AG11275" s="536"/>
    </row>
    <row r="11276" spans="33:33">
      <c r="AG11276" s="536"/>
    </row>
    <row r="11277" spans="33:33">
      <c r="AG11277" s="536"/>
    </row>
    <row r="11278" spans="33:33">
      <c r="AG11278" s="536"/>
    </row>
    <row r="11279" spans="33:33">
      <c r="AG11279" s="536"/>
    </row>
    <row r="11280" spans="33:33">
      <c r="AG11280" s="536"/>
    </row>
    <row r="11281" spans="33:33">
      <c r="AG11281" s="536"/>
    </row>
    <row r="11282" spans="33:33">
      <c r="AG11282" s="536"/>
    </row>
    <row r="11283" spans="33:33">
      <c r="AG11283" s="536"/>
    </row>
    <row r="11284" spans="33:33">
      <c r="AG11284" s="536"/>
    </row>
    <row r="11285" spans="33:33">
      <c r="AG11285" s="536"/>
    </row>
    <row r="11286" spans="33:33">
      <c r="AG11286" s="536"/>
    </row>
    <row r="11287" spans="33:33">
      <c r="AG11287" s="536"/>
    </row>
    <row r="11288" spans="33:33">
      <c r="AG11288" s="536"/>
    </row>
    <row r="11289" spans="33:33">
      <c r="AG11289" s="536"/>
    </row>
    <row r="11290" spans="33:33">
      <c r="AG11290" s="536"/>
    </row>
    <row r="11291" spans="33:33">
      <c r="AG11291" s="536"/>
    </row>
    <row r="11292" spans="33:33">
      <c r="AG11292" s="536"/>
    </row>
    <row r="11293" spans="33:33">
      <c r="AG11293" s="536"/>
    </row>
    <row r="11294" spans="33:33">
      <c r="AG11294" s="536"/>
    </row>
    <row r="11295" spans="33:33">
      <c r="AG11295" s="536"/>
    </row>
    <row r="11296" spans="33:33">
      <c r="AG11296" s="536"/>
    </row>
    <row r="11297" spans="33:33">
      <c r="AG11297" s="536"/>
    </row>
    <row r="11298" spans="33:33">
      <c r="AG11298" s="536"/>
    </row>
    <row r="11299" spans="33:33">
      <c r="AG11299" s="536"/>
    </row>
    <row r="11300" spans="33:33">
      <c r="AG11300" s="536"/>
    </row>
    <row r="11301" spans="33:33">
      <c r="AG11301" s="536"/>
    </row>
    <row r="11302" spans="33:33">
      <c r="AG11302" s="536"/>
    </row>
    <row r="11303" spans="33:33">
      <c r="AG11303" s="536"/>
    </row>
    <row r="11304" spans="33:33">
      <c r="AG11304" s="536"/>
    </row>
    <row r="11305" spans="33:33">
      <c r="AG11305" s="536"/>
    </row>
    <row r="11306" spans="33:33">
      <c r="AG11306" s="536"/>
    </row>
    <row r="11307" spans="33:33">
      <c r="AG11307" s="536"/>
    </row>
    <row r="11308" spans="33:33">
      <c r="AG11308" s="536"/>
    </row>
    <row r="11309" spans="33:33">
      <c r="AG11309" s="536"/>
    </row>
    <row r="11310" spans="33:33">
      <c r="AG11310" s="536"/>
    </row>
    <row r="11311" spans="33:33">
      <c r="AG11311" s="536"/>
    </row>
    <row r="11312" spans="33:33">
      <c r="AG11312" s="536"/>
    </row>
    <row r="11313" spans="33:33">
      <c r="AG11313" s="536"/>
    </row>
    <row r="11314" spans="33:33">
      <c r="AG11314" s="536"/>
    </row>
    <row r="11315" spans="33:33">
      <c r="AG11315" s="536"/>
    </row>
    <row r="11316" spans="33:33">
      <c r="AG11316" s="536"/>
    </row>
    <row r="11317" spans="33:33">
      <c r="AG11317" s="536"/>
    </row>
    <row r="11318" spans="33:33">
      <c r="AG11318" s="536"/>
    </row>
    <row r="11319" spans="33:33">
      <c r="AG11319" s="536"/>
    </row>
    <row r="11320" spans="33:33">
      <c r="AG11320" s="536"/>
    </row>
    <row r="11321" spans="33:33">
      <c r="AG11321" s="536"/>
    </row>
    <row r="11322" spans="33:33">
      <c r="AG11322" s="536"/>
    </row>
    <row r="11323" spans="33:33">
      <c r="AG11323" s="536"/>
    </row>
    <row r="11324" spans="33:33">
      <c r="AG11324" s="536"/>
    </row>
    <row r="11325" spans="33:33">
      <c r="AG11325" s="536"/>
    </row>
    <row r="11326" spans="33:33">
      <c r="AG11326" s="536"/>
    </row>
    <row r="11327" spans="33:33">
      <c r="AG11327" s="536"/>
    </row>
    <row r="11328" spans="33:33">
      <c r="AG11328" s="536"/>
    </row>
    <row r="11329" spans="33:33">
      <c r="AG11329" s="536"/>
    </row>
    <row r="11330" spans="33:33">
      <c r="AG11330" s="536"/>
    </row>
    <row r="11331" spans="33:33">
      <c r="AG11331" s="536"/>
    </row>
    <row r="11332" spans="33:33">
      <c r="AG11332" s="536"/>
    </row>
    <row r="11333" spans="33:33">
      <c r="AG11333" s="536"/>
    </row>
    <row r="11334" spans="33:33">
      <c r="AG11334" s="536"/>
    </row>
    <row r="11335" spans="33:33">
      <c r="AG11335" s="536"/>
    </row>
    <row r="11336" spans="33:33">
      <c r="AG11336" s="536"/>
    </row>
    <row r="11337" spans="33:33">
      <c r="AG11337" s="536"/>
    </row>
    <row r="11338" spans="33:33">
      <c r="AG11338" s="536"/>
    </row>
    <row r="11339" spans="33:33">
      <c r="AG11339" s="536"/>
    </row>
    <row r="11340" spans="33:33">
      <c r="AG11340" s="536"/>
    </row>
    <row r="11341" spans="33:33">
      <c r="AG11341" s="536"/>
    </row>
    <row r="11342" spans="33:33">
      <c r="AG11342" s="536"/>
    </row>
    <row r="11343" spans="33:33">
      <c r="AG11343" s="536"/>
    </row>
    <row r="11344" spans="33:33">
      <c r="AG11344" s="536"/>
    </row>
    <row r="11345" spans="33:33">
      <c r="AG11345" s="536"/>
    </row>
    <row r="11346" spans="33:33">
      <c r="AG11346" s="536"/>
    </row>
    <row r="11347" spans="33:33">
      <c r="AG11347" s="536"/>
    </row>
    <row r="11348" spans="33:33">
      <c r="AG11348" s="536"/>
    </row>
    <row r="11349" spans="33:33">
      <c r="AG11349" s="536"/>
    </row>
    <row r="11350" spans="33:33">
      <c r="AG11350" s="536"/>
    </row>
    <row r="11351" spans="33:33">
      <c r="AG11351" s="536"/>
    </row>
    <row r="11352" spans="33:33">
      <c r="AG11352" s="536"/>
    </row>
    <row r="11353" spans="33:33">
      <c r="AG11353" s="536"/>
    </row>
    <row r="11354" spans="33:33">
      <c r="AG11354" s="536"/>
    </row>
    <row r="11355" spans="33:33">
      <c r="AG11355" s="536"/>
    </row>
    <row r="11356" spans="33:33">
      <c r="AG11356" s="536"/>
    </row>
    <row r="11357" spans="33:33">
      <c r="AG11357" s="536"/>
    </row>
    <row r="11358" spans="33:33">
      <c r="AG11358" s="536"/>
    </row>
    <row r="11359" spans="33:33">
      <c r="AG11359" s="536"/>
    </row>
    <row r="11360" spans="33:33">
      <c r="AG11360" s="536"/>
    </row>
    <row r="11361" spans="33:33">
      <c r="AG11361" s="536"/>
    </row>
    <row r="11362" spans="33:33">
      <c r="AG11362" s="536"/>
    </row>
    <row r="11363" spans="33:33">
      <c r="AG11363" s="536"/>
    </row>
    <row r="11364" spans="33:33">
      <c r="AG11364" s="536"/>
    </row>
    <row r="11365" spans="33:33">
      <c r="AG11365" s="536"/>
    </row>
    <row r="11366" spans="33:33">
      <c r="AG11366" s="536"/>
    </row>
    <row r="11367" spans="33:33">
      <c r="AG11367" s="536"/>
    </row>
    <row r="11368" spans="33:33">
      <c r="AG11368" s="536"/>
    </row>
    <row r="11369" spans="33:33">
      <c r="AG11369" s="536"/>
    </row>
    <row r="11370" spans="33:33">
      <c r="AG11370" s="536"/>
    </row>
    <row r="11371" spans="33:33">
      <c r="AG11371" s="536"/>
    </row>
    <row r="11372" spans="33:33">
      <c r="AG11372" s="536"/>
    </row>
    <row r="11373" spans="33:33">
      <c r="AG11373" s="536"/>
    </row>
    <row r="11374" spans="33:33">
      <c r="AG11374" s="536"/>
    </row>
    <row r="11375" spans="33:33">
      <c r="AG11375" s="536"/>
    </row>
    <row r="11376" spans="33:33">
      <c r="AG11376" s="536"/>
    </row>
    <row r="11377" spans="33:33">
      <c r="AG11377" s="536"/>
    </row>
    <row r="11378" spans="33:33">
      <c r="AG11378" s="536"/>
    </row>
    <row r="11379" spans="33:33">
      <c r="AG11379" s="536"/>
    </row>
    <row r="11380" spans="33:33">
      <c r="AG11380" s="536"/>
    </row>
    <row r="11381" spans="33:33">
      <c r="AG11381" s="536"/>
    </row>
    <row r="11382" spans="33:33">
      <c r="AG11382" s="536"/>
    </row>
    <row r="11383" spans="33:33">
      <c r="AG11383" s="536"/>
    </row>
    <row r="11384" spans="33:33">
      <c r="AG11384" s="536"/>
    </row>
    <row r="11385" spans="33:33">
      <c r="AG11385" s="536"/>
    </row>
    <row r="11386" spans="33:33">
      <c r="AG11386" s="536"/>
    </row>
    <row r="11387" spans="33:33">
      <c r="AG11387" s="536"/>
    </row>
    <row r="11388" spans="33:33">
      <c r="AG11388" s="536"/>
    </row>
    <row r="11389" spans="33:33">
      <c r="AG11389" s="536"/>
    </row>
    <row r="11390" spans="33:33">
      <c r="AG11390" s="536"/>
    </row>
    <row r="11391" spans="33:33">
      <c r="AG11391" s="536"/>
    </row>
    <row r="11392" spans="33:33">
      <c r="AG11392" s="536"/>
    </row>
    <row r="11393" spans="33:33">
      <c r="AG11393" s="536"/>
    </row>
    <row r="11394" spans="33:33">
      <c r="AG11394" s="536"/>
    </row>
    <row r="11395" spans="33:33">
      <c r="AG11395" s="536"/>
    </row>
    <row r="11396" spans="33:33">
      <c r="AG11396" s="536"/>
    </row>
    <row r="11397" spans="33:33">
      <c r="AG11397" s="536"/>
    </row>
    <row r="11398" spans="33:33">
      <c r="AG11398" s="536"/>
    </row>
    <row r="11399" spans="33:33">
      <c r="AG11399" s="536"/>
    </row>
    <row r="11400" spans="33:33">
      <c r="AG11400" s="536"/>
    </row>
    <row r="11401" spans="33:33">
      <c r="AG11401" s="536"/>
    </row>
    <row r="11402" spans="33:33">
      <c r="AG11402" s="536"/>
    </row>
    <row r="11403" spans="33:33">
      <c r="AG11403" s="536"/>
    </row>
    <row r="11404" spans="33:33">
      <c r="AG11404" s="536"/>
    </row>
    <row r="11405" spans="33:33">
      <c r="AG11405" s="536"/>
    </row>
    <row r="11406" spans="33:33">
      <c r="AG11406" s="536"/>
    </row>
    <row r="11407" spans="33:33">
      <c r="AG11407" s="536"/>
    </row>
    <row r="11408" spans="33:33">
      <c r="AG11408" s="536"/>
    </row>
    <row r="11409" spans="33:33">
      <c r="AG11409" s="536"/>
    </row>
    <row r="11410" spans="33:33">
      <c r="AG11410" s="536"/>
    </row>
    <row r="11411" spans="33:33">
      <c r="AG11411" s="536"/>
    </row>
    <row r="11412" spans="33:33">
      <c r="AG11412" s="536"/>
    </row>
    <row r="11413" spans="33:33">
      <c r="AG11413" s="536"/>
    </row>
    <row r="11414" spans="33:33">
      <c r="AG11414" s="536"/>
    </row>
    <row r="11415" spans="33:33">
      <c r="AG11415" s="536"/>
    </row>
    <row r="11416" spans="33:33">
      <c r="AG11416" s="536"/>
    </row>
    <row r="11417" spans="33:33">
      <c r="AG11417" s="536"/>
    </row>
    <row r="11418" spans="33:33">
      <c r="AG11418" s="536"/>
    </row>
    <row r="11419" spans="33:33">
      <c r="AG11419" s="536"/>
    </row>
    <row r="11420" spans="33:33">
      <c r="AG11420" s="536"/>
    </row>
    <row r="11421" spans="33:33">
      <c r="AG11421" s="536"/>
    </row>
    <row r="11422" spans="33:33">
      <c r="AG11422" s="536"/>
    </row>
    <row r="11423" spans="33:33">
      <c r="AG11423" s="536"/>
    </row>
    <row r="11424" spans="33:33">
      <c r="AG11424" s="536"/>
    </row>
    <row r="11425" spans="33:33">
      <c r="AG11425" s="536"/>
    </row>
    <row r="11426" spans="33:33">
      <c r="AG11426" s="536"/>
    </row>
    <row r="11427" spans="33:33">
      <c r="AG11427" s="536"/>
    </row>
    <row r="11428" spans="33:33">
      <c r="AG11428" s="536"/>
    </row>
    <row r="11429" spans="33:33">
      <c r="AG11429" s="536"/>
    </row>
    <row r="11430" spans="33:33">
      <c r="AG11430" s="536"/>
    </row>
    <row r="11431" spans="33:33">
      <c r="AG11431" s="536"/>
    </row>
    <row r="11432" spans="33:33">
      <c r="AG11432" s="536"/>
    </row>
    <row r="11433" spans="33:33">
      <c r="AG11433" s="536"/>
    </row>
    <row r="11434" spans="33:33">
      <c r="AG11434" s="536"/>
    </row>
    <row r="11435" spans="33:33">
      <c r="AG11435" s="536"/>
    </row>
    <row r="11436" spans="33:33">
      <c r="AG11436" s="536"/>
    </row>
    <row r="11437" spans="33:33">
      <c r="AG11437" s="536"/>
    </row>
    <row r="11438" spans="33:33">
      <c r="AG11438" s="536"/>
    </row>
    <row r="11439" spans="33:33">
      <c r="AG11439" s="536"/>
    </row>
    <row r="11440" spans="33:33">
      <c r="AG11440" s="536"/>
    </row>
    <row r="11441" spans="33:33">
      <c r="AG11441" s="536"/>
    </row>
    <row r="11442" spans="33:33">
      <c r="AG11442" s="536"/>
    </row>
    <row r="11443" spans="33:33">
      <c r="AG11443" s="536"/>
    </row>
    <row r="11444" spans="33:33">
      <c r="AG11444" s="536"/>
    </row>
    <row r="11445" spans="33:33">
      <c r="AG11445" s="536"/>
    </row>
    <row r="11446" spans="33:33">
      <c r="AG11446" s="536"/>
    </row>
    <row r="11447" spans="33:33">
      <c r="AG11447" s="536"/>
    </row>
    <row r="11448" spans="33:33">
      <c r="AG11448" s="536"/>
    </row>
    <row r="11449" spans="33:33">
      <c r="AG11449" s="536"/>
    </row>
    <row r="11450" spans="33:33">
      <c r="AG11450" s="536"/>
    </row>
    <row r="11451" spans="33:33">
      <c r="AG11451" s="536"/>
    </row>
    <row r="11452" spans="33:33">
      <c r="AG11452" s="536"/>
    </row>
    <row r="11453" spans="33:33">
      <c r="AG11453" s="536"/>
    </row>
    <row r="11454" spans="33:33">
      <c r="AG11454" s="536"/>
    </row>
    <row r="11455" spans="33:33">
      <c r="AG11455" s="536"/>
    </row>
    <row r="11456" spans="33:33">
      <c r="AG11456" s="536"/>
    </row>
    <row r="11457" spans="33:33">
      <c r="AG11457" s="536"/>
    </row>
    <row r="11458" spans="33:33">
      <c r="AG11458" s="536"/>
    </row>
    <row r="11459" spans="33:33">
      <c r="AG11459" s="536"/>
    </row>
    <row r="11460" spans="33:33">
      <c r="AG11460" s="536"/>
    </row>
    <row r="11461" spans="33:33">
      <c r="AG11461" s="536"/>
    </row>
    <row r="11462" spans="33:33">
      <c r="AG11462" s="536"/>
    </row>
    <row r="11463" spans="33:33">
      <c r="AG11463" s="536"/>
    </row>
    <row r="11464" spans="33:33">
      <c r="AG11464" s="536"/>
    </row>
    <row r="11465" spans="33:33">
      <c r="AG11465" s="536"/>
    </row>
    <row r="11466" spans="33:33">
      <c r="AG11466" s="536"/>
    </row>
    <row r="11467" spans="33:33">
      <c r="AG11467" s="536"/>
    </row>
    <row r="11468" spans="33:33">
      <c r="AG11468" s="536"/>
    </row>
    <row r="11469" spans="33:33">
      <c r="AG11469" s="536"/>
    </row>
    <row r="11470" spans="33:33">
      <c r="AG11470" s="536"/>
    </row>
    <row r="11471" spans="33:33">
      <c r="AG11471" s="536"/>
    </row>
    <row r="11472" spans="33:33">
      <c r="AG11472" s="536"/>
    </row>
    <row r="11473" spans="33:33">
      <c r="AG11473" s="536"/>
    </row>
    <row r="11474" spans="33:33">
      <c r="AG11474" s="536"/>
    </row>
    <row r="11475" spans="33:33">
      <c r="AG11475" s="536"/>
    </row>
    <row r="11476" spans="33:33">
      <c r="AG11476" s="536"/>
    </row>
    <row r="11477" spans="33:33">
      <c r="AG11477" s="536"/>
    </row>
    <row r="11478" spans="33:33">
      <c r="AG11478" s="536"/>
    </row>
    <row r="11479" spans="33:33">
      <c r="AG11479" s="536"/>
    </row>
    <row r="11480" spans="33:33">
      <c r="AG11480" s="536"/>
    </row>
    <row r="11481" spans="33:33">
      <c r="AG11481" s="536"/>
    </row>
    <row r="11482" spans="33:33">
      <c r="AG11482" s="536"/>
    </row>
    <row r="11483" spans="33:33">
      <c r="AG11483" s="536"/>
    </row>
    <row r="11484" spans="33:33">
      <c r="AG11484" s="536"/>
    </row>
    <row r="11485" spans="33:33">
      <c r="AG11485" s="536"/>
    </row>
    <row r="11486" spans="33:33">
      <c r="AG11486" s="536"/>
    </row>
    <row r="11487" spans="33:33">
      <c r="AG11487" s="536"/>
    </row>
    <row r="11488" spans="33:33">
      <c r="AG11488" s="536"/>
    </row>
    <row r="11489" spans="33:33">
      <c r="AG11489" s="536"/>
    </row>
    <row r="11490" spans="33:33">
      <c r="AG11490" s="536"/>
    </row>
    <row r="11491" spans="33:33">
      <c r="AG11491" s="536"/>
    </row>
    <row r="11492" spans="33:33">
      <c r="AG11492" s="536"/>
    </row>
    <row r="11493" spans="33:33">
      <c r="AG11493" s="536"/>
    </row>
    <row r="11494" spans="33:33">
      <c r="AG11494" s="536"/>
    </row>
    <row r="11495" spans="33:33">
      <c r="AG11495" s="536"/>
    </row>
    <row r="11496" spans="33:33">
      <c r="AG11496" s="536"/>
    </row>
    <row r="11497" spans="33:33">
      <c r="AG11497" s="536"/>
    </row>
    <row r="11498" spans="33:33">
      <c r="AG11498" s="536"/>
    </row>
    <row r="11499" spans="33:33">
      <c r="AG11499" s="536"/>
    </row>
    <row r="11500" spans="33:33">
      <c r="AG11500" s="536"/>
    </row>
    <row r="11501" spans="33:33">
      <c r="AG11501" s="536"/>
    </row>
    <row r="11502" spans="33:33">
      <c r="AG11502" s="536"/>
    </row>
    <row r="11503" spans="33:33">
      <c r="AG11503" s="536"/>
    </row>
    <row r="11504" spans="33:33">
      <c r="AG11504" s="536"/>
    </row>
    <row r="11505" spans="33:33">
      <c r="AG11505" s="536"/>
    </row>
    <row r="11506" spans="33:33">
      <c r="AG11506" s="536"/>
    </row>
    <row r="11507" spans="33:33">
      <c r="AG11507" s="536"/>
    </row>
    <row r="11508" spans="33:33">
      <c r="AG11508" s="536"/>
    </row>
    <row r="11509" spans="33:33">
      <c r="AG11509" s="536"/>
    </row>
    <row r="11510" spans="33:33">
      <c r="AG11510" s="536"/>
    </row>
    <row r="11511" spans="33:33">
      <c r="AG11511" s="536"/>
    </row>
    <row r="11512" spans="33:33">
      <c r="AG11512" s="536"/>
    </row>
    <row r="11513" spans="33:33">
      <c r="AG11513" s="536"/>
    </row>
    <row r="11514" spans="33:33">
      <c r="AG11514" s="536"/>
    </row>
    <row r="11515" spans="33:33">
      <c r="AG11515" s="536"/>
    </row>
    <row r="11516" spans="33:33">
      <c r="AG11516" s="536"/>
    </row>
    <row r="11517" spans="33:33">
      <c r="AG11517" s="536"/>
    </row>
    <row r="11518" spans="33:33">
      <c r="AG11518" s="536"/>
    </row>
    <row r="11519" spans="33:33">
      <c r="AG11519" s="536"/>
    </row>
    <row r="11520" spans="33:33">
      <c r="AG11520" s="536"/>
    </row>
    <row r="11521" spans="33:33">
      <c r="AG11521" s="536"/>
    </row>
    <row r="11522" spans="33:33">
      <c r="AG11522" s="536"/>
    </row>
    <row r="11523" spans="33:33">
      <c r="AG11523" s="536"/>
    </row>
    <row r="11524" spans="33:33">
      <c r="AG11524" s="536"/>
    </row>
    <row r="11525" spans="33:33">
      <c r="AG11525" s="536"/>
    </row>
    <row r="11526" spans="33:33">
      <c r="AG11526" s="536"/>
    </row>
    <row r="11527" spans="33:33">
      <c r="AG11527" s="536"/>
    </row>
    <row r="11528" spans="33:33">
      <c r="AG11528" s="536"/>
    </row>
    <row r="11529" spans="33:33">
      <c r="AG11529" s="536"/>
    </row>
    <row r="11530" spans="33:33">
      <c r="AG11530" s="536"/>
    </row>
    <row r="11531" spans="33:33">
      <c r="AG11531" s="536"/>
    </row>
    <row r="11532" spans="33:33">
      <c r="AG11532" s="536"/>
    </row>
    <row r="11533" spans="33:33">
      <c r="AG11533" s="536"/>
    </row>
    <row r="11534" spans="33:33">
      <c r="AG11534" s="536"/>
    </row>
    <row r="11535" spans="33:33">
      <c r="AG11535" s="536"/>
    </row>
    <row r="11536" spans="33:33">
      <c r="AG11536" s="536"/>
    </row>
    <row r="11537" spans="33:33">
      <c r="AG11537" s="536"/>
    </row>
    <row r="11538" spans="33:33">
      <c r="AG11538" s="536"/>
    </row>
    <row r="11539" spans="33:33">
      <c r="AG11539" s="536"/>
    </row>
    <row r="11540" spans="33:33">
      <c r="AG11540" s="536"/>
    </row>
    <row r="11541" spans="33:33">
      <c r="AG11541" s="536"/>
    </row>
    <row r="11542" spans="33:33">
      <c r="AG11542" s="536"/>
    </row>
    <row r="11543" spans="33:33">
      <c r="AG11543" s="536"/>
    </row>
    <row r="11544" spans="33:33">
      <c r="AG11544" s="536"/>
    </row>
    <row r="11545" spans="33:33">
      <c r="AG11545" s="536"/>
    </row>
    <row r="11546" spans="33:33">
      <c r="AG11546" s="536"/>
    </row>
    <row r="11547" spans="33:33">
      <c r="AG11547" s="536"/>
    </row>
    <row r="11548" spans="33:33">
      <c r="AG11548" s="536"/>
    </row>
    <row r="11549" spans="33:33">
      <c r="AG11549" s="536"/>
    </row>
    <row r="11550" spans="33:33">
      <c r="AG11550" s="536"/>
    </row>
    <row r="11551" spans="33:33">
      <c r="AG11551" s="536"/>
    </row>
    <row r="11552" spans="33:33">
      <c r="AG11552" s="536"/>
    </row>
    <row r="11553" spans="33:33">
      <c r="AG11553" s="536"/>
    </row>
    <row r="11554" spans="33:33">
      <c r="AG11554" s="536"/>
    </row>
    <row r="11555" spans="33:33">
      <c r="AG11555" s="536"/>
    </row>
    <row r="11556" spans="33:33">
      <c r="AG11556" s="536"/>
    </row>
    <row r="11557" spans="33:33">
      <c r="AG11557" s="536"/>
    </row>
    <row r="11558" spans="33:33">
      <c r="AG11558" s="536"/>
    </row>
    <row r="11559" spans="33:33">
      <c r="AG11559" s="536"/>
    </row>
    <row r="11560" spans="33:33">
      <c r="AG11560" s="536"/>
    </row>
    <row r="11561" spans="33:33">
      <c r="AG11561" s="536"/>
    </row>
    <row r="11562" spans="33:33">
      <c r="AG11562" s="536"/>
    </row>
    <row r="11563" spans="33:33">
      <c r="AG11563" s="536"/>
    </row>
    <row r="11564" spans="33:33">
      <c r="AG11564" s="536"/>
    </row>
    <row r="11565" spans="33:33">
      <c r="AG11565" s="536"/>
    </row>
    <row r="11566" spans="33:33">
      <c r="AG11566" s="536"/>
    </row>
    <row r="11567" spans="33:33">
      <c r="AG11567" s="536"/>
    </row>
    <row r="11568" spans="33:33">
      <c r="AG11568" s="536"/>
    </row>
    <row r="11569" spans="33:33">
      <c r="AG11569" s="536"/>
    </row>
    <row r="11570" spans="33:33">
      <c r="AG11570" s="536"/>
    </row>
    <row r="11571" spans="33:33">
      <c r="AG11571" s="536"/>
    </row>
    <row r="11572" spans="33:33">
      <c r="AG11572" s="536"/>
    </row>
    <row r="11573" spans="33:33">
      <c r="AG11573" s="536"/>
    </row>
    <row r="11574" spans="33:33">
      <c r="AG11574" s="536"/>
    </row>
    <row r="11575" spans="33:33">
      <c r="AG11575" s="536"/>
    </row>
    <row r="11576" spans="33:33">
      <c r="AG11576" s="536"/>
    </row>
    <row r="11577" spans="33:33">
      <c r="AG11577" s="536"/>
    </row>
    <row r="11578" spans="33:33">
      <c r="AG11578" s="536"/>
    </row>
    <row r="11579" spans="33:33">
      <c r="AG11579" s="536"/>
    </row>
    <row r="11580" spans="33:33">
      <c r="AG11580" s="536"/>
    </row>
    <row r="11581" spans="33:33">
      <c r="AG11581" s="536"/>
    </row>
    <row r="11582" spans="33:33">
      <c r="AG11582" s="536"/>
    </row>
    <row r="11583" spans="33:33">
      <c r="AG11583" s="536"/>
    </row>
    <row r="11584" spans="33:33">
      <c r="AG11584" s="536"/>
    </row>
    <row r="11585" spans="33:33">
      <c r="AG11585" s="536"/>
    </row>
    <row r="11586" spans="33:33">
      <c r="AG11586" s="536"/>
    </row>
    <row r="11587" spans="33:33">
      <c r="AG11587" s="536"/>
    </row>
    <row r="11588" spans="33:33">
      <c r="AG11588" s="536"/>
    </row>
    <row r="11589" spans="33:33">
      <c r="AG11589" s="536"/>
    </row>
    <row r="11590" spans="33:33">
      <c r="AG11590" s="536"/>
    </row>
    <row r="11591" spans="33:33">
      <c r="AG11591" s="536"/>
    </row>
    <row r="11592" spans="33:33">
      <c r="AG11592" s="536"/>
    </row>
    <row r="11593" spans="33:33">
      <c r="AG11593" s="536"/>
    </row>
    <row r="11594" spans="33:33">
      <c r="AG11594" s="536"/>
    </row>
    <row r="11595" spans="33:33">
      <c r="AG11595" s="536"/>
    </row>
    <row r="11596" spans="33:33">
      <c r="AG11596" s="536"/>
    </row>
    <row r="11597" spans="33:33">
      <c r="AG11597" s="536"/>
    </row>
    <row r="11598" spans="33:33">
      <c r="AG11598" s="536"/>
    </row>
    <row r="11599" spans="33:33">
      <c r="AG11599" s="536"/>
    </row>
    <row r="11600" spans="33:33">
      <c r="AG11600" s="536"/>
    </row>
    <row r="11601" spans="33:33">
      <c r="AG11601" s="536"/>
    </row>
    <row r="11602" spans="33:33">
      <c r="AG11602" s="536"/>
    </row>
    <row r="11603" spans="33:33">
      <c r="AG11603" s="536"/>
    </row>
    <row r="11604" spans="33:33">
      <c r="AG11604" s="536"/>
    </row>
    <row r="11605" spans="33:33">
      <c r="AG11605" s="536"/>
    </row>
    <row r="11606" spans="33:33">
      <c r="AG11606" s="536"/>
    </row>
    <row r="11607" spans="33:33">
      <c r="AG11607" s="536"/>
    </row>
    <row r="11608" spans="33:33">
      <c r="AG11608" s="536"/>
    </row>
    <row r="11609" spans="33:33">
      <c r="AG11609" s="536"/>
    </row>
    <row r="11610" spans="33:33">
      <c r="AG11610" s="536"/>
    </row>
    <row r="11611" spans="33:33">
      <c r="AG11611" s="536"/>
    </row>
    <row r="11612" spans="33:33">
      <c r="AG11612" s="536"/>
    </row>
    <row r="11613" spans="33:33">
      <c r="AG11613" s="536"/>
    </row>
    <row r="11614" spans="33:33">
      <c r="AG11614" s="536"/>
    </row>
    <row r="11615" spans="33:33">
      <c r="AG11615" s="536"/>
    </row>
    <row r="11616" spans="33:33">
      <c r="AG11616" s="536"/>
    </row>
    <row r="11617" spans="33:33">
      <c r="AG11617" s="536"/>
    </row>
    <row r="11618" spans="33:33">
      <c r="AG11618" s="536"/>
    </row>
    <row r="11619" spans="33:33">
      <c r="AG11619" s="536"/>
    </row>
    <row r="11620" spans="33:33">
      <c r="AG11620" s="536"/>
    </row>
    <row r="11621" spans="33:33">
      <c r="AG11621" s="536"/>
    </row>
    <row r="11622" spans="33:33">
      <c r="AG11622" s="536"/>
    </row>
    <row r="11623" spans="33:33">
      <c r="AG11623" s="536"/>
    </row>
    <row r="11624" spans="33:33">
      <c r="AG11624" s="536"/>
    </row>
    <row r="11625" spans="33:33">
      <c r="AG11625" s="536"/>
    </row>
    <row r="11626" spans="33:33">
      <c r="AG11626" s="536"/>
    </row>
    <row r="11627" spans="33:33">
      <c r="AG11627" s="536"/>
    </row>
    <row r="11628" spans="33:33">
      <c r="AG11628" s="536"/>
    </row>
    <row r="11629" spans="33:33">
      <c r="AG11629" s="536"/>
    </row>
    <row r="11630" spans="33:33">
      <c r="AG11630" s="536"/>
    </row>
    <row r="11631" spans="33:33">
      <c r="AG11631" s="536"/>
    </row>
    <row r="11632" spans="33:33">
      <c r="AG11632" s="536"/>
    </row>
    <row r="11633" spans="33:33">
      <c r="AG11633" s="536"/>
    </row>
    <row r="11634" spans="33:33">
      <c r="AG11634" s="536"/>
    </row>
    <row r="11635" spans="33:33">
      <c r="AG11635" s="536"/>
    </row>
    <row r="11636" spans="33:33">
      <c r="AG11636" s="536"/>
    </row>
    <row r="11637" spans="33:33">
      <c r="AG11637" s="536"/>
    </row>
    <row r="11638" spans="33:33">
      <c r="AG11638" s="536"/>
    </row>
    <row r="11639" spans="33:33">
      <c r="AG11639" s="536"/>
    </row>
    <row r="11640" spans="33:33">
      <c r="AG11640" s="536"/>
    </row>
    <row r="11641" spans="33:33">
      <c r="AG11641" s="536"/>
    </row>
    <row r="11642" spans="33:33">
      <c r="AG11642" s="536"/>
    </row>
    <row r="11643" spans="33:33">
      <c r="AG11643" s="536"/>
    </row>
    <row r="11644" spans="33:33">
      <c r="AG11644" s="536"/>
    </row>
    <row r="11645" spans="33:33">
      <c r="AG11645" s="536"/>
    </row>
    <row r="11646" spans="33:33">
      <c r="AG11646" s="536"/>
    </row>
    <row r="11647" spans="33:33">
      <c r="AG11647" s="536"/>
    </row>
    <row r="11648" spans="33:33">
      <c r="AG11648" s="536"/>
    </row>
    <row r="11649" spans="33:33">
      <c r="AG11649" s="536"/>
    </row>
    <row r="11650" spans="33:33">
      <c r="AG11650" s="536"/>
    </row>
    <row r="11651" spans="33:33">
      <c r="AG11651" s="536"/>
    </row>
    <row r="11652" spans="33:33">
      <c r="AG11652" s="536"/>
    </row>
    <row r="11653" spans="33:33">
      <c r="AG11653" s="536"/>
    </row>
    <row r="11654" spans="33:33">
      <c r="AG11654" s="536"/>
    </row>
    <row r="11655" spans="33:33">
      <c r="AG11655" s="536"/>
    </row>
    <row r="11656" spans="33:33">
      <c r="AG11656" s="536"/>
    </row>
    <row r="11657" spans="33:33">
      <c r="AG11657" s="536"/>
    </row>
    <row r="11658" spans="33:33">
      <c r="AG11658" s="536"/>
    </row>
    <row r="11659" spans="33:33">
      <c r="AG11659" s="536"/>
    </row>
    <row r="11660" spans="33:33">
      <c r="AG11660" s="536"/>
    </row>
    <row r="11661" spans="33:33">
      <c r="AG11661" s="536"/>
    </row>
    <row r="11662" spans="33:33">
      <c r="AG11662" s="536"/>
    </row>
    <row r="11663" spans="33:33">
      <c r="AG11663" s="536"/>
    </row>
    <row r="11664" spans="33:33">
      <c r="AG11664" s="536"/>
    </row>
    <row r="11665" spans="33:33">
      <c r="AG11665" s="536"/>
    </row>
    <row r="11666" spans="33:33">
      <c r="AG11666" s="536"/>
    </row>
    <row r="11667" spans="33:33">
      <c r="AG11667" s="536"/>
    </row>
    <row r="11668" spans="33:33">
      <c r="AG11668" s="536"/>
    </row>
    <row r="11669" spans="33:33">
      <c r="AG11669" s="536"/>
    </row>
    <row r="11670" spans="33:33">
      <c r="AG11670" s="536"/>
    </row>
    <row r="11671" spans="33:33">
      <c r="AG11671" s="536"/>
    </row>
    <row r="11672" spans="33:33">
      <c r="AG11672" s="536"/>
    </row>
    <row r="11673" spans="33:33">
      <c r="AG11673" s="536"/>
    </row>
    <row r="11674" spans="33:33">
      <c r="AG11674" s="536"/>
    </row>
    <row r="11675" spans="33:33">
      <c r="AG11675" s="536"/>
    </row>
    <row r="11676" spans="33:33">
      <c r="AG11676" s="536"/>
    </row>
    <row r="11677" spans="33:33">
      <c r="AG11677" s="536"/>
    </row>
    <row r="11678" spans="33:33">
      <c r="AG11678" s="536"/>
    </row>
    <row r="11679" spans="33:33">
      <c r="AG11679" s="536"/>
    </row>
    <row r="11680" spans="33:33">
      <c r="AG11680" s="536"/>
    </row>
    <row r="11681" spans="33:33">
      <c r="AG11681" s="536"/>
    </row>
    <row r="11682" spans="33:33">
      <c r="AG11682" s="536"/>
    </row>
    <row r="11683" spans="33:33">
      <c r="AG11683" s="536"/>
    </row>
    <row r="11684" spans="33:33">
      <c r="AG11684" s="536"/>
    </row>
    <row r="11685" spans="33:33">
      <c r="AG11685" s="536"/>
    </row>
    <row r="11686" spans="33:33">
      <c r="AG11686" s="536"/>
    </row>
    <row r="11687" spans="33:33">
      <c r="AG11687" s="536"/>
    </row>
    <row r="11688" spans="33:33">
      <c r="AG11688" s="536"/>
    </row>
    <row r="11689" spans="33:33">
      <c r="AG11689" s="536"/>
    </row>
    <row r="11690" spans="33:33">
      <c r="AG11690" s="536"/>
    </row>
    <row r="11691" spans="33:33">
      <c r="AG11691" s="536"/>
    </row>
    <row r="11692" spans="33:33">
      <c r="AG11692" s="536"/>
    </row>
    <row r="11693" spans="33:33">
      <c r="AG11693" s="536"/>
    </row>
    <row r="11694" spans="33:33">
      <c r="AG11694" s="536"/>
    </row>
    <row r="11695" spans="33:33">
      <c r="AG11695" s="536"/>
    </row>
    <row r="11696" spans="33:33">
      <c r="AG11696" s="536"/>
    </row>
    <row r="11697" spans="33:33">
      <c r="AG11697" s="536"/>
    </row>
    <row r="11698" spans="33:33">
      <c r="AG11698" s="536"/>
    </row>
    <row r="11699" spans="33:33">
      <c r="AG11699" s="536"/>
    </row>
    <row r="11700" spans="33:33">
      <c r="AG11700" s="536"/>
    </row>
    <row r="11701" spans="33:33">
      <c r="AG11701" s="536"/>
    </row>
    <row r="11702" spans="33:33">
      <c r="AG11702" s="536"/>
    </row>
    <row r="11703" spans="33:33">
      <c r="AG11703" s="536"/>
    </row>
    <row r="11704" spans="33:33">
      <c r="AG11704" s="536"/>
    </row>
    <row r="11705" spans="33:33">
      <c r="AG11705" s="536"/>
    </row>
    <row r="11706" spans="33:33">
      <c r="AG11706" s="536"/>
    </row>
    <row r="11707" spans="33:33">
      <c r="AG11707" s="536"/>
    </row>
    <row r="11708" spans="33:33">
      <c r="AG11708" s="536"/>
    </row>
    <row r="11709" spans="33:33">
      <c r="AG11709" s="536"/>
    </row>
    <row r="11710" spans="33:33">
      <c r="AG11710" s="536"/>
    </row>
    <row r="11711" spans="33:33">
      <c r="AG11711" s="536"/>
    </row>
    <row r="11712" spans="33:33">
      <c r="AG11712" s="536"/>
    </row>
    <row r="11713" spans="33:33">
      <c r="AG11713" s="536"/>
    </row>
    <row r="11714" spans="33:33">
      <c r="AG11714" s="536"/>
    </row>
    <row r="11715" spans="33:33">
      <c r="AG11715" s="536"/>
    </row>
    <row r="11716" spans="33:33">
      <c r="AG11716" s="536"/>
    </row>
    <row r="11717" spans="33:33">
      <c r="AG11717" s="536"/>
    </row>
    <row r="11718" spans="33:33">
      <c r="AG11718" s="536"/>
    </row>
    <row r="11719" spans="33:33">
      <c r="AG11719" s="536"/>
    </row>
    <row r="11720" spans="33:33">
      <c r="AG11720" s="536"/>
    </row>
    <row r="11721" spans="33:33">
      <c r="AG11721" s="536"/>
    </row>
    <row r="11722" spans="33:33">
      <c r="AG11722" s="536"/>
    </row>
    <row r="11723" spans="33:33">
      <c r="AG11723" s="536"/>
    </row>
    <row r="11724" spans="33:33">
      <c r="AG11724" s="536"/>
    </row>
    <row r="11725" spans="33:33">
      <c r="AG11725" s="536"/>
    </row>
    <row r="11726" spans="33:33">
      <c r="AG11726" s="536"/>
    </row>
    <row r="11727" spans="33:33">
      <c r="AG11727" s="536"/>
    </row>
    <row r="11728" spans="33:33">
      <c r="AG11728" s="536"/>
    </row>
    <row r="11729" spans="33:33">
      <c r="AG11729" s="536"/>
    </row>
    <row r="11730" spans="33:33">
      <c r="AG11730" s="536"/>
    </row>
    <row r="11731" spans="33:33">
      <c r="AG11731" s="536"/>
    </row>
    <row r="11732" spans="33:33">
      <c r="AG11732" s="536"/>
    </row>
    <row r="11733" spans="33:33">
      <c r="AG11733" s="536"/>
    </row>
    <row r="11734" spans="33:33">
      <c r="AG11734" s="536"/>
    </row>
    <row r="11735" spans="33:33">
      <c r="AG11735" s="536"/>
    </row>
    <row r="11736" spans="33:33">
      <c r="AG11736" s="536"/>
    </row>
    <row r="11737" spans="33:33">
      <c r="AG11737" s="536"/>
    </row>
    <row r="11738" spans="33:33">
      <c r="AG11738" s="536"/>
    </row>
    <row r="11739" spans="33:33">
      <c r="AG11739" s="536"/>
    </row>
    <row r="11740" spans="33:33">
      <c r="AG11740" s="536"/>
    </row>
    <row r="11741" spans="33:33">
      <c r="AG11741" s="536"/>
    </row>
    <row r="11742" spans="33:33">
      <c r="AG11742" s="536"/>
    </row>
    <row r="11743" spans="33:33">
      <c r="AG11743" s="536"/>
    </row>
    <row r="11744" spans="33:33">
      <c r="AG11744" s="536"/>
    </row>
    <row r="11745" spans="33:33">
      <c r="AG11745" s="536"/>
    </row>
    <row r="11746" spans="33:33">
      <c r="AG11746" s="536"/>
    </row>
    <row r="11747" spans="33:33">
      <c r="AG11747" s="536"/>
    </row>
    <row r="11748" spans="33:33">
      <c r="AG11748" s="536"/>
    </row>
    <row r="11749" spans="33:33">
      <c r="AG11749" s="536"/>
    </row>
    <row r="11750" spans="33:33">
      <c r="AG11750" s="536"/>
    </row>
    <row r="11751" spans="33:33">
      <c r="AG11751" s="536"/>
    </row>
    <row r="11752" spans="33:33">
      <c r="AG11752" s="536"/>
    </row>
    <row r="11753" spans="33:33">
      <c r="AG11753" s="536"/>
    </row>
    <row r="11754" spans="33:33">
      <c r="AG11754" s="536"/>
    </row>
    <row r="11755" spans="33:33">
      <c r="AG11755" s="536"/>
    </row>
    <row r="11756" spans="33:33">
      <c r="AG11756" s="536"/>
    </row>
    <row r="11757" spans="33:33">
      <c r="AG11757" s="536"/>
    </row>
    <row r="11758" spans="33:33">
      <c r="AG11758" s="536"/>
    </row>
    <row r="11759" spans="33:33">
      <c r="AG11759" s="536"/>
    </row>
    <row r="11760" spans="33:33">
      <c r="AG11760" s="536"/>
    </row>
    <row r="11761" spans="33:33">
      <c r="AG11761" s="536"/>
    </row>
    <row r="11762" spans="33:33">
      <c r="AG11762" s="536"/>
    </row>
    <row r="11763" spans="33:33">
      <c r="AG11763" s="536"/>
    </row>
    <row r="11764" spans="33:33">
      <c r="AG11764" s="536"/>
    </row>
    <row r="11765" spans="33:33">
      <c r="AG11765" s="536"/>
    </row>
    <row r="11766" spans="33:33">
      <c r="AG11766" s="536"/>
    </row>
    <row r="11767" spans="33:33">
      <c r="AG11767" s="536"/>
    </row>
    <row r="11768" spans="33:33">
      <c r="AG11768" s="536"/>
    </row>
    <row r="11769" spans="33:33">
      <c r="AG11769" s="536"/>
    </row>
    <row r="11770" spans="33:33">
      <c r="AG11770" s="536"/>
    </row>
    <row r="11771" spans="33:33">
      <c r="AG11771" s="536"/>
    </row>
    <row r="11772" spans="33:33">
      <c r="AG11772" s="536"/>
    </row>
    <row r="11773" spans="33:33">
      <c r="AG11773" s="536"/>
    </row>
    <row r="11774" spans="33:33">
      <c r="AG11774" s="536"/>
    </row>
    <row r="11775" spans="33:33">
      <c r="AG11775" s="536"/>
    </row>
    <row r="11776" spans="33:33">
      <c r="AG11776" s="536"/>
    </row>
    <row r="11777" spans="33:33">
      <c r="AG11777" s="536"/>
    </row>
    <row r="11778" spans="33:33">
      <c r="AG11778" s="536"/>
    </row>
    <row r="11779" spans="33:33">
      <c r="AG11779" s="536"/>
    </row>
    <row r="11780" spans="33:33">
      <c r="AG11780" s="536"/>
    </row>
    <row r="11781" spans="33:33">
      <c r="AG11781" s="536"/>
    </row>
    <row r="11782" spans="33:33">
      <c r="AG11782" s="536"/>
    </row>
    <row r="11783" spans="33:33">
      <c r="AG11783" s="536"/>
    </row>
    <row r="11784" spans="33:33">
      <c r="AG11784" s="536"/>
    </row>
    <row r="11785" spans="33:33">
      <c r="AG11785" s="536"/>
    </row>
    <row r="11786" spans="33:33">
      <c r="AG11786" s="536"/>
    </row>
    <row r="11787" spans="33:33">
      <c r="AG11787" s="536"/>
    </row>
    <row r="11788" spans="33:33">
      <c r="AG11788" s="536"/>
    </row>
    <row r="11789" spans="33:33">
      <c r="AG11789" s="536"/>
    </row>
    <row r="11790" spans="33:33">
      <c r="AG11790" s="536"/>
    </row>
    <row r="11791" spans="33:33">
      <c r="AG11791" s="536"/>
    </row>
    <row r="11792" spans="33:33">
      <c r="AG11792" s="536"/>
    </row>
    <row r="11793" spans="33:33">
      <c r="AG11793" s="536"/>
    </row>
    <row r="11794" spans="33:33">
      <c r="AG11794" s="536"/>
    </row>
    <row r="11795" spans="33:33">
      <c r="AG11795" s="536"/>
    </row>
    <row r="11796" spans="33:33">
      <c r="AG11796" s="536"/>
    </row>
    <row r="11797" spans="33:33">
      <c r="AG11797" s="536"/>
    </row>
    <row r="11798" spans="33:33">
      <c r="AG11798" s="536"/>
    </row>
    <row r="11799" spans="33:33">
      <c r="AG11799" s="536"/>
    </row>
    <row r="11800" spans="33:33">
      <c r="AG11800" s="536"/>
    </row>
    <row r="11801" spans="33:33">
      <c r="AG11801" s="536"/>
    </row>
    <row r="11802" spans="33:33">
      <c r="AG11802" s="536"/>
    </row>
    <row r="11803" spans="33:33">
      <c r="AG11803" s="536"/>
    </row>
    <row r="11804" spans="33:33">
      <c r="AG11804" s="536"/>
    </row>
    <row r="11805" spans="33:33">
      <c r="AG11805" s="536"/>
    </row>
    <row r="11806" spans="33:33">
      <c r="AG11806" s="536"/>
    </row>
    <row r="11807" spans="33:33">
      <c r="AG11807" s="536"/>
    </row>
    <row r="11808" spans="33:33">
      <c r="AG11808" s="536"/>
    </row>
    <row r="11809" spans="33:33">
      <c r="AG11809" s="536"/>
    </row>
    <row r="11810" spans="33:33">
      <c r="AG11810" s="536"/>
    </row>
    <row r="11811" spans="33:33">
      <c r="AG11811" s="536"/>
    </row>
    <row r="11812" spans="33:33">
      <c r="AG11812" s="536"/>
    </row>
    <row r="11813" spans="33:33">
      <c r="AG11813" s="536"/>
    </row>
    <row r="11814" spans="33:33">
      <c r="AG11814" s="536"/>
    </row>
    <row r="11815" spans="33:33">
      <c r="AG11815" s="536"/>
    </row>
    <row r="11816" spans="33:33">
      <c r="AG11816" s="536"/>
    </row>
    <row r="11817" spans="33:33">
      <c r="AG11817" s="536"/>
    </row>
    <row r="11818" spans="33:33">
      <c r="AG11818" s="536"/>
    </row>
    <row r="11819" spans="33:33">
      <c r="AG11819" s="536"/>
    </row>
    <row r="11820" spans="33:33">
      <c r="AG11820" s="536"/>
    </row>
    <row r="11821" spans="33:33">
      <c r="AG11821" s="536"/>
    </row>
    <row r="11822" spans="33:33">
      <c r="AG11822" s="536"/>
    </row>
    <row r="11823" spans="33:33">
      <c r="AG11823" s="536"/>
    </row>
    <row r="11824" spans="33:33">
      <c r="AG11824" s="536"/>
    </row>
    <row r="11825" spans="33:33">
      <c r="AG11825" s="536"/>
    </row>
    <row r="11826" spans="33:33">
      <c r="AG11826" s="536"/>
    </row>
    <row r="11827" spans="33:33">
      <c r="AG11827" s="536"/>
    </row>
    <row r="11828" spans="33:33">
      <c r="AG11828" s="536"/>
    </row>
    <row r="11829" spans="33:33">
      <c r="AG11829" s="536"/>
    </row>
    <row r="11830" spans="33:33">
      <c r="AG11830" s="536"/>
    </row>
    <row r="11831" spans="33:33">
      <c r="AG11831" s="536"/>
    </row>
    <row r="11832" spans="33:33">
      <c r="AG11832" s="536"/>
    </row>
    <row r="11833" spans="33:33">
      <c r="AG11833" s="536"/>
    </row>
    <row r="11834" spans="33:33">
      <c r="AG11834" s="536"/>
    </row>
    <row r="11835" spans="33:33">
      <c r="AG11835" s="536"/>
    </row>
    <row r="11836" spans="33:33">
      <c r="AG11836" s="536"/>
    </row>
    <row r="11837" spans="33:33">
      <c r="AG11837" s="536"/>
    </row>
    <row r="11838" spans="33:33">
      <c r="AG11838" s="536"/>
    </row>
    <row r="11839" spans="33:33">
      <c r="AG11839" s="536"/>
    </row>
    <row r="11840" spans="33:33">
      <c r="AG11840" s="536"/>
    </row>
    <row r="11841" spans="33:33">
      <c r="AG11841" s="536"/>
    </row>
    <row r="11842" spans="33:33">
      <c r="AG11842" s="536"/>
    </row>
    <row r="11843" spans="33:33">
      <c r="AG11843" s="536"/>
    </row>
    <row r="11844" spans="33:33">
      <c r="AG11844" s="536"/>
    </row>
    <row r="11845" spans="33:33">
      <c r="AG11845" s="536"/>
    </row>
    <row r="11846" spans="33:33">
      <c r="AG11846" s="536"/>
    </row>
    <row r="11847" spans="33:33">
      <c r="AG11847" s="536"/>
    </row>
    <row r="11848" spans="33:33">
      <c r="AG11848" s="536"/>
    </row>
    <row r="11849" spans="33:33">
      <c r="AG11849" s="536"/>
    </row>
    <row r="11850" spans="33:33">
      <c r="AG11850" s="536"/>
    </row>
    <row r="11851" spans="33:33">
      <c r="AG11851" s="536"/>
    </row>
    <row r="11852" spans="33:33">
      <c r="AG11852" s="536"/>
    </row>
    <row r="11853" spans="33:33">
      <c r="AG11853" s="536"/>
    </row>
    <row r="11854" spans="33:33">
      <c r="AG11854" s="536"/>
    </row>
    <row r="11855" spans="33:33">
      <c r="AG11855" s="536"/>
    </row>
    <row r="11856" spans="33:33">
      <c r="AG11856" s="536"/>
    </row>
    <row r="11857" spans="33:33">
      <c r="AG11857" s="536"/>
    </row>
    <row r="11858" spans="33:33">
      <c r="AG11858" s="536"/>
    </row>
    <row r="11859" spans="33:33">
      <c r="AG11859" s="536"/>
    </row>
    <row r="11860" spans="33:33">
      <c r="AG11860" s="536"/>
    </row>
    <row r="11861" spans="33:33">
      <c r="AG11861" s="536"/>
    </row>
    <row r="11862" spans="33:33">
      <c r="AG11862" s="536"/>
    </row>
    <row r="11863" spans="33:33">
      <c r="AG11863" s="536"/>
    </row>
    <row r="11864" spans="33:33">
      <c r="AG11864" s="536"/>
    </row>
    <row r="11865" spans="33:33">
      <c r="AG11865" s="536"/>
    </row>
    <row r="11866" spans="33:33">
      <c r="AG11866" s="536"/>
    </row>
    <row r="11867" spans="33:33">
      <c r="AG11867" s="536"/>
    </row>
    <row r="11868" spans="33:33">
      <c r="AG11868" s="536"/>
    </row>
    <row r="11869" spans="33:33">
      <c r="AG11869" s="536"/>
    </row>
    <row r="11870" spans="33:33">
      <c r="AG11870" s="536"/>
    </row>
    <row r="11871" spans="33:33">
      <c r="AG11871" s="536"/>
    </row>
    <row r="11872" spans="33:33">
      <c r="AG11872" s="536"/>
    </row>
    <row r="11873" spans="33:33">
      <c r="AG11873" s="536"/>
    </row>
    <row r="11874" spans="33:33">
      <c r="AG11874" s="536"/>
    </row>
    <row r="11875" spans="33:33">
      <c r="AG11875" s="536"/>
    </row>
    <row r="11876" spans="33:33">
      <c r="AG11876" s="536"/>
    </row>
    <row r="11877" spans="33:33">
      <c r="AG11877" s="536"/>
    </row>
    <row r="11878" spans="33:33">
      <c r="AG11878" s="536"/>
    </row>
    <row r="11879" spans="33:33">
      <c r="AG11879" s="536"/>
    </row>
    <row r="11880" spans="33:33">
      <c r="AG11880" s="536"/>
    </row>
    <row r="11881" spans="33:33">
      <c r="AG11881" s="536"/>
    </row>
    <row r="11882" spans="33:33">
      <c r="AG11882" s="536"/>
    </row>
    <row r="11883" spans="33:33">
      <c r="AG11883" s="536"/>
    </row>
    <row r="11884" spans="33:33">
      <c r="AG11884" s="536"/>
    </row>
    <row r="11885" spans="33:33">
      <c r="AG11885" s="536"/>
    </row>
    <row r="11886" spans="33:33">
      <c r="AG11886" s="536"/>
    </row>
    <row r="11887" spans="33:33">
      <c r="AG11887" s="536"/>
    </row>
    <row r="11888" spans="33:33">
      <c r="AG11888" s="536"/>
    </row>
    <row r="11889" spans="33:33">
      <c r="AG11889" s="536"/>
    </row>
    <row r="11890" spans="33:33">
      <c r="AG11890" s="536"/>
    </row>
    <row r="11891" spans="33:33">
      <c r="AG11891" s="536"/>
    </row>
    <row r="11892" spans="33:33">
      <c r="AG11892" s="536"/>
    </row>
    <row r="11893" spans="33:33">
      <c r="AG11893" s="536"/>
    </row>
    <row r="11894" spans="33:33">
      <c r="AG11894" s="536"/>
    </row>
    <row r="11895" spans="33:33">
      <c r="AG11895" s="536"/>
    </row>
    <row r="11896" spans="33:33">
      <c r="AG11896" s="536"/>
    </row>
    <row r="11897" spans="33:33">
      <c r="AG11897" s="536"/>
    </row>
    <row r="11898" spans="33:33">
      <c r="AG11898" s="536"/>
    </row>
    <row r="11899" spans="33:33">
      <c r="AG11899" s="536"/>
    </row>
    <row r="11900" spans="33:33">
      <c r="AG11900" s="536"/>
    </row>
    <row r="11901" spans="33:33">
      <c r="AG11901" s="536"/>
    </row>
    <row r="11902" spans="33:33">
      <c r="AG11902" s="536"/>
    </row>
    <row r="11903" spans="33:33">
      <c r="AG11903" s="536"/>
    </row>
    <row r="11904" spans="33:33">
      <c r="AG11904" s="536"/>
    </row>
    <row r="11905" spans="33:33">
      <c r="AG11905" s="536"/>
    </row>
    <row r="11906" spans="33:33">
      <c r="AG11906" s="536"/>
    </row>
    <row r="11907" spans="33:33">
      <c r="AG11907" s="536"/>
    </row>
    <row r="11908" spans="33:33">
      <c r="AG11908" s="536"/>
    </row>
    <row r="11909" spans="33:33">
      <c r="AG11909" s="536"/>
    </row>
    <row r="11910" spans="33:33">
      <c r="AG11910" s="536"/>
    </row>
    <row r="11911" spans="33:33">
      <c r="AG11911" s="536"/>
    </row>
    <row r="11912" spans="33:33">
      <c r="AG11912" s="536"/>
    </row>
    <row r="11913" spans="33:33">
      <c r="AG11913" s="536"/>
    </row>
    <row r="11914" spans="33:33">
      <c r="AG11914" s="536"/>
    </row>
    <row r="11915" spans="33:33">
      <c r="AG11915" s="536"/>
    </row>
    <row r="11916" spans="33:33">
      <c r="AG11916" s="536"/>
    </row>
    <row r="11917" spans="33:33">
      <c r="AG11917" s="536"/>
    </row>
    <row r="11918" spans="33:33">
      <c r="AG11918" s="536"/>
    </row>
    <row r="11919" spans="33:33">
      <c r="AG11919" s="536"/>
    </row>
    <row r="11920" spans="33:33">
      <c r="AG11920" s="536"/>
    </row>
    <row r="11921" spans="33:33">
      <c r="AG11921" s="536"/>
    </row>
    <row r="11922" spans="33:33">
      <c r="AG11922" s="536"/>
    </row>
    <row r="11923" spans="33:33">
      <c r="AG11923" s="536"/>
    </row>
    <row r="11924" spans="33:33">
      <c r="AG11924" s="536"/>
    </row>
    <row r="11925" spans="33:33">
      <c r="AG11925" s="536"/>
    </row>
    <row r="11926" spans="33:33">
      <c r="AG11926" s="536"/>
    </row>
    <row r="11927" spans="33:33">
      <c r="AG11927" s="536"/>
    </row>
    <row r="11928" spans="33:33">
      <c r="AG11928" s="536"/>
    </row>
    <row r="11929" spans="33:33">
      <c r="AG11929" s="536"/>
    </row>
    <row r="11930" spans="33:33">
      <c r="AG11930" s="536"/>
    </row>
    <row r="11931" spans="33:33">
      <c r="AG11931" s="536"/>
    </row>
    <row r="11932" spans="33:33">
      <c r="AG11932" s="536"/>
    </row>
    <row r="11933" spans="33:33">
      <c r="AG11933" s="536"/>
    </row>
    <row r="11934" spans="33:33">
      <c r="AG11934" s="536"/>
    </row>
    <row r="11935" spans="33:33">
      <c r="AG11935" s="536"/>
    </row>
    <row r="11936" spans="33:33">
      <c r="AG11936" s="536"/>
    </row>
    <row r="11937" spans="33:33">
      <c r="AG11937" s="536"/>
    </row>
    <row r="11938" spans="33:33">
      <c r="AG11938" s="536"/>
    </row>
    <row r="11939" spans="33:33">
      <c r="AG11939" s="536"/>
    </row>
    <row r="11940" spans="33:33">
      <c r="AG11940" s="536"/>
    </row>
    <row r="11941" spans="33:33">
      <c r="AG11941" s="536"/>
    </row>
    <row r="11942" spans="33:33">
      <c r="AG11942" s="536"/>
    </row>
    <row r="11943" spans="33:33">
      <c r="AG11943" s="536"/>
    </row>
    <row r="11944" spans="33:33">
      <c r="AG11944" s="536"/>
    </row>
    <row r="11945" spans="33:33">
      <c r="AG11945" s="536"/>
    </row>
    <row r="11946" spans="33:33">
      <c r="AG11946" s="536"/>
    </row>
    <row r="11947" spans="33:33">
      <c r="AG11947" s="536"/>
    </row>
    <row r="11948" spans="33:33">
      <c r="AG11948" s="536"/>
    </row>
    <row r="11949" spans="33:33">
      <c r="AG11949" s="536"/>
    </row>
    <row r="11950" spans="33:33">
      <c r="AG11950" s="536"/>
    </row>
    <row r="11951" spans="33:33">
      <c r="AG11951" s="536"/>
    </row>
    <row r="11952" spans="33:33">
      <c r="AG11952" s="536"/>
    </row>
    <row r="11953" spans="33:33">
      <c r="AG11953" s="536"/>
    </row>
    <row r="11954" spans="33:33">
      <c r="AG11954" s="536"/>
    </row>
    <row r="11955" spans="33:33">
      <c r="AG11955" s="536"/>
    </row>
    <row r="11956" spans="33:33">
      <c r="AG11956" s="536"/>
    </row>
    <row r="11957" spans="33:33">
      <c r="AG11957" s="536"/>
    </row>
    <row r="11958" spans="33:33">
      <c r="AG11958" s="536"/>
    </row>
    <row r="11959" spans="33:33">
      <c r="AG11959" s="536"/>
    </row>
    <row r="11960" spans="33:33">
      <c r="AG11960" s="536"/>
    </row>
    <row r="11961" spans="33:33">
      <c r="AG11961" s="536"/>
    </row>
    <row r="11962" spans="33:33">
      <c r="AG11962" s="536"/>
    </row>
    <row r="11963" spans="33:33">
      <c r="AG11963" s="536"/>
    </row>
    <row r="11964" spans="33:33">
      <c r="AG11964" s="536"/>
    </row>
    <row r="11965" spans="33:33">
      <c r="AG11965" s="536"/>
    </row>
    <row r="11966" spans="33:33">
      <c r="AG11966" s="536"/>
    </row>
    <row r="11967" spans="33:33">
      <c r="AG11967" s="536"/>
    </row>
    <row r="11968" spans="33:33">
      <c r="AG11968" s="536"/>
    </row>
    <row r="11969" spans="33:33">
      <c r="AG11969" s="536"/>
    </row>
    <row r="11970" spans="33:33">
      <c r="AG11970" s="536"/>
    </row>
    <row r="11971" spans="33:33">
      <c r="AG11971" s="536"/>
    </row>
    <row r="11972" spans="33:33">
      <c r="AG11972" s="536"/>
    </row>
    <row r="11973" spans="33:33">
      <c r="AG11973" s="536"/>
    </row>
    <row r="11974" spans="33:33">
      <c r="AG11974" s="536"/>
    </row>
    <row r="11975" spans="33:33">
      <c r="AG11975" s="536"/>
    </row>
    <row r="11976" spans="33:33">
      <c r="AG11976" s="536"/>
    </row>
    <row r="11977" spans="33:33">
      <c r="AG11977" s="536"/>
    </row>
    <row r="11978" spans="33:33">
      <c r="AG11978" s="536"/>
    </row>
    <row r="11979" spans="33:33">
      <c r="AG11979" s="536"/>
    </row>
    <row r="11980" spans="33:33">
      <c r="AG11980" s="536"/>
    </row>
    <row r="11981" spans="33:33">
      <c r="AG11981" s="536"/>
    </row>
    <row r="11982" spans="33:33">
      <c r="AG11982" s="536"/>
    </row>
    <row r="11983" spans="33:33">
      <c r="AG11983" s="536"/>
    </row>
    <row r="11984" spans="33:33">
      <c r="AG11984" s="536"/>
    </row>
    <row r="11985" spans="33:33">
      <c r="AG11985" s="536"/>
    </row>
    <row r="11986" spans="33:33">
      <c r="AG11986" s="536"/>
    </row>
    <row r="11987" spans="33:33">
      <c r="AG11987" s="536"/>
    </row>
    <row r="11988" spans="33:33">
      <c r="AG11988" s="536"/>
    </row>
    <row r="11989" spans="33:33">
      <c r="AG11989" s="536"/>
    </row>
    <row r="11990" spans="33:33">
      <c r="AG11990" s="536"/>
    </row>
    <row r="11991" spans="33:33">
      <c r="AG11991" s="536"/>
    </row>
    <row r="11992" spans="33:33">
      <c r="AG11992" s="536"/>
    </row>
    <row r="11993" spans="33:33">
      <c r="AG11993" s="536"/>
    </row>
    <row r="11994" spans="33:33">
      <c r="AG11994" s="536"/>
    </row>
    <row r="11995" spans="33:33">
      <c r="AG11995" s="536"/>
    </row>
    <row r="11996" spans="33:33">
      <c r="AG11996" s="536"/>
    </row>
    <row r="11997" spans="33:33">
      <c r="AG11997" s="536"/>
    </row>
    <row r="11998" spans="33:33">
      <c r="AG11998" s="536"/>
    </row>
    <row r="11999" spans="33:33">
      <c r="AG11999" s="536"/>
    </row>
    <row r="12000" spans="33:33">
      <c r="AG12000" s="536"/>
    </row>
    <row r="12001" spans="33:33">
      <c r="AG12001" s="536"/>
    </row>
    <row r="12002" spans="33:33">
      <c r="AG12002" s="536"/>
    </row>
    <row r="12003" spans="33:33">
      <c r="AG12003" s="536"/>
    </row>
    <row r="12004" spans="33:33">
      <c r="AG12004" s="536"/>
    </row>
    <row r="12005" spans="33:33">
      <c r="AG12005" s="536"/>
    </row>
    <row r="12006" spans="33:33">
      <c r="AG12006" s="536"/>
    </row>
    <row r="12007" spans="33:33">
      <c r="AG12007" s="536"/>
    </row>
    <row r="12008" spans="33:33">
      <c r="AG12008" s="536"/>
    </row>
    <row r="12009" spans="33:33">
      <c r="AG12009" s="536"/>
    </row>
    <row r="12010" spans="33:33">
      <c r="AG12010" s="536"/>
    </row>
    <row r="12011" spans="33:33">
      <c r="AG12011" s="536"/>
    </row>
    <row r="12012" spans="33:33">
      <c r="AG12012" s="536"/>
    </row>
    <row r="12013" spans="33:33">
      <c r="AG12013" s="536"/>
    </row>
    <row r="12014" spans="33:33">
      <c r="AG12014" s="536"/>
    </row>
    <row r="12015" spans="33:33">
      <c r="AG12015" s="536"/>
    </row>
    <row r="12016" spans="33:33">
      <c r="AG12016" s="536"/>
    </row>
    <row r="12017" spans="33:33">
      <c r="AG12017" s="536"/>
    </row>
    <row r="12018" spans="33:33">
      <c r="AG12018" s="536"/>
    </row>
    <row r="12019" spans="33:33">
      <c r="AG12019" s="536"/>
    </row>
    <row r="12020" spans="33:33">
      <c r="AG12020" s="536"/>
    </row>
    <row r="12021" spans="33:33">
      <c r="AG12021" s="536"/>
    </row>
    <row r="12022" spans="33:33">
      <c r="AG12022" s="536"/>
    </row>
    <row r="12023" spans="33:33">
      <c r="AG12023" s="536"/>
    </row>
    <row r="12024" spans="33:33">
      <c r="AG12024" s="536"/>
    </row>
    <row r="12025" spans="33:33">
      <c r="AG12025" s="536"/>
    </row>
    <row r="12026" spans="33:33">
      <c r="AG12026" s="536"/>
    </row>
    <row r="12027" spans="33:33">
      <c r="AG12027" s="536"/>
    </row>
    <row r="12028" spans="33:33">
      <c r="AG12028" s="536"/>
    </row>
    <row r="12029" spans="33:33">
      <c r="AG12029" s="536"/>
    </row>
    <row r="12030" spans="33:33">
      <c r="AG12030" s="536"/>
    </row>
    <row r="12031" spans="33:33">
      <c r="AG12031" s="536"/>
    </row>
    <row r="12032" spans="33:33">
      <c r="AG12032" s="536"/>
    </row>
    <row r="12033" spans="33:33">
      <c r="AG12033" s="536"/>
    </row>
    <row r="12034" spans="33:33">
      <c r="AG12034" s="536"/>
    </row>
    <row r="12035" spans="33:33">
      <c r="AG12035" s="536"/>
    </row>
    <row r="12036" spans="33:33">
      <c r="AG12036" s="536"/>
    </row>
    <row r="12037" spans="33:33">
      <c r="AG12037" s="536"/>
    </row>
    <row r="12038" spans="33:33">
      <c r="AG12038" s="536"/>
    </row>
    <row r="12039" spans="33:33">
      <c r="AG12039" s="536"/>
    </row>
    <row r="12040" spans="33:33">
      <c r="AG12040" s="536"/>
    </row>
    <row r="12041" spans="33:33">
      <c r="AG12041" s="536"/>
    </row>
    <row r="12042" spans="33:33">
      <c r="AG12042" s="536"/>
    </row>
    <row r="12043" spans="33:33">
      <c r="AG12043" s="536"/>
    </row>
    <row r="12044" spans="33:33">
      <c r="AG12044" s="536"/>
    </row>
    <row r="12045" spans="33:33">
      <c r="AG12045" s="536"/>
    </row>
    <row r="12046" spans="33:33">
      <c r="AG12046" s="536"/>
    </row>
    <row r="12047" spans="33:33">
      <c r="AG12047" s="536"/>
    </row>
    <row r="12048" spans="33:33">
      <c r="AG12048" s="536"/>
    </row>
    <row r="12049" spans="33:33">
      <c r="AG12049" s="536"/>
    </row>
    <row r="12050" spans="33:33">
      <c r="AG12050" s="536"/>
    </row>
    <row r="12051" spans="33:33">
      <c r="AG12051" s="536"/>
    </row>
    <row r="12052" spans="33:33">
      <c r="AG12052" s="536"/>
    </row>
    <row r="12053" spans="33:33">
      <c r="AG12053" s="536"/>
    </row>
    <row r="12054" spans="33:33">
      <c r="AG12054" s="536"/>
    </row>
    <row r="12055" spans="33:33">
      <c r="AG12055" s="536"/>
    </row>
    <row r="12056" spans="33:33">
      <c r="AG12056" s="536"/>
    </row>
    <row r="12057" spans="33:33">
      <c r="AG12057" s="536"/>
    </row>
    <row r="12058" spans="33:33">
      <c r="AG12058" s="536"/>
    </row>
    <row r="12059" spans="33:33">
      <c r="AG12059" s="536"/>
    </row>
    <row r="12060" spans="33:33">
      <c r="AG12060" s="536"/>
    </row>
    <row r="12061" spans="33:33">
      <c r="AG12061" s="536"/>
    </row>
    <row r="12062" spans="33:33">
      <c r="AG12062" s="536"/>
    </row>
    <row r="12063" spans="33:33">
      <c r="AG12063" s="536"/>
    </row>
    <row r="12064" spans="33:33">
      <c r="AG12064" s="536"/>
    </row>
    <row r="12065" spans="33:33">
      <c r="AG12065" s="536"/>
    </row>
    <row r="12066" spans="33:33">
      <c r="AG12066" s="536"/>
    </row>
    <row r="12067" spans="33:33">
      <c r="AG12067" s="536"/>
    </row>
    <row r="12068" spans="33:33">
      <c r="AG12068" s="536"/>
    </row>
    <row r="12069" spans="33:33">
      <c r="AG12069" s="536"/>
    </row>
    <row r="12070" spans="33:33">
      <c r="AG12070" s="536"/>
    </row>
    <row r="12071" spans="33:33">
      <c r="AG12071" s="536"/>
    </row>
    <row r="12072" spans="33:33">
      <c r="AG12072" s="536"/>
    </row>
    <row r="12073" spans="33:33">
      <c r="AG12073" s="536"/>
    </row>
    <row r="12074" spans="33:33">
      <c r="AG12074" s="536"/>
    </row>
    <row r="12075" spans="33:33">
      <c r="AG12075" s="536"/>
    </row>
    <row r="12076" spans="33:33">
      <c r="AG12076" s="536"/>
    </row>
    <row r="12077" spans="33:33">
      <c r="AG12077" s="536"/>
    </row>
    <row r="12078" spans="33:33">
      <c r="AG12078" s="536"/>
    </row>
    <row r="12079" spans="33:33">
      <c r="AG12079" s="536"/>
    </row>
    <row r="12080" spans="33:33">
      <c r="AG12080" s="536"/>
    </row>
    <row r="12081" spans="33:33">
      <c r="AG12081" s="536"/>
    </row>
    <row r="12082" spans="33:33">
      <c r="AG12082" s="536"/>
    </row>
    <row r="12083" spans="33:33">
      <c r="AG12083" s="536"/>
    </row>
    <row r="12084" spans="33:33">
      <c r="AG12084" s="536"/>
    </row>
    <row r="12085" spans="33:33">
      <c r="AG12085" s="536"/>
    </row>
    <row r="12086" spans="33:33">
      <c r="AG12086" s="536"/>
    </row>
    <row r="12087" spans="33:33">
      <c r="AG12087" s="536"/>
    </row>
    <row r="12088" spans="33:33">
      <c r="AG12088" s="536"/>
    </row>
    <row r="12089" spans="33:33">
      <c r="AG12089" s="536"/>
    </row>
    <row r="12090" spans="33:33">
      <c r="AG12090" s="536"/>
    </row>
    <row r="12091" spans="33:33">
      <c r="AG12091" s="536"/>
    </row>
    <row r="12092" spans="33:33">
      <c r="AG12092" s="536"/>
    </row>
    <row r="12093" spans="33:33">
      <c r="AG12093" s="536"/>
    </row>
    <row r="12094" spans="33:33">
      <c r="AG12094" s="536"/>
    </row>
    <row r="12095" spans="33:33">
      <c r="AG12095" s="536"/>
    </row>
    <row r="12096" spans="33:33">
      <c r="AG12096" s="536"/>
    </row>
    <row r="12097" spans="33:33">
      <c r="AG12097" s="536"/>
    </row>
    <row r="12098" spans="33:33">
      <c r="AG12098" s="536"/>
    </row>
    <row r="12099" spans="33:33">
      <c r="AG12099" s="536"/>
    </row>
    <row r="12100" spans="33:33">
      <c r="AG12100" s="536"/>
    </row>
    <row r="12101" spans="33:33">
      <c r="AG12101" s="536"/>
    </row>
    <row r="12102" spans="33:33">
      <c r="AG12102" s="536"/>
    </row>
    <row r="12103" spans="33:33">
      <c r="AG12103" s="536"/>
    </row>
    <row r="12104" spans="33:33">
      <c r="AG12104" s="536"/>
    </row>
    <row r="12105" spans="33:33">
      <c r="AG12105" s="536"/>
    </row>
    <row r="12106" spans="33:33">
      <c r="AG12106" s="536"/>
    </row>
    <row r="12107" spans="33:33">
      <c r="AG12107" s="536"/>
    </row>
    <row r="12108" spans="33:33">
      <c r="AG12108" s="536"/>
    </row>
    <row r="12109" spans="33:33">
      <c r="AG12109" s="536"/>
    </row>
    <row r="12110" spans="33:33">
      <c r="AG12110" s="536"/>
    </row>
    <row r="12111" spans="33:33">
      <c r="AG12111" s="536"/>
    </row>
    <row r="12112" spans="33:33">
      <c r="AG12112" s="536"/>
    </row>
    <row r="12113" spans="33:33">
      <c r="AG12113" s="536"/>
    </row>
    <row r="12114" spans="33:33">
      <c r="AG12114" s="536"/>
    </row>
    <row r="12115" spans="33:33">
      <c r="AG12115" s="536"/>
    </row>
    <row r="12116" spans="33:33">
      <c r="AG12116" s="536"/>
    </row>
    <row r="12117" spans="33:33">
      <c r="AG12117" s="536"/>
    </row>
    <row r="12118" spans="33:33">
      <c r="AG12118" s="536"/>
    </row>
    <row r="12119" spans="33:33">
      <c r="AG12119" s="536"/>
    </row>
    <row r="12120" spans="33:33">
      <c r="AG12120" s="536"/>
    </row>
    <row r="12121" spans="33:33">
      <c r="AG12121" s="536"/>
    </row>
    <row r="12122" spans="33:33">
      <c r="AG12122" s="536"/>
    </row>
    <row r="12123" spans="33:33">
      <c r="AG12123" s="536"/>
    </row>
    <row r="12124" spans="33:33">
      <c r="AG12124" s="536"/>
    </row>
    <row r="12125" spans="33:33">
      <c r="AG12125" s="536"/>
    </row>
    <row r="12126" spans="33:33">
      <c r="AG12126" s="536"/>
    </row>
    <row r="12127" spans="33:33">
      <c r="AG12127" s="536"/>
    </row>
    <row r="12128" spans="33:33">
      <c r="AG12128" s="536"/>
    </row>
    <row r="12129" spans="33:33">
      <c r="AG12129" s="536"/>
    </row>
    <row r="12130" spans="33:33">
      <c r="AG12130" s="536"/>
    </row>
    <row r="12131" spans="33:33">
      <c r="AG12131" s="536"/>
    </row>
    <row r="12132" spans="33:33">
      <c r="AG12132" s="536"/>
    </row>
    <row r="12133" spans="33:33">
      <c r="AG12133" s="536"/>
    </row>
    <row r="12134" spans="33:33">
      <c r="AG12134" s="536"/>
    </row>
    <row r="12135" spans="33:33">
      <c r="AG12135" s="536"/>
    </row>
    <row r="12136" spans="33:33">
      <c r="AG12136" s="536"/>
    </row>
    <row r="12137" spans="33:33">
      <c r="AG12137" s="536"/>
    </row>
    <row r="12138" spans="33:33">
      <c r="AG12138" s="536"/>
    </row>
    <row r="12139" spans="33:33">
      <c r="AG12139" s="536"/>
    </row>
    <row r="12140" spans="33:33">
      <c r="AG12140" s="536"/>
    </row>
    <row r="12141" spans="33:33">
      <c r="AG12141" s="536"/>
    </row>
    <row r="12142" spans="33:33">
      <c r="AG12142" s="536"/>
    </row>
    <row r="12143" spans="33:33">
      <c r="AG12143" s="536"/>
    </row>
    <row r="12144" spans="33:33">
      <c r="AG12144" s="536"/>
    </row>
    <row r="12145" spans="33:33">
      <c r="AG12145" s="536"/>
    </row>
    <row r="12146" spans="33:33">
      <c r="AG12146" s="536"/>
    </row>
    <row r="12147" spans="33:33">
      <c r="AG12147" s="536"/>
    </row>
    <row r="12148" spans="33:33">
      <c r="AG12148" s="536"/>
    </row>
    <row r="12149" spans="33:33">
      <c r="AG12149" s="536"/>
    </row>
    <row r="12150" spans="33:33">
      <c r="AG12150" s="536"/>
    </row>
    <row r="12151" spans="33:33">
      <c r="AG12151" s="536"/>
    </row>
    <row r="12152" spans="33:33">
      <c r="AG12152" s="536"/>
    </row>
    <row r="12153" spans="33:33">
      <c r="AG12153" s="536"/>
    </row>
    <row r="12154" spans="33:33">
      <c r="AG12154" s="536"/>
    </row>
    <row r="12155" spans="33:33">
      <c r="AG12155" s="536"/>
    </row>
    <row r="12156" spans="33:33">
      <c r="AG12156" s="536"/>
    </row>
    <row r="12157" spans="33:33">
      <c r="AG12157" s="536"/>
    </row>
    <row r="12158" spans="33:33">
      <c r="AG12158" s="536"/>
    </row>
    <row r="12159" spans="33:33">
      <c r="AG12159" s="536"/>
    </row>
    <row r="12160" spans="33:33">
      <c r="AG12160" s="536"/>
    </row>
    <row r="12161" spans="33:33">
      <c r="AG12161" s="536"/>
    </row>
    <row r="12162" spans="33:33">
      <c r="AG12162" s="536"/>
    </row>
    <row r="12163" spans="33:33">
      <c r="AG12163" s="536"/>
    </row>
    <row r="12164" spans="33:33">
      <c r="AG12164" s="536"/>
    </row>
    <row r="12165" spans="33:33">
      <c r="AG12165" s="536"/>
    </row>
    <row r="12166" spans="33:33">
      <c r="AG12166" s="536"/>
    </row>
    <row r="12167" spans="33:33">
      <c r="AG12167" s="536"/>
    </row>
    <row r="12168" spans="33:33">
      <c r="AG12168" s="536"/>
    </row>
    <row r="12169" spans="33:33">
      <c r="AG12169" s="536"/>
    </row>
    <row r="12170" spans="33:33">
      <c r="AG12170" s="536"/>
    </row>
    <row r="12171" spans="33:33">
      <c r="AG12171" s="536"/>
    </row>
    <row r="12172" spans="33:33">
      <c r="AG12172" s="536"/>
    </row>
    <row r="12173" spans="33:33">
      <c r="AG12173" s="536"/>
    </row>
    <row r="12174" spans="33:33">
      <c r="AG12174" s="536"/>
    </row>
    <row r="12175" spans="33:33">
      <c r="AG12175" s="536"/>
    </row>
    <row r="12176" spans="33:33">
      <c r="AG12176" s="536"/>
    </row>
    <row r="12177" spans="33:33">
      <c r="AG12177" s="536"/>
    </row>
    <row r="12178" spans="33:33">
      <c r="AG12178" s="536"/>
    </row>
    <row r="12179" spans="33:33">
      <c r="AG12179" s="536"/>
    </row>
    <row r="12180" spans="33:33">
      <c r="AG12180" s="536"/>
    </row>
    <row r="12181" spans="33:33">
      <c r="AG12181" s="536"/>
    </row>
    <row r="12182" spans="33:33">
      <c r="AG12182" s="536"/>
    </row>
    <row r="12183" spans="33:33">
      <c r="AG12183" s="536"/>
    </row>
    <row r="12184" spans="33:33">
      <c r="AG12184" s="536"/>
    </row>
    <row r="12185" spans="33:33">
      <c r="AG12185" s="536"/>
    </row>
    <row r="12186" spans="33:33">
      <c r="AG12186" s="536"/>
    </row>
    <row r="12187" spans="33:33">
      <c r="AG12187" s="536"/>
    </row>
    <row r="12188" spans="33:33">
      <c r="AG12188" s="536"/>
    </row>
    <row r="12189" spans="33:33">
      <c r="AG12189" s="536"/>
    </row>
    <row r="12190" spans="33:33">
      <c r="AG12190" s="536"/>
    </row>
    <row r="12191" spans="33:33">
      <c r="AG12191" s="536"/>
    </row>
    <row r="12192" spans="33:33">
      <c r="AG12192" s="536"/>
    </row>
    <row r="12193" spans="33:33">
      <c r="AG12193" s="536"/>
    </row>
    <row r="12194" spans="33:33">
      <c r="AG12194" s="536"/>
    </row>
    <row r="12195" spans="33:33">
      <c r="AG12195" s="536"/>
    </row>
    <row r="12196" spans="33:33">
      <c r="AG12196" s="536"/>
    </row>
    <row r="12197" spans="33:33">
      <c r="AG12197" s="536"/>
    </row>
    <row r="12198" spans="33:33">
      <c r="AG12198" s="536"/>
    </row>
    <row r="12199" spans="33:33">
      <c r="AG12199" s="536"/>
    </row>
    <row r="12200" spans="33:33">
      <c r="AG12200" s="536"/>
    </row>
    <row r="12201" spans="33:33">
      <c r="AG12201" s="536"/>
    </row>
    <row r="12202" spans="33:33">
      <c r="AG12202" s="536"/>
    </row>
    <row r="12203" spans="33:33">
      <c r="AG12203" s="536"/>
    </row>
    <row r="12204" spans="33:33">
      <c r="AG12204" s="536"/>
    </row>
    <row r="12205" spans="33:33">
      <c r="AG12205" s="536"/>
    </row>
    <row r="12206" spans="33:33">
      <c r="AG12206" s="536"/>
    </row>
    <row r="12207" spans="33:33">
      <c r="AG12207" s="536"/>
    </row>
    <row r="12208" spans="33:33">
      <c r="AG12208" s="536"/>
    </row>
    <row r="12209" spans="33:33">
      <c r="AG12209" s="536"/>
    </row>
    <row r="12210" spans="33:33">
      <c r="AG12210" s="536"/>
    </row>
    <row r="12211" spans="33:33">
      <c r="AG12211" s="536"/>
    </row>
    <row r="12212" spans="33:33">
      <c r="AG12212" s="536"/>
    </row>
    <row r="12213" spans="33:33">
      <c r="AG12213" s="536"/>
    </row>
    <row r="12214" spans="33:33">
      <c r="AG12214" s="536"/>
    </row>
    <row r="12215" spans="33:33">
      <c r="AG12215" s="536"/>
    </row>
    <row r="12216" spans="33:33">
      <c r="AG12216" s="536"/>
    </row>
    <row r="12217" spans="33:33">
      <c r="AG12217" s="536"/>
    </row>
    <row r="12218" spans="33:33">
      <c r="AG12218" s="536"/>
    </row>
    <row r="12219" spans="33:33">
      <c r="AG12219" s="536"/>
    </row>
    <row r="12220" spans="33:33">
      <c r="AG12220" s="536"/>
    </row>
    <row r="12221" spans="33:33">
      <c r="AG12221" s="536"/>
    </row>
    <row r="12222" spans="33:33">
      <c r="AG12222" s="536"/>
    </row>
    <row r="12223" spans="33:33">
      <c r="AG12223" s="536"/>
    </row>
    <row r="12224" spans="33:33">
      <c r="AG12224" s="536"/>
    </row>
    <row r="12225" spans="33:33">
      <c r="AG12225" s="536"/>
    </row>
    <row r="12226" spans="33:33">
      <c r="AG12226" s="536"/>
    </row>
    <row r="12227" spans="33:33">
      <c r="AG12227" s="536"/>
    </row>
    <row r="12228" spans="33:33">
      <c r="AG12228" s="536"/>
    </row>
    <row r="12229" spans="33:33">
      <c r="AG12229" s="536"/>
    </row>
    <row r="12230" spans="33:33">
      <c r="AG12230" s="536"/>
    </row>
    <row r="12231" spans="33:33">
      <c r="AG12231" s="536"/>
    </row>
    <row r="12232" spans="33:33">
      <c r="AG12232" s="536"/>
    </row>
    <row r="12233" spans="33:33">
      <c r="AG12233" s="536"/>
    </row>
    <row r="12234" spans="33:33">
      <c r="AG12234" s="536"/>
    </row>
    <row r="12235" spans="33:33">
      <c r="AG12235" s="536"/>
    </row>
    <row r="12236" spans="33:33">
      <c r="AG12236" s="536"/>
    </row>
    <row r="12237" spans="33:33">
      <c r="AG12237" s="536"/>
    </row>
    <row r="12238" spans="33:33">
      <c r="AG12238" s="536"/>
    </row>
    <row r="12239" spans="33:33">
      <c r="AG12239" s="536"/>
    </row>
    <row r="12240" spans="33:33">
      <c r="AG12240" s="536"/>
    </row>
    <row r="12241" spans="33:33">
      <c r="AG12241" s="536"/>
    </row>
    <row r="12242" spans="33:33">
      <c r="AG12242" s="536"/>
    </row>
    <row r="12243" spans="33:33">
      <c r="AG12243" s="536"/>
    </row>
    <row r="12244" spans="33:33">
      <c r="AG12244" s="536"/>
    </row>
    <row r="12245" spans="33:33">
      <c r="AG12245" s="536"/>
    </row>
    <row r="12246" spans="33:33">
      <c r="AG12246" s="536"/>
    </row>
    <row r="12247" spans="33:33">
      <c r="AG12247" s="536"/>
    </row>
    <row r="12248" spans="33:33">
      <c r="AG12248" s="536"/>
    </row>
    <row r="12249" spans="33:33">
      <c r="AG12249" s="536"/>
    </row>
    <row r="12250" spans="33:33">
      <c r="AG12250" s="536"/>
    </row>
    <row r="12251" spans="33:33">
      <c r="AG12251" s="536"/>
    </row>
    <row r="12252" spans="33:33">
      <c r="AG12252" s="536"/>
    </row>
    <row r="12253" spans="33:33">
      <c r="AG12253" s="536"/>
    </row>
    <row r="12254" spans="33:33">
      <c r="AG12254" s="536"/>
    </row>
    <row r="12255" spans="33:33">
      <c r="AG12255" s="536"/>
    </row>
    <row r="12256" spans="33:33">
      <c r="AG12256" s="536"/>
    </row>
    <row r="12257" spans="33:33">
      <c r="AG12257" s="536"/>
    </row>
    <row r="12258" spans="33:33">
      <c r="AG12258" s="536"/>
    </row>
    <row r="12259" spans="33:33">
      <c r="AG12259" s="536"/>
    </row>
    <row r="12260" spans="33:33">
      <c r="AG12260" s="536"/>
    </row>
    <row r="12261" spans="33:33">
      <c r="AG12261" s="536"/>
    </row>
    <row r="12262" spans="33:33">
      <c r="AG12262" s="536"/>
    </row>
    <row r="12263" spans="33:33">
      <c r="AG12263" s="536"/>
    </row>
    <row r="12264" spans="33:33">
      <c r="AG12264" s="536"/>
    </row>
    <row r="12265" spans="33:33">
      <c r="AG12265" s="536"/>
    </row>
    <row r="12266" spans="33:33">
      <c r="AG12266" s="536"/>
    </row>
    <row r="12267" spans="33:33">
      <c r="AG12267" s="536"/>
    </row>
    <row r="12268" spans="33:33">
      <c r="AG12268" s="536"/>
    </row>
    <row r="12269" spans="33:33">
      <c r="AG12269" s="536"/>
    </row>
    <row r="12270" spans="33:33">
      <c r="AG12270" s="536"/>
    </row>
    <row r="12271" spans="33:33">
      <c r="AG12271" s="536"/>
    </row>
    <row r="12272" spans="33:33">
      <c r="AG12272" s="536"/>
    </row>
    <row r="12273" spans="33:33">
      <c r="AG12273" s="536"/>
    </row>
    <row r="12274" spans="33:33">
      <c r="AG12274" s="536"/>
    </row>
    <row r="12275" spans="33:33">
      <c r="AG12275" s="536"/>
    </row>
    <row r="12276" spans="33:33">
      <c r="AG12276" s="536"/>
    </row>
    <row r="12277" spans="33:33">
      <c r="AG12277" s="536"/>
    </row>
    <row r="12278" spans="33:33">
      <c r="AG12278" s="536"/>
    </row>
    <row r="12279" spans="33:33">
      <c r="AG12279" s="536"/>
    </row>
    <row r="12280" spans="33:33">
      <c r="AG12280" s="536"/>
    </row>
    <row r="12281" spans="33:33">
      <c r="AG12281" s="536"/>
    </row>
    <row r="12282" spans="33:33">
      <c r="AG12282" s="536"/>
    </row>
    <row r="12283" spans="33:33">
      <c r="AG12283" s="536"/>
    </row>
    <row r="12284" spans="33:33">
      <c r="AG12284" s="536"/>
    </row>
    <row r="12285" spans="33:33">
      <c r="AG12285" s="536"/>
    </row>
    <row r="12286" spans="33:33">
      <c r="AG12286" s="536"/>
    </row>
    <row r="12287" spans="33:33">
      <c r="AG12287" s="536"/>
    </row>
    <row r="12288" spans="33:33">
      <c r="AG12288" s="536"/>
    </row>
    <row r="12289" spans="33:33">
      <c r="AG12289" s="536"/>
    </row>
    <row r="12290" spans="33:33">
      <c r="AG12290" s="536"/>
    </row>
    <row r="12291" spans="33:33">
      <c r="AG12291" s="536"/>
    </row>
    <row r="12292" spans="33:33">
      <c r="AG12292" s="536"/>
    </row>
    <row r="12293" spans="33:33">
      <c r="AG12293" s="536"/>
    </row>
    <row r="12294" spans="33:33">
      <c r="AG12294" s="536"/>
    </row>
    <row r="12295" spans="33:33">
      <c r="AG12295" s="536"/>
    </row>
    <row r="12296" spans="33:33">
      <c r="AG12296" s="536"/>
    </row>
    <row r="12297" spans="33:33">
      <c r="AG12297" s="536"/>
    </row>
    <row r="12298" spans="33:33">
      <c r="AG12298" s="536"/>
    </row>
    <row r="12299" spans="33:33">
      <c r="AG12299" s="536"/>
    </row>
    <row r="12300" spans="33:33">
      <c r="AG12300" s="536"/>
    </row>
    <row r="12301" spans="33:33">
      <c r="AG12301" s="536"/>
    </row>
    <row r="12302" spans="33:33">
      <c r="AG12302" s="536"/>
    </row>
    <row r="12303" spans="33:33">
      <c r="AG12303" s="536"/>
    </row>
    <row r="12304" spans="33:33">
      <c r="AG12304" s="536"/>
    </row>
    <row r="12305" spans="33:33">
      <c r="AG12305" s="536"/>
    </row>
    <row r="12306" spans="33:33">
      <c r="AG12306" s="536"/>
    </row>
    <row r="12307" spans="33:33">
      <c r="AG12307" s="536"/>
    </row>
    <row r="12308" spans="33:33">
      <c r="AG12308" s="536"/>
    </row>
    <row r="12309" spans="33:33">
      <c r="AG12309" s="536"/>
    </row>
    <row r="12310" spans="33:33">
      <c r="AG12310" s="536"/>
    </row>
    <row r="12311" spans="33:33">
      <c r="AG12311" s="536"/>
    </row>
    <row r="12312" spans="33:33">
      <c r="AG12312" s="536"/>
    </row>
    <row r="12313" spans="33:33">
      <c r="AG12313" s="536"/>
    </row>
    <row r="12314" spans="33:33">
      <c r="AG12314" s="536"/>
    </row>
    <row r="12315" spans="33:33">
      <c r="AG12315" s="536"/>
    </row>
    <row r="12316" spans="33:33">
      <c r="AG12316" s="536"/>
    </row>
    <row r="12317" spans="33:33">
      <c r="AG12317" s="536"/>
    </row>
    <row r="12318" spans="33:33">
      <c r="AG12318" s="536"/>
    </row>
    <row r="12319" spans="33:33">
      <c r="AG12319" s="536"/>
    </row>
    <row r="12320" spans="33:33">
      <c r="AG12320" s="536"/>
    </row>
    <row r="12321" spans="33:33">
      <c r="AG12321" s="536"/>
    </row>
    <row r="12322" spans="33:33">
      <c r="AG12322" s="536"/>
    </row>
    <row r="12323" spans="33:33">
      <c r="AG12323" s="536"/>
    </row>
    <row r="12324" spans="33:33">
      <c r="AG12324" s="536"/>
    </row>
    <row r="12325" spans="33:33">
      <c r="AG12325" s="536"/>
    </row>
    <row r="12326" spans="33:33">
      <c r="AG12326" s="536"/>
    </row>
    <row r="12327" spans="33:33">
      <c r="AG12327" s="536"/>
    </row>
    <row r="12328" spans="33:33">
      <c r="AG12328" s="536"/>
    </row>
    <row r="12329" spans="33:33">
      <c r="AG12329" s="536"/>
    </row>
    <row r="12330" spans="33:33">
      <c r="AG12330" s="536"/>
    </row>
    <row r="12331" spans="33:33">
      <c r="AG12331" s="536"/>
    </row>
    <row r="12332" spans="33:33">
      <c r="AG12332" s="536"/>
    </row>
    <row r="12333" spans="33:33">
      <c r="AG12333" s="536"/>
    </row>
    <row r="12334" spans="33:33">
      <c r="AG12334" s="536"/>
    </row>
    <row r="12335" spans="33:33">
      <c r="AG12335" s="536"/>
    </row>
    <row r="12336" spans="33:33">
      <c r="AG12336" s="536"/>
    </row>
    <row r="12337" spans="33:33">
      <c r="AG12337" s="536"/>
    </row>
    <row r="12338" spans="33:33">
      <c r="AG12338" s="536"/>
    </row>
    <row r="12339" spans="33:33">
      <c r="AG12339" s="536"/>
    </row>
    <row r="12340" spans="33:33">
      <c r="AG12340" s="536"/>
    </row>
    <row r="12341" spans="33:33">
      <c r="AG12341" s="536"/>
    </row>
    <row r="12342" spans="33:33">
      <c r="AG12342" s="536"/>
    </row>
    <row r="12343" spans="33:33">
      <c r="AG12343" s="536"/>
    </row>
    <row r="12344" spans="33:33">
      <c r="AG12344" s="536"/>
    </row>
    <row r="12345" spans="33:33">
      <c r="AG12345" s="536"/>
    </row>
    <row r="12346" spans="33:33">
      <c r="AG12346" s="536"/>
    </row>
    <row r="12347" spans="33:33">
      <c r="AG12347" s="536"/>
    </row>
    <row r="12348" spans="33:33">
      <c r="AG12348" s="536"/>
    </row>
    <row r="12349" spans="33:33">
      <c r="AG12349" s="536"/>
    </row>
    <row r="12350" spans="33:33">
      <c r="AG12350" s="536"/>
    </row>
    <row r="12351" spans="33:33">
      <c r="AG12351" s="536"/>
    </row>
    <row r="12352" spans="33:33">
      <c r="AG12352" s="536"/>
    </row>
    <row r="12353" spans="33:33">
      <c r="AG12353" s="536"/>
    </row>
    <row r="12354" spans="33:33">
      <c r="AG12354" s="536"/>
    </row>
    <row r="12355" spans="33:33">
      <c r="AG12355" s="536"/>
    </row>
    <row r="12356" spans="33:33">
      <c r="AG12356" s="536"/>
    </row>
    <row r="12357" spans="33:33">
      <c r="AG12357" s="536"/>
    </row>
    <row r="12358" spans="33:33">
      <c r="AG12358" s="536"/>
    </row>
    <row r="12359" spans="33:33">
      <c r="AG12359" s="536"/>
    </row>
    <row r="12360" spans="33:33">
      <c r="AG12360" s="536"/>
    </row>
    <row r="12361" spans="33:33">
      <c r="AG12361" s="536"/>
    </row>
    <row r="12362" spans="33:33">
      <c r="AG12362" s="536"/>
    </row>
    <row r="12363" spans="33:33">
      <c r="AG12363" s="536"/>
    </row>
    <row r="12364" spans="33:33">
      <c r="AG12364" s="536"/>
    </row>
    <row r="12365" spans="33:33">
      <c r="AG12365" s="536"/>
    </row>
    <row r="12366" spans="33:33">
      <c r="AG12366" s="536"/>
    </row>
    <row r="12367" spans="33:33">
      <c r="AG12367" s="536"/>
    </row>
    <row r="12368" spans="33:33">
      <c r="AG12368" s="536"/>
    </row>
    <row r="12369" spans="33:33">
      <c r="AG12369" s="536"/>
    </row>
    <row r="12370" spans="33:33">
      <c r="AG12370" s="536"/>
    </row>
    <row r="12371" spans="33:33">
      <c r="AG12371" s="536"/>
    </row>
    <row r="12372" spans="33:33">
      <c r="AG12372" s="536"/>
    </row>
    <row r="12373" spans="33:33">
      <c r="AG12373" s="536"/>
    </row>
    <row r="12374" spans="33:33">
      <c r="AG12374" s="536"/>
    </row>
    <row r="12375" spans="33:33">
      <c r="AG12375" s="536"/>
    </row>
    <row r="12376" spans="33:33">
      <c r="AG12376" s="536"/>
    </row>
    <row r="12377" spans="33:33">
      <c r="AG12377" s="536"/>
    </row>
    <row r="12378" spans="33:33">
      <c r="AG12378" s="536"/>
    </row>
    <row r="12379" spans="33:33">
      <c r="AG12379" s="536"/>
    </row>
    <row r="12380" spans="33:33">
      <c r="AG12380" s="536"/>
    </row>
    <row r="12381" spans="33:33">
      <c r="AG12381" s="536"/>
    </row>
    <row r="12382" spans="33:33">
      <c r="AG12382" s="536"/>
    </row>
    <row r="12383" spans="33:33">
      <c r="AG12383" s="536"/>
    </row>
    <row r="12384" spans="33:33">
      <c r="AG12384" s="536"/>
    </row>
    <row r="12385" spans="33:33">
      <c r="AG12385" s="536"/>
    </row>
    <row r="12386" spans="33:33">
      <c r="AG12386" s="536"/>
    </row>
    <row r="12387" spans="33:33">
      <c r="AG12387" s="536"/>
    </row>
    <row r="12388" spans="33:33">
      <c r="AG12388" s="536"/>
    </row>
    <row r="12389" spans="33:33">
      <c r="AG12389" s="536"/>
    </row>
    <row r="12390" spans="33:33">
      <c r="AG12390" s="536"/>
    </row>
    <row r="12391" spans="33:33">
      <c r="AG12391" s="536"/>
    </row>
    <row r="12392" spans="33:33">
      <c r="AG12392" s="536"/>
    </row>
    <row r="12393" spans="33:33">
      <c r="AG12393" s="536"/>
    </row>
    <row r="12394" spans="33:33">
      <c r="AG12394" s="536"/>
    </row>
    <row r="12395" spans="33:33">
      <c r="AG12395" s="536"/>
    </row>
    <row r="12396" spans="33:33">
      <c r="AG12396" s="536"/>
    </row>
    <row r="12397" spans="33:33">
      <c r="AG12397" s="536"/>
    </row>
    <row r="12398" spans="33:33">
      <c r="AG12398" s="536"/>
    </row>
    <row r="12399" spans="33:33">
      <c r="AG12399" s="536"/>
    </row>
    <row r="12400" spans="33:33">
      <c r="AG12400" s="536"/>
    </row>
    <row r="12401" spans="33:33">
      <c r="AG12401" s="536"/>
    </row>
    <row r="12402" spans="33:33">
      <c r="AG12402" s="536"/>
    </row>
    <row r="12403" spans="33:33">
      <c r="AG12403" s="536"/>
    </row>
    <row r="12404" spans="33:33">
      <c r="AG12404" s="536"/>
    </row>
    <row r="12405" spans="33:33">
      <c r="AG12405" s="536"/>
    </row>
    <row r="12406" spans="33:33">
      <c r="AG12406" s="536"/>
    </row>
    <row r="12407" spans="33:33">
      <c r="AG12407" s="536"/>
    </row>
    <row r="12408" spans="33:33">
      <c r="AG12408" s="536"/>
    </row>
    <row r="12409" spans="33:33">
      <c r="AG12409" s="536"/>
    </row>
    <row r="12410" spans="33:33">
      <c r="AG12410" s="536"/>
    </row>
    <row r="12411" spans="33:33">
      <c r="AG12411" s="536"/>
    </row>
    <row r="12412" spans="33:33">
      <c r="AG12412" s="536"/>
    </row>
    <row r="12413" spans="33:33">
      <c r="AG12413" s="536"/>
    </row>
    <row r="12414" spans="33:33">
      <c r="AG12414" s="536"/>
    </row>
    <row r="12415" spans="33:33">
      <c r="AG12415" s="536"/>
    </row>
    <row r="12416" spans="33:33">
      <c r="AG12416" s="536"/>
    </row>
    <row r="12417" spans="33:33">
      <c r="AG12417" s="536"/>
    </row>
    <row r="12418" spans="33:33">
      <c r="AG12418" s="536"/>
    </row>
    <row r="12419" spans="33:33">
      <c r="AG12419" s="536"/>
    </row>
    <row r="12420" spans="33:33">
      <c r="AG12420" s="536"/>
    </row>
    <row r="12421" spans="33:33">
      <c r="AG12421" s="536"/>
    </row>
    <row r="12422" spans="33:33">
      <c r="AG12422" s="536"/>
    </row>
    <row r="12423" spans="33:33">
      <c r="AG12423" s="536"/>
    </row>
    <row r="12424" spans="33:33">
      <c r="AG12424" s="536"/>
    </row>
    <row r="12425" spans="33:33">
      <c r="AG12425" s="536"/>
    </row>
    <row r="12426" spans="33:33">
      <c r="AG12426" s="536"/>
    </row>
    <row r="12427" spans="33:33">
      <c r="AG12427" s="536"/>
    </row>
    <row r="12428" spans="33:33">
      <c r="AG12428" s="536"/>
    </row>
    <row r="12429" spans="33:33">
      <c r="AG12429" s="536"/>
    </row>
    <row r="12430" spans="33:33">
      <c r="AG12430" s="536"/>
    </row>
    <row r="12431" spans="33:33">
      <c r="AG12431" s="536"/>
    </row>
    <row r="12432" spans="33:33">
      <c r="AG12432" s="536"/>
    </row>
    <row r="12433" spans="33:33">
      <c r="AG12433" s="536"/>
    </row>
    <row r="12434" spans="33:33">
      <c r="AG12434" s="536"/>
    </row>
    <row r="12435" spans="33:33">
      <c r="AG12435" s="536"/>
    </row>
    <row r="12436" spans="33:33">
      <c r="AG12436" s="536"/>
    </row>
    <row r="12437" spans="33:33">
      <c r="AG12437" s="536"/>
    </row>
    <row r="12438" spans="33:33">
      <c r="AG12438" s="536"/>
    </row>
    <row r="12439" spans="33:33">
      <c r="AG12439" s="536"/>
    </row>
    <row r="12440" spans="33:33">
      <c r="AG12440" s="536"/>
    </row>
    <row r="12441" spans="33:33">
      <c r="AG12441" s="536"/>
    </row>
    <row r="12442" spans="33:33">
      <c r="AG12442" s="536"/>
    </row>
    <row r="12443" spans="33:33">
      <c r="AG12443" s="536"/>
    </row>
    <row r="12444" spans="33:33">
      <c r="AG12444" s="536"/>
    </row>
    <row r="12445" spans="33:33">
      <c r="AG12445" s="536"/>
    </row>
    <row r="12446" spans="33:33">
      <c r="AG12446" s="536"/>
    </row>
    <row r="12447" spans="33:33">
      <c r="AG12447" s="536"/>
    </row>
    <row r="12448" spans="33:33">
      <c r="AG12448" s="536"/>
    </row>
    <row r="12449" spans="33:33">
      <c r="AG12449" s="536"/>
    </row>
    <row r="12450" spans="33:33">
      <c r="AG12450" s="536"/>
    </row>
    <row r="12451" spans="33:33">
      <c r="AG12451" s="536"/>
    </row>
    <row r="12452" spans="33:33">
      <c r="AG12452" s="536"/>
    </row>
    <row r="12453" spans="33:33">
      <c r="AG12453" s="536"/>
    </row>
    <row r="12454" spans="33:33">
      <c r="AG12454" s="536"/>
    </row>
    <row r="12455" spans="33:33">
      <c r="AG12455" s="536"/>
    </row>
    <row r="12456" spans="33:33">
      <c r="AG12456" s="536"/>
    </row>
    <row r="12457" spans="33:33">
      <c r="AG12457" s="536"/>
    </row>
    <row r="12458" spans="33:33">
      <c r="AG12458" s="536"/>
    </row>
    <row r="12459" spans="33:33">
      <c r="AG12459" s="536"/>
    </row>
    <row r="12460" spans="33:33">
      <c r="AG12460" s="536"/>
    </row>
    <row r="12461" spans="33:33">
      <c r="AG12461" s="536"/>
    </row>
    <row r="12462" spans="33:33">
      <c r="AG12462" s="536"/>
    </row>
    <row r="12463" spans="33:33">
      <c r="AG12463" s="536"/>
    </row>
    <row r="12464" spans="33:33">
      <c r="AG12464" s="536"/>
    </row>
    <row r="12465" spans="33:33">
      <c r="AG12465" s="536"/>
    </row>
    <row r="12466" spans="33:33">
      <c r="AG12466" s="536"/>
    </row>
    <row r="12467" spans="33:33">
      <c r="AG12467" s="536"/>
    </row>
    <row r="12468" spans="33:33">
      <c r="AG12468" s="536"/>
    </row>
    <row r="12469" spans="33:33">
      <c r="AG12469" s="536"/>
    </row>
    <row r="12470" spans="33:33">
      <c r="AG12470" s="536"/>
    </row>
    <row r="12471" spans="33:33">
      <c r="AG12471" s="536"/>
    </row>
    <row r="12472" spans="33:33">
      <c r="AG12472" s="536"/>
    </row>
    <row r="12473" spans="33:33">
      <c r="AG12473" s="536"/>
    </row>
    <row r="12474" spans="33:33">
      <c r="AG12474" s="536"/>
    </row>
    <row r="12475" spans="33:33">
      <c r="AG12475" s="536"/>
    </row>
    <row r="12476" spans="33:33">
      <c r="AG12476" s="536"/>
    </row>
    <row r="12477" spans="33:33">
      <c r="AG12477" s="536"/>
    </row>
    <row r="12478" spans="33:33">
      <c r="AG12478" s="536"/>
    </row>
    <row r="12479" spans="33:33">
      <c r="AG12479" s="536"/>
    </row>
    <row r="12480" spans="33:33">
      <c r="AG12480" s="536"/>
    </row>
    <row r="12481" spans="33:33">
      <c r="AG12481" s="536"/>
    </row>
    <row r="12482" spans="33:33">
      <c r="AG12482" s="536"/>
    </row>
    <row r="12483" spans="33:33">
      <c r="AG12483" s="536"/>
    </row>
    <row r="12484" spans="33:33">
      <c r="AG12484" s="536"/>
    </row>
    <row r="12485" spans="33:33">
      <c r="AG12485" s="536"/>
    </row>
    <row r="12486" spans="33:33">
      <c r="AG12486" s="536"/>
    </row>
    <row r="12487" spans="33:33">
      <c r="AG12487" s="536"/>
    </row>
    <row r="12488" spans="33:33">
      <c r="AG12488" s="536"/>
    </row>
    <row r="12489" spans="33:33">
      <c r="AG12489" s="536"/>
    </row>
    <row r="12490" spans="33:33">
      <c r="AG12490" s="536"/>
    </row>
    <row r="12491" spans="33:33">
      <c r="AG12491" s="536"/>
    </row>
    <row r="12492" spans="33:33">
      <c r="AG12492" s="536"/>
    </row>
    <row r="12493" spans="33:33">
      <c r="AG12493" s="536"/>
    </row>
    <row r="12494" spans="33:33">
      <c r="AG12494" s="536"/>
    </row>
    <row r="12495" spans="33:33">
      <c r="AG12495" s="536"/>
    </row>
    <row r="12496" spans="33:33">
      <c r="AG12496" s="536"/>
    </row>
    <row r="12497" spans="33:33">
      <c r="AG12497" s="536"/>
    </row>
    <row r="12498" spans="33:33">
      <c r="AG12498" s="536"/>
    </row>
    <row r="12499" spans="33:33">
      <c r="AG12499" s="536"/>
    </row>
    <row r="12500" spans="33:33">
      <c r="AG12500" s="536"/>
    </row>
    <row r="12501" spans="33:33">
      <c r="AG12501" s="536"/>
    </row>
    <row r="12502" spans="33:33">
      <c r="AG12502" s="536"/>
    </row>
    <row r="12503" spans="33:33">
      <c r="AG12503" s="536"/>
    </row>
    <row r="12504" spans="33:33">
      <c r="AG12504" s="536"/>
    </row>
    <row r="12505" spans="33:33">
      <c r="AG12505" s="536"/>
    </row>
    <row r="12506" spans="33:33">
      <c r="AG12506" s="536"/>
    </row>
    <row r="12507" spans="33:33">
      <c r="AG12507" s="536"/>
    </row>
    <row r="12508" spans="33:33">
      <c r="AG12508" s="536"/>
    </row>
    <row r="12509" spans="33:33">
      <c r="AG12509" s="536"/>
    </row>
    <row r="12510" spans="33:33">
      <c r="AG12510" s="536"/>
    </row>
    <row r="12511" spans="33:33">
      <c r="AG12511" s="536"/>
    </row>
    <row r="12512" spans="33:33">
      <c r="AG12512" s="536"/>
    </row>
    <row r="12513" spans="33:33">
      <c r="AG12513" s="536"/>
    </row>
    <row r="12514" spans="33:33">
      <c r="AG12514" s="536"/>
    </row>
    <row r="12515" spans="33:33">
      <c r="AG12515" s="536"/>
    </row>
    <row r="12516" spans="33:33">
      <c r="AG12516" s="536"/>
    </row>
    <row r="12517" spans="33:33">
      <c r="AG12517" s="536"/>
    </row>
    <row r="12518" spans="33:33">
      <c r="AG12518" s="536"/>
    </row>
    <row r="12519" spans="33:33">
      <c r="AG12519" s="536"/>
    </row>
    <row r="12520" spans="33:33">
      <c r="AG12520" s="536"/>
    </row>
    <row r="12521" spans="33:33">
      <c r="AG12521" s="536"/>
    </row>
    <row r="12522" spans="33:33">
      <c r="AG12522" s="536"/>
    </row>
    <row r="12523" spans="33:33">
      <c r="AG12523" s="536"/>
    </row>
    <row r="12524" spans="33:33">
      <c r="AG12524" s="536"/>
    </row>
    <row r="12525" spans="33:33">
      <c r="AG12525" s="536"/>
    </row>
    <row r="12526" spans="33:33">
      <c r="AG12526" s="536"/>
    </row>
    <row r="12527" spans="33:33">
      <c r="AG12527" s="536"/>
    </row>
    <row r="12528" spans="33:33">
      <c r="AG12528" s="536"/>
    </row>
    <row r="12529" spans="33:33">
      <c r="AG12529" s="536"/>
    </row>
    <row r="12530" spans="33:33">
      <c r="AG12530" s="536"/>
    </row>
    <row r="12531" spans="33:33">
      <c r="AG12531" s="536"/>
    </row>
    <row r="12532" spans="33:33">
      <c r="AG12532" s="536"/>
    </row>
    <row r="12533" spans="33:33">
      <c r="AG12533" s="536"/>
    </row>
    <row r="12534" spans="33:33">
      <c r="AG12534" s="536"/>
    </row>
    <row r="12535" spans="33:33">
      <c r="AG12535" s="536"/>
    </row>
    <row r="12536" spans="33:33">
      <c r="AG12536" s="536"/>
    </row>
    <row r="12537" spans="33:33">
      <c r="AG12537" s="536"/>
    </row>
    <row r="12538" spans="33:33">
      <c r="AG12538" s="536"/>
    </row>
    <row r="12539" spans="33:33">
      <c r="AG12539" s="536"/>
    </row>
    <row r="12540" spans="33:33">
      <c r="AG12540" s="536"/>
    </row>
    <row r="12541" spans="33:33">
      <c r="AG12541" s="536"/>
    </row>
    <row r="12542" spans="33:33">
      <c r="AG12542" s="536"/>
    </row>
    <row r="12543" spans="33:33">
      <c r="AG12543" s="536"/>
    </row>
    <row r="12544" spans="33:33">
      <c r="AG12544" s="536"/>
    </row>
    <row r="12545" spans="33:33">
      <c r="AG12545" s="536"/>
    </row>
    <row r="12546" spans="33:33">
      <c r="AG12546" s="536"/>
    </row>
    <row r="12547" spans="33:33">
      <c r="AG12547" s="536"/>
    </row>
    <row r="12548" spans="33:33">
      <c r="AG12548" s="536"/>
    </row>
    <row r="12549" spans="33:33">
      <c r="AG12549" s="536"/>
    </row>
    <row r="12550" spans="33:33">
      <c r="AG12550" s="536"/>
    </row>
    <row r="12551" spans="33:33">
      <c r="AG12551" s="536"/>
    </row>
    <row r="12552" spans="33:33">
      <c r="AG12552" s="536"/>
    </row>
    <row r="12553" spans="33:33">
      <c r="AG12553" s="536"/>
    </row>
    <row r="12554" spans="33:33">
      <c r="AG12554" s="536"/>
    </row>
    <row r="12555" spans="33:33">
      <c r="AG12555" s="536"/>
    </row>
    <row r="12556" spans="33:33">
      <c r="AG12556" s="536"/>
    </row>
    <row r="12557" spans="33:33">
      <c r="AG12557" s="536"/>
    </row>
    <row r="12558" spans="33:33">
      <c r="AG12558" s="536"/>
    </row>
    <row r="12559" spans="33:33">
      <c r="AG12559" s="536"/>
    </row>
    <row r="12560" spans="33:33">
      <c r="AG12560" s="536"/>
    </row>
    <row r="12561" spans="33:33">
      <c r="AG12561" s="536"/>
    </row>
    <row r="12562" spans="33:33">
      <c r="AG12562" s="536"/>
    </row>
    <row r="12563" spans="33:33">
      <c r="AG12563" s="536"/>
    </row>
    <row r="12564" spans="33:33">
      <c r="AG12564" s="536"/>
    </row>
    <row r="12565" spans="33:33">
      <c r="AG12565" s="536"/>
    </row>
    <row r="12566" spans="33:33">
      <c r="AG12566" s="536"/>
    </row>
    <row r="12567" spans="33:33">
      <c r="AG12567" s="536"/>
    </row>
    <row r="12568" spans="33:33">
      <c r="AG12568" s="536"/>
    </row>
    <row r="12569" spans="33:33">
      <c r="AG12569" s="536"/>
    </row>
    <row r="12570" spans="33:33">
      <c r="AG12570" s="536"/>
    </row>
    <row r="12571" spans="33:33">
      <c r="AG12571" s="536"/>
    </row>
    <row r="12572" spans="33:33">
      <c r="AG12572" s="536"/>
    </row>
    <row r="12573" spans="33:33">
      <c r="AG12573" s="536"/>
    </row>
    <row r="12574" spans="33:33">
      <c r="AG12574" s="536"/>
    </row>
    <row r="12575" spans="33:33">
      <c r="AG12575" s="536"/>
    </row>
    <row r="12576" spans="33:33">
      <c r="AG12576" s="536"/>
    </row>
    <row r="12577" spans="33:33">
      <c r="AG12577" s="536"/>
    </row>
    <row r="12578" spans="33:33">
      <c r="AG12578" s="536"/>
    </row>
    <row r="12579" spans="33:33">
      <c r="AG12579" s="536"/>
    </row>
    <row r="12580" spans="33:33">
      <c r="AG12580" s="536"/>
    </row>
    <row r="12581" spans="33:33">
      <c r="AG12581" s="536"/>
    </row>
    <row r="12582" spans="33:33">
      <c r="AG12582" s="536"/>
    </row>
    <row r="12583" spans="33:33">
      <c r="AG12583" s="536"/>
    </row>
    <row r="12584" spans="33:33">
      <c r="AG12584" s="536"/>
    </row>
    <row r="12585" spans="33:33">
      <c r="AG12585" s="536"/>
    </row>
    <row r="12586" spans="33:33">
      <c r="AG12586" s="536"/>
    </row>
    <row r="12587" spans="33:33">
      <c r="AG12587" s="536"/>
    </row>
    <row r="12588" spans="33:33">
      <c r="AG12588" s="536"/>
    </row>
    <row r="12589" spans="33:33">
      <c r="AG12589" s="536"/>
    </row>
    <row r="12590" spans="33:33">
      <c r="AG12590" s="536"/>
    </row>
    <row r="12591" spans="33:33">
      <c r="AG12591" s="536"/>
    </row>
    <row r="12592" spans="33:33">
      <c r="AG12592" s="536"/>
    </row>
    <row r="12593" spans="33:33">
      <c r="AG12593" s="536"/>
    </row>
    <row r="12594" spans="33:33">
      <c r="AG12594" s="536"/>
    </row>
    <row r="12595" spans="33:33">
      <c r="AG12595" s="536"/>
    </row>
    <row r="12596" spans="33:33">
      <c r="AG12596" s="536"/>
    </row>
    <row r="12597" spans="33:33">
      <c r="AG12597" s="536"/>
    </row>
    <row r="12598" spans="33:33">
      <c r="AG12598" s="536"/>
    </row>
    <row r="12599" spans="33:33">
      <c r="AG12599" s="536"/>
    </row>
    <row r="12600" spans="33:33">
      <c r="AG12600" s="536"/>
    </row>
    <row r="12601" spans="33:33">
      <c r="AG12601" s="536"/>
    </row>
    <row r="12602" spans="33:33">
      <c r="AG12602" s="536"/>
    </row>
    <row r="12603" spans="33:33">
      <c r="AG12603" s="536"/>
    </row>
    <row r="12604" spans="33:33">
      <c r="AG12604" s="536"/>
    </row>
    <row r="12605" spans="33:33">
      <c r="AG12605" s="536"/>
    </row>
    <row r="12606" spans="33:33">
      <c r="AG12606" s="536"/>
    </row>
    <row r="12607" spans="33:33">
      <c r="AG12607" s="536"/>
    </row>
    <row r="12608" spans="33:33">
      <c r="AG12608" s="536"/>
    </row>
    <row r="12609" spans="33:33">
      <c r="AG12609" s="536"/>
    </row>
    <row r="12610" spans="33:33">
      <c r="AG12610" s="536"/>
    </row>
    <row r="12611" spans="33:33">
      <c r="AG12611" s="536"/>
    </row>
    <row r="12612" spans="33:33">
      <c r="AG12612" s="536"/>
    </row>
    <row r="12613" spans="33:33">
      <c r="AG12613" s="536"/>
    </row>
    <row r="12614" spans="33:33">
      <c r="AG12614" s="536"/>
    </row>
    <row r="12615" spans="33:33">
      <c r="AG12615" s="536"/>
    </row>
    <row r="12616" spans="33:33">
      <c r="AG12616" s="536"/>
    </row>
    <row r="12617" spans="33:33">
      <c r="AG12617" s="536"/>
    </row>
    <row r="12618" spans="33:33">
      <c r="AG12618" s="536"/>
    </row>
    <row r="12619" spans="33:33">
      <c r="AG12619" s="536"/>
    </row>
    <row r="12620" spans="33:33">
      <c r="AG12620" s="536"/>
    </row>
    <row r="12621" spans="33:33">
      <c r="AG12621" s="536"/>
    </row>
    <row r="12622" spans="33:33">
      <c r="AG12622" s="536"/>
    </row>
    <row r="12623" spans="33:33">
      <c r="AG12623" s="536"/>
    </row>
    <row r="12624" spans="33:33">
      <c r="AG12624" s="536"/>
    </row>
    <row r="12625" spans="33:33">
      <c r="AG12625" s="536"/>
    </row>
    <row r="12626" spans="33:33">
      <c r="AG12626" s="536"/>
    </row>
    <row r="12627" spans="33:33">
      <c r="AG12627" s="536"/>
    </row>
    <row r="12628" spans="33:33">
      <c r="AG12628" s="536"/>
    </row>
    <row r="12629" spans="33:33">
      <c r="AG12629" s="536"/>
    </row>
    <row r="12630" spans="33:33">
      <c r="AG12630" s="536"/>
    </row>
    <row r="12631" spans="33:33">
      <c r="AG12631" s="536"/>
    </row>
    <row r="12632" spans="33:33">
      <c r="AG12632" s="536"/>
    </row>
    <row r="12633" spans="33:33">
      <c r="AG12633" s="536"/>
    </row>
    <row r="12634" spans="33:33">
      <c r="AG12634" s="536"/>
    </row>
    <row r="12635" spans="33:33">
      <c r="AG12635" s="536"/>
    </row>
    <row r="12636" spans="33:33">
      <c r="AG12636" s="536"/>
    </row>
    <row r="12637" spans="33:33">
      <c r="AG12637" s="536"/>
    </row>
    <row r="12638" spans="33:33">
      <c r="AG12638" s="536"/>
    </row>
    <row r="12639" spans="33:33">
      <c r="AG12639" s="536"/>
    </row>
    <row r="12640" spans="33:33">
      <c r="AG12640" s="536"/>
    </row>
    <row r="12641" spans="33:33">
      <c r="AG12641" s="536"/>
    </row>
    <row r="12642" spans="33:33">
      <c r="AG12642" s="536"/>
    </row>
    <row r="12643" spans="33:33">
      <c r="AG12643" s="536"/>
    </row>
    <row r="12644" spans="33:33">
      <c r="AG12644" s="536"/>
    </row>
    <row r="12645" spans="33:33">
      <c r="AG12645" s="536"/>
    </row>
    <row r="12646" spans="33:33">
      <c r="AG12646" s="536"/>
    </row>
    <row r="12647" spans="33:33">
      <c r="AG12647" s="536"/>
    </row>
    <row r="12648" spans="33:33">
      <c r="AG12648" s="536"/>
    </row>
    <row r="12649" spans="33:33">
      <c r="AG12649" s="536"/>
    </row>
    <row r="12650" spans="33:33">
      <c r="AG12650" s="536"/>
    </row>
    <row r="12651" spans="33:33">
      <c r="AG12651" s="536"/>
    </row>
    <row r="12652" spans="33:33">
      <c r="AG12652" s="536"/>
    </row>
    <row r="12653" spans="33:33">
      <c r="AG12653" s="536"/>
    </row>
    <row r="12654" spans="33:33">
      <c r="AG12654" s="536"/>
    </row>
    <row r="12655" spans="33:33">
      <c r="AG12655" s="536"/>
    </row>
    <row r="12656" spans="33:33">
      <c r="AG12656" s="536"/>
    </row>
    <row r="12657" spans="33:33">
      <c r="AG12657" s="536"/>
    </row>
    <row r="12658" spans="33:33">
      <c r="AG12658" s="536"/>
    </row>
    <row r="12659" spans="33:33">
      <c r="AG12659" s="536"/>
    </row>
    <row r="12660" spans="33:33">
      <c r="AG12660" s="536"/>
    </row>
    <row r="12661" spans="33:33">
      <c r="AG12661" s="536"/>
    </row>
    <row r="12662" spans="33:33">
      <c r="AG12662" s="536"/>
    </row>
    <row r="12663" spans="33:33">
      <c r="AG12663" s="536"/>
    </row>
    <row r="12664" spans="33:33">
      <c r="AG12664" s="536"/>
    </row>
    <row r="12665" spans="33:33">
      <c r="AG12665" s="536"/>
    </row>
    <row r="12666" spans="33:33">
      <c r="AG12666" s="536"/>
    </row>
    <row r="12667" spans="33:33">
      <c r="AG12667" s="536"/>
    </row>
    <row r="12668" spans="33:33">
      <c r="AG12668" s="536"/>
    </row>
    <row r="12669" spans="33:33">
      <c r="AG12669" s="536"/>
    </row>
    <row r="12670" spans="33:33">
      <c r="AG12670" s="536"/>
    </row>
    <row r="12671" spans="33:33">
      <c r="AG12671" s="536"/>
    </row>
    <row r="12672" spans="33:33">
      <c r="AG12672" s="536"/>
    </row>
    <row r="12673" spans="33:33">
      <c r="AG12673" s="536"/>
    </row>
    <row r="12674" spans="33:33">
      <c r="AG12674" s="536"/>
    </row>
    <row r="12675" spans="33:33">
      <c r="AG12675" s="536"/>
    </row>
    <row r="12676" spans="33:33">
      <c r="AG12676" s="536"/>
    </row>
    <row r="12677" spans="33:33">
      <c r="AG12677" s="536"/>
    </row>
    <row r="12678" spans="33:33">
      <c r="AG12678" s="536"/>
    </row>
    <row r="12679" spans="33:33">
      <c r="AG12679" s="536"/>
    </row>
    <row r="12680" spans="33:33">
      <c r="AG12680" s="536"/>
    </row>
    <row r="12681" spans="33:33">
      <c r="AG12681" s="536"/>
    </row>
    <row r="12682" spans="33:33">
      <c r="AG12682" s="536"/>
    </row>
    <row r="12683" spans="33:33">
      <c r="AG12683" s="536"/>
    </row>
    <row r="12684" spans="33:33">
      <c r="AG12684" s="536"/>
    </row>
    <row r="12685" spans="33:33">
      <c r="AG12685" s="536"/>
    </row>
    <row r="12686" spans="33:33">
      <c r="AG12686" s="536"/>
    </row>
    <row r="12687" spans="33:33">
      <c r="AG12687" s="536"/>
    </row>
    <row r="12688" spans="33:33">
      <c r="AG12688" s="536"/>
    </row>
    <row r="12689" spans="33:33">
      <c r="AG12689" s="536"/>
    </row>
    <row r="12690" spans="33:33">
      <c r="AG12690" s="536"/>
    </row>
    <row r="12691" spans="33:33">
      <c r="AG12691" s="536"/>
    </row>
    <row r="12692" spans="33:33">
      <c r="AG12692" s="536"/>
    </row>
    <row r="12693" spans="33:33">
      <c r="AG12693" s="536"/>
    </row>
    <row r="12694" spans="33:33">
      <c r="AG12694" s="536"/>
    </row>
    <row r="12695" spans="33:33">
      <c r="AG12695" s="536"/>
    </row>
    <row r="12696" spans="33:33">
      <c r="AG12696" s="536"/>
    </row>
    <row r="12697" spans="33:33">
      <c r="AG12697" s="536"/>
    </row>
    <row r="12698" spans="33:33">
      <c r="AG12698" s="536"/>
    </row>
    <row r="12699" spans="33:33">
      <c r="AG12699" s="536"/>
    </row>
    <row r="12700" spans="33:33">
      <c r="AG12700" s="536"/>
    </row>
    <row r="12701" spans="33:33">
      <c r="AG12701" s="536"/>
    </row>
    <row r="12702" spans="33:33">
      <c r="AG12702" s="536"/>
    </row>
    <row r="12703" spans="33:33">
      <c r="AG12703" s="536"/>
    </row>
    <row r="12704" spans="33:33">
      <c r="AG12704" s="536"/>
    </row>
    <row r="12705" spans="33:33">
      <c r="AG12705" s="536"/>
    </row>
    <row r="12706" spans="33:33">
      <c r="AG12706" s="536"/>
    </row>
    <row r="12707" spans="33:33">
      <c r="AG12707" s="536"/>
    </row>
    <row r="12708" spans="33:33">
      <c r="AG12708" s="536"/>
    </row>
    <row r="12709" spans="33:33">
      <c r="AG12709" s="536"/>
    </row>
    <row r="12710" spans="33:33">
      <c r="AG12710" s="536"/>
    </row>
    <row r="12711" spans="33:33">
      <c r="AG12711" s="536"/>
    </row>
    <row r="12712" spans="33:33">
      <c r="AG12712" s="536"/>
    </row>
    <row r="12713" spans="33:33">
      <c r="AG12713" s="536"/>
    </row>
    <row r="12714" spans="33:33">
      <c r="AG12714" s="536"/>
    </row>
    <row r="12715" spans="33:33">
      <c r="AG12715" s="536"/>
    </row>
    <row r="12716" spans="33:33">
      <c r="AG12716" s="536"/>
    </row>
    <row r="12717" spans="33:33">
      <c r="AG12717" s="536"/>
    </row>
    <row r="12718" spans="33:33">
      <c r="AG12718" s="536"/>
    </row>
    <row r="12719" spans="33:33">
      <c r="AG12719" s="536"/>
    </row>
    <row r="12720" spans="33:33">
      <c r="AG12720" s="536"/>
    </row>
    <row r="12721" spans="33:33">
      <c r="AG12721" s="536"/>
    </row>
    <row r="12722" spans="33:33">
      <c r="AG12722" s="536"/>
    </row>
    <row r="12723" spans="33:33">
      <c r="AG12723" s="536"/>
    </row>
    <row r="12724" spans="33:33">
      <c r="AG12724" s="536"/>
    </row>
    <row r="12725" spans="33:33">
      <c r="AG12725" s="536"/>
    </row>
    <row r="12726" spans="33:33">
      <c r="AG12726" s="536"/>
    </row>
    <row r="12727" spans="33:33">
      <c r="AG12727" s="536"/>
    </row>
    <row r="12728" spans="33:33">
      <c r="AG12728" s="536"/>
    </row>
    <row r="12729" spans="33:33">
      <c r="AG12729" s="536"/>
    </row>
    <row r="12730" spans="33:33">
      <c r="AG12730" s="536"/>
    </row>
    <row r="12731" spans="33:33">
      <c r="AG12731" s="536"/>
    </row>
    <row r="12732" spans="33:33">
      <c r="AG12732" s="536"/>
    </row>
    <row r="12733" spans="33:33">
      <c r="AG12733" s="536"/>
    </row>
    <row r="12734" spans="33:33">
      <c r="AG12734" s="536"/>
    </row>
    <row r="12735" spans="33:33">
      <c r="AG12735" s="536"/>
    </row>
    <row r="12736" spans="33:33">
      <c r="AG12736" s="536"/>
    </row>
    <row r="12737" spans="33:33">
      <c r="AG12737" s="536"/>
    </row>
    <row r="12738" spans="33:33">
      <c r="AG12738" s="536"/>
    </row>
    <row r="12739" spans="33:33">
      <c r="AG12739" s="536"/>
    </row>
    <row r="12740" spans="33:33">
      <c r="AG12740" s="536"/>
    </row>
    <row r="12741" spans="33:33">
      <c r="AG12741" s="536"/>
    </row>
    <row r="12742" spans="33:33">
      <c r="AG12742" s="536"/>
    </row>
    <row r="12743" spans="33:33">
      <c r="AG12743" s="536"/>
    </row>
    <row r="12744" spans="33:33">
      <c r="AG12744" s="536"/>
    </row>
    <row r="12745" spans="33:33">
      <c r="AG12745" s="536"/>
    </row>
    <row r="12746" spans="33:33">
      <c r="AG12746" s="536"/>
    </row>
    <row r="12747" spans="33:33">
      <c r="AG12747" s="536"/>
    </row>
    <row r="12748" spans="33:33">
      <c r="AG12748" s="536"/>
    </row>
    <row r="12749" spans="33:33">
      <c r="AG12749" s="536"/>
    </row>
    <row r="12750" spans="33:33">
      <c r="AG12750" s="536"/>
    </row>
    <row r="12751" spans="33:33">
      <c r="AG12751" s="536"/>
    </row>
    <row r="12752" spans="33:33">
      <c r="AG12752" s="536"/>
    </row>
    <row r="12753" spans="33:33">
      <c r="AG12753" s="536"/>
    </row>
    <row r="12754" spans="33:33">
      <c r="AG12754" s="536"/>
    </row>
    <row r="12755" spans="33:33">
      <c r="AG12755" s="536"/>
    </row>
    <row r="12756" spans="33:33">
      <c r="AG12756" s="536"/>
    </row>
    <row r="12757" spans="33:33">
      <c r="AG12757" s="536"/>
    </row>
    <row r="12758" spans="33:33">
      <c r="AG12758" s="536"/>
    </row>
    <row r="12759" spans="33:33">
      <c r="AG12759" s="536"/>
    </row>
    <row r="12760" spans="33:33">
      <c r="AG12760" s="536"/>
    </row>
    <row r="12761" spans="33:33">
      <c r="AG12761" s="536"/>
    </row>
    <row r="12762" spans="33:33">
      <c r="AG12762" s="536"/>
    </row>
    <row r="12763" spans="33:33">
      <c r="AG12763" s="536"/>
    </row>
    <row r="12764" spans="33:33">
      <c r="AG12764" s="536"/>
    </row>
    <row r="12765" spans="33:33">
      <c r="AG12765" s="536"/>
    </row>
    <row r="12766" spans="33:33">
      <c r="AG12766" s="536"/>
    </row>
    <row r="12767" spans="33:33">
      <c r="AG12767" s="536"/>
    </row>
    <row r="12768" spans="33:33">
      <c r="AG12768" s="536"/>
    </row>
    <row r="12769" spans="33:33">
      <c r="AG12769" s="536"/>
    </row>
    <row r="12770" spans="33:33">
      <c r="AG12770" s="536"/>
    </row>
    <row r="12771" spans="33:33">
      <c r="AG12771" s="536"/>
    </row>
    <row r="12772" spans="33:33">
      <c r="AG12772" s="536"/>
    </row>
    <row r="12773" spans="33:33">
      <c r="AG12773" s="536"/>
    </row>
    <row r="12774" spans="33:33">
      <c r="AG12774" s="536"/>
    </row>
    <row r="12775" spans="33:33">
      <c r="AG12775" s="536"/>
    </row>
    <row r="12776" spans="33:33">
      <c r="AG12776" s="536"/>
    </row>
    <row r="12777" spans="33:33">
      <c r="AG12777" s="536"/>
    </row>
    <row r="12778" spans="33:33">
      <c r="AG12778" s="536"/>
    </row>
    <row r="12779" spans="33:33">
      <c r="AG12779" s="536"/>
    </row>
    <row r="12780" spans="33:33">
      <c r="AG12780" s="536"/>
    </row>
    <row r="12781" spans="33:33">
      <c r="AG12781" s="536"/>
    </row>
    <row r="12782" spans="33:33">
      <c r="AG12782" s="536"/>
    </row>
    <row r="12783" spans="33:33">
      <c r="AG12783" s="536"/>
    </row>
    <row r="12784" spans="33:33">
      <c r="AG12784" s="536"/>
    </row>
    <row r="12785" spans="33:33">
      <c r="AG12785" s="536"/>
    </row>
    <row r="12786" spans="33:33">
      <c r="AG12786" s="536"/>
    </row>
    <row r="12787" spans="33:33">
      <c r="AG12787" s="536"/>
    </row>
    <row r="12788" spans="33:33">
      <c r="AG12788" s="536"/>
    </row>
    <row r="12789" spans="33:33">
      <c r="AG12789" s="536"/>
    </row>
    <row r="12790" spans="33:33">
      <c r="AG12790" s="536"/>
    </row>
    <row r="12791" spans="33:33">
      <c r="AG12791" s="536"/>
    </row>
    <row r="12792" spans="33:33">
      <c r="AG12792" s="536"/>
    </row>
    <row r="12793" spans="33:33">
      <c r="AG12793" s="536"/>
    </row>
    <row r="12794" spans="33:33">
      <c r="AG12794" s="536"/>
    </row>
    <row r="12795" spans="33:33">
      <c r="AG12795" s="536"/>
    </row>
    <row r="12796" spans="33:33">
      <c r="AG12796" s="536"/>
    </row>
    <row r="12797" spans="33:33">
      <c r="AG12797" s="536"/>
    </row>
    <row r="12798" spans="33:33">
      <c r="AG12798" s="536"/>
    </row>
    <row r="12799" spans="33:33">
      <c r="AG12799" s="536"/>
    </row>
    <row r="12800" spans="33:33">
      <c r="AG12800" s="536"/>
    </row>
    <row r="12801" spans="33:33">
      <c r="AG12801" s="536"/>
    </row>
    <row r="12802" spans="33:33">
      <c r="AG12802" s="536"/>
    </row>
    <row r="12803" spans="33:33">
      <c r="AG12803" s="536"/>
    </row>
    <row r="12804" spans="33:33">
      <c r="AG12804" s="536"/>
    </row>
    <row r="12805" spans="33:33">
      <c r="AG12805" s="536"/>
    </row>
    <row r="12806" spans="33:33">
      <c r="AG12806" s="536"/>
    </row>
    <row r="12807" spans="33:33">
      <c r="AG12807" s="536"/>
    </row>
    <row r="12808" spans="33:33">
      <c r="AG12808" s="536"/>
    </row>
    <row r="12809" spans="33:33">
      <c r="AG12809" s="536"/>
    </row>
    <row r="12810" spans="33:33">
      <c r="AG12810" s="536"/>
    </row>
    <row r="12811" spans="33:33">
      <c r="AG12811" s="536"/>
    </row>
    <row r="12812" spans="33:33">
      <c r="AG12812" s="536"/>
    </row>
    <row r="12813" spans="33:33">
      <c r="AG12813" s="536"/>
    </row>
    <row r="12814" spans="33:33">
      <c r="AG12814" s="536"/>
    </row>
    <row r="12815" spans="33:33">
      <c r="AG12815" s="536"/>
    </row>
    <row r="12816" spans="33:33">
      <c r="AG12816" s="536"/>
    </row>
    <row r="12817" spans="33:33">
      <c r="AG12817" s="536"/>
    </row>
    <row r="12818" spans="33:33">
      <c r="AG12818" s="536"/>
    </row>
    <row r="12819" spans="33:33">
      <c r="AG12819" s="536"/>
    </row>
    <row r="12820" spans="33:33">
      <c r="AG12820" s="536"/>
    </row>
    <row r="12821" spans="33:33">
      <c r="AG12821" s="536"/>
    </row>
    <row r="12822" spans="33:33">
      <c r="AG12822" s="536"/>
    </row>
    <row r="12823" spans="33:33">
      <c r="AG12823" s="536"/>
    </row>
    <row r="12824" spans="33:33">
      <c r="AG12824" s="536"/>
    </row>
    <row r="12825" spans="33:33">
      <c r="AG12825" s="536"/>
    </row>
    <row r="12826" spans="33:33">
      <c r="AG12826" s="536"/>
    </row>
    <row r="12827" spans="33:33">
      <c r="AG12827" s="536"/>
    </row>
    <row r="12828" spans="33:33">
      <c r="AG12828" s="536"/>
    </row>
    <row r="12829" spans="33:33">
      <c r="AG12829" s="536"/>
    </row>
    <row r="12830" spans="33:33">
      <c r="AG12830" s="536"/>
    </row>
    <row r="12831" spans="33:33">
      <c r="AG12831" s="536"/>
    </row>
    <row r="12832" spans="33:33">
      <c r="AG12832" s="536"/>
    </row>
    <row r="12833" spans="33:33">
      <c r="AG12833" s="536"/>
    </row>
    <row r="12834" spans="33:33">
      <c r="AG12834" s="536"/>
    </row>
    <row r="12835" spans="33:33">
      <c r="AG12835" s="536"/>
    </row>
    <row r="12836" spans="33:33">
      <c r="AG12836" s="536"/>
    </row>
    <row r="12837" spans="33:33">
      <c r="AG12837" s="536"/>
    </row>
    <row r="12838" spans="33:33">
      <c r="AG12838" s="536"/>
    </row>
    <row r="12839" spans="33:33">
      <c r="AG12839" s="536"/>
    </row>
    <row r="12840" spans="33:33">
      <c r="AG12840" s="536"/>
    </row>
    <row r="12841" spans="33:33">
      <c r="AG12841" s="536"/>
    </row>
    <row r="12842" spans="33:33">
      <c r="AG12842" s="536"/>
    </row>
    <row r="12843" spans="33:33">
      <c r="AG12843" s="536"/>
    </row>
    <row r="12844" spans="33:33">
      <c r="AG12844" s="536"/>
    </row>
    <row r="12845" spans="33:33">
      <c r="AG12845" s="536"/>
    </row>
    <row r="12846" spans="33:33">
      <c r="AG12846" s="536"/>
    </row>
    <row r="12847" spans="33:33">
      <c r="AG12847" s="536"/>
    </row>
    <row r="12848" spans="33:33">
      <c r="AG12848" s="536"/>
    </row>
    <row r="12849" spans="33:33">
      <c r="AG12849" s="536"/>
    </row>
    <row r="12850" spans="33:33">
      <c r="AG12850" s="536"/>
    </row>
    <row r="12851" spans="33:33">
      <c r="AG12851" s="536"/>
    </row>
    <row r="12852" spans="33:33">
      <c r="AG12852" s="536"/>
    </row>
    <row r="12853" spans="33:33">
      <c r="AG12853" s="536"/>
    </row>
    <row r="12854" spans="33:33">
      <c r="AG12854" s="536"/>
    </row>
    <row r="12855" spans="33:33">
      <c r="AG12855" s="536"/>
    </row>
    <row r="12856" spans="33:33">
      <c r="AG12856" s="536"/>
    </row>
    <row r="12857" spans="33:33">
      <c r="AG12857" s="536"/>
    </row>
    <row r="12858" spans="33:33">
      <c r="AG12858" s="536"/>
    </row>
    <row r="12859" spans="33:33">
      <c r="AG12859" s="536"/>
    </row>
    <row r="12860" spans="33:33">
      <c r="AG12860" s="536"/>
    </row>
    <row r="12861" spans="33:33">
      <c r="AG12861" s="536"/>
    </row>
    <row r="12862" spans="33:33">
      <c r="AG12862" s="536"/>
    </row>
    <row r="12863" spans="33:33">
      <c r="AG12863" s="536"/>
    </row>
    <row r="12864" spans="33:33">
      <c r="AG12864" s="536"/>
    </row>
    <row r="12865" spans="33:33">
      <c r="AG12865" s="536"/>
    </row>
    <row r="12866" spans="33:33">
      <c r="AG12866" s="536"/>
    </row>
    <row r="12867" spans="33:33">
      <c r="AG12867" s="536"/>
    </row>
    <row r="12868" spans="33:33">
      <c r="AG12868" s="536"/>
    </row>
    <row r="12869" spans="33:33">
      <c r="AG12869" s="536"/>
    </row>
    <row r="12870" spans="33:33">
      <c r="AG12870" s="536"/>
    </row>
    <row r="12871" spans="33:33">
      <c r="AG12871" s="536"/>
    </row>
    <row r="12872" spans="33:33">
      <c r="AG12872" s="536"/>
    </row>
    <row r="12873" spans="33:33">
      <c r="AG12873" s="536"/>
    </row>
    <row r="12874" spans="33:33">
      <c r="AG12874" s="536"/>
    </row>
    <row r="12875" spans="33:33">
      <c r="AG12875" s="536"/>
    </row>
    <row r="12876" spans="33:33">
      <c r="AG12876" s="536"/>
    </row>
    <row r="12877" spans="33:33">
      <c r="AG12877" s="536"/>
    </row>
    <row r="12878" spans="33:33">
      <c r="AG12878" s="536"/>
    </row>
    <row r="12879" spans="33:33">
      <c r="AG12879" s="536"/>
    </row>
    <row r="12880" spans="33:33">
      <c r="AG12880" s="536"/>
    </row>
    <row r="12881" spans="33:33">
      <c r="AG12881" s="536"/>
    </row>
    <row r="12882" spans="33:33">
      <c r="AG12882" s="536"/>
    </row>
    <row r="12883" spans="33:33">
      <c r="AG12883" s="536"/>
    </row>
    <row r="12884" spans="33:33">
      <c r="AG12884" s="536"/>
    </row>
    <row r="12885" spans="33:33">
      <c r="AG12885" s="536"/>
    </row>
    <row r="12886" spans="33:33">
      <c r="AG12886" s="536"/>
    </row>
    <row r="12887" spans="33:33">
      <c r="AG12887" s="536"/>
    </row>
    <row r="12888" spans="33:33">
      <c r="AG12888" s="536"/>
    </row>
    <row r="12889" spans="33:33">
      <c r="AG12889" s="536"/>
    </row>
    <row r="12890" spans="33:33">
      <c r="AG12890" s="536"/>
    </row>
    <row r="12891" spans="33:33">
      <c r="AG12891" s="536"/>
    </row>
    <row r="12892" spans="33:33">
      <c r="AG12892" s="536"/>
    </row>
    <row r="12893" spans="33:33">
      <c r="AG12893" s="536"/>
    </row>
    <row r="12894" spans="33:33">
      <c r="AG12894" s="536"/>
    </row>
    <row r="12895" spans="33:33">
      <c r="AG12895" s="536"/>
    </row>
    <row r="12896" spans="33:33">
      <c r="AG12896" s="536"/>
    </row>
    <row r="12897" spans="33:33">
      <c r="AG12897" s="536"/>
    </row>
    <row r="12898" spans="33:33">
      <c r="AG12898" s="536"/>
    </row>
    <row r="12899" spans="33:33">
      <c r="AG12899" s="536"/>
    </row>
    <row r="12900" spans="33:33">
      <c r="AG12900" s="536"/>
    </row>
    <row r="12901" spans="33:33">
      <c r="AG12901" s="536"/>
    </row>
    <row r="12902" spans="33:33">
      <c r="AG12902" s="536"/>
    </row>
    <row r="12903" spans="33:33">
      <c r="AG12903" s="536"/>
    </row>
    <row r="12904" spans="33:33">
      <c r="AG12904" s="536"/>
    </row>
    <row r="12905" spans="33:33">
      <c r="AG12905" s="536"/>
    </row>
    <row r="12906" spans="33:33">
      <c r="AG12906" s="536"/>
    </row>
    <row r="12907" spans="33:33">
      <c r="AG12907" s="536"/>
    </row>
    <row r="12908" spans="33:33">
      <c r="AG12908" s="536"/>
    </row>
    <row r="12909" spans="33:33">
      <c r="AG12909" s="536"/>
    </row>
    <row r="12910" spans="33:33">
      <c r="AG12910" s="536"/>
    </row>
    <row r="12911" spans="33:33">
      <c r="AG12911" s="536"/>
    </row>
    <row r="12912" spans="33:33">
      <c r="AG12912" s="536"/>
    </row>
    <row r="12913" spans="33:33">
      <c r="AG12913" s="536"/>
    </row>
    <row r="12914" spans="33:33">
      <c r="AG12914" s="536"/>
    </row>
    <row r="12915" spans="33:33">
      <c r="AG12915" s="536"/>
    </row>
    <row r="12916" spans="33:33">
      <c r="AG12916" s="536"/>
    </row>
    <row r="12917" spans="33:33">
      <c r="AG12917" s="536"/>
    </row>
    <row r="12918" spans="33:33">
      <c r="AG12918" s="536"/>
    </row>
    <row r="12919" spans="33:33">
      <c r="AG12919" s="536"/>
    </row>
    <row r="12920" spans="33:33">
      <c r="AG12920" s="536"/>
    </row>
    <row r="12921" spans="33:33">
      <c r="AG12921" s="536"/>
    </row>
    <row r="12922" spans="33:33">
      <c r="AG12922" s="536"/>
    </row>
    <row r="12923" spans="33:33">
      <c r="AG12923" s="536"/>
    </row>
    <row r="12924" spans="33:33">
      <c r="AG12924" s="536"/>
    </row>
    <row r="12925" spans="33:33">
      <c r="AG12925" s="536"/>
    </row>
    <row r="12926" spans="33:33">
      <c r="AG12926" s="536"/>
    </row>
    <row r="12927" spans="33:33">
      <c r="AG12927" s="536"/>
    </row>
    <row r="12928" spans="33:33">
      <c r="AG12928" s="536"/>
    </row>
    <row r="12929" spans="33:33">
      <c r="AG12929" s="536"/>
    </row>
    <row r="12930" spans="33:33">
      <c r="AG12930" s="536"/>
    </row>
    <row r="12931" spans="33:33">
      <c r="AG12931" s="536"/>
    </row>
    <row r="12932" spans="33:33">
      <c r="AG12932" s="536"/>
    </row>
    <row r="12933" spans="33:33">
      <c r="AG12933" s="536"/>
    </row>
    <row r="12934" spans="33:33">
      <c r="AG12934" s="536"/>
    </row>
    <row r="12935" spans="33:33">
      <c r="AG12935" s="536"/>
    </row>
    <row r="12936" spans="33:33">
      <c r="AG12936" s="536"/>
    </row>
    <row r="12937" spans="33:33">
      <c r="AG12937" s="536"/>
    </row>
    <row r="12938" spans="33:33">
      <c r="AG12938" s="536"/>
    </row>
    <row r="12939" spans="33:33">
      <c r="AG12939" s="536"/>
    </row>
    <row r="12940" spans="33:33">
      <c r="AG12940" s="536"/>
    </row>
    <row r="12941" spans="33:33">
      <c r="AG12941" s="536"/>
    </row>
    <row r="12942" spans="33:33">
      <c r="AG12942" s="536"/>
    </row>
    <row r="12943" spans="33:33">
      <c r="AG12943" s="536"/>
    </row>
    <row r="12944" spans="33:33">
      <c r="AG12944" s="536"/>
    </row>
    <row r="12945" spans="33:33">
      <c r="AG12945" s="536"/>
    </row>
    <row r="12946" spans="33:33">
      <c r="AG12946" s="536"/>
    </row>
    <row r="12947" spans="33:33">
      <c r="AG12947" s="536"/>
    </row>
    <row r="12948" spans="33:33">
      <c r="AG12948" s="536"/>
    </row>
    <row r="12949" spans="33:33">
      <c r="AG12949" s="536"/>
    </row>
    <row r="12950" spans="33:33">
      <c r="AG12950" s="536"/>
    </row>
    <row r="12951" spans="33:33">
      <c r="AG12951" s="536"/>
    </row>
    <row r="12952" spans="33:33">
      <c r="AG12952" s="536"/>
    </row>
    <row r="12953" spans="33:33">
      <c r="AG12953" s="536"/>
    </row>
    <row r="12954" spans="33:33">
      <c r="AG12954" s="536"/>
    </row>
    <row r="12955" spans="33:33">
      <c r="AG12955" s="536"/>
    </row>
    <row r="12956" spans="33:33">
      <c r="AG12956" s="536"/>
    </row>
    <row r="12957" spans="33:33">
      <c r="AG12957" s="536"/>
    </row>
    <row r="12958" spans="33:33">
      <c r="AG12958" s="536"/>
    </row>
    <row r="12959" spans="33:33">
      <c r="AG12959" s="536"/>
    </row>
    <row r="12960" spans="33:33">
      <c r="AG12960" s="536"/>
    </row>
    <row r="12961" spans="33:33">
      <c r="AG12961" s="536"/>
    </row>
    <row r="12962" spans="33:33">
      <c r="AG12962" s="536"/>
    </row>
    <row r="12963" spans="33:33">
      <c r="AG12963" s="536"/>
    </row>
    <row r="12964" spans="33:33">
      <c r="AG12964" s="536"/>
    </row>
    <row r="12965" spans="33:33">
      <c r="AG12965" s="536"/>
    </row>
    <row r="12966" spans="33:33">
      <c r="AG12966" s="536"/>
    </row>
    <row r="12967" spans="33:33">
      <c r="AG12967" s="536"/>
    </row>
    <row r="12968" spans="33:33">
      <c r="AG12968" s="536"/>
    </row>
    <row r="12969" spans="33:33">
      <c r="AG12969" s="536"/>
    </row>
    <row r="12970" spans="33:33">
      <c r="AG12970" s="536"/>
    </row>
    <row r="12971" spans="33:33">
      <c r="AG12971" s="536"/>
    </row>
    <row r="12972" spans="33:33">
      <c r="AG12972" s="536"/>
    </row>
    <row r="12973" spans="33:33">
      <c r="AG12973" s="536"/>
    </row>
    <row r="12974" spans="33:33">
      <c r="AG12974" s="536"/>
    </row>
    <row r="12975" spans="33:33">
      <c r="AG12975" s="536"/>
    </row>
    <row r="12976" spans="33:33">
      <c r="AG12976" s="536"/>
    </row>
    <row r="12977" spans="33:33">
      <c r="AG12977" s="536"/>
    </row>
    <row r="12978" spans="33:33">
      <c r="AG12978" s="536"/>
    </row>
    <row r="12979" spans="33:33">
      <c r="AG12979" s="536"/>
    </row>
    <row r="12980" spans="33:33">
      <c r="AG12980" s="536"/>
    </row>
    <row r="12981" spans="33:33">
      <c r="AG12981" s="536"/>
    </row>
    <row r="12982" spans="33:33">
      <c r="AG12982" s="536"/>
    </row>
    <row r="12983" spans="33:33">
      <c r="AG12983" s="536"/>
    </row>
    <row r="12984" spans="33:33">
      <c r="AG12984" s="536"/>
    </row>
    <row r="12985" spans="33:33">
      <c r="AG12985" s="536"/>
    </row>
    <row r="12986" spans="33:33">
      <c r="AG12986" s="536"/>
    </row>
    <row r="12987" spans="33:33">
      <c r="AG12987" s="536"/>
    </row>
    <row r="12988" spans="33:33">
      <c r="AG12988" s="536"/>
    </row>
    <row r="12989" spans="33:33">
      <c r="AG12989" s="536"/>
    </row>
    <row r="12990" spans="33:33">
      <c r="AG12990" s="536"/>
    </row>
    <row r="12991" spans="33:33">
      <c r="AG12991" s="536"/>
    </row>
    <row r="12992" spans="33:33">
      <c r="AG12992" s="536"/>
    </row>
    <row r="12993" spans="33:33">
      <c r="AG12993" s="536"/>
    </row>
    <row r="12994" spans="33:33">
      <c r="AG12994" s="536"/>
    </row>
    <row r="12995" spans="33:33">
      <c r="AG12995" s="536"/>
    </row>
    <row r="12996" spans="33:33">
      <c r="AG12996" s="536"/>
    </row>
    <row r="12997" spans="33:33">
      <c r="AG12997" s="536"/>
    </row>
    <row r="12998" spans="33:33">
      <c r="AG12998" s="536"/>
    </row>
    <row r="12999" spans="33:33">
      <c r="AG12999" s="536"/>
    </row>
    <row r="13000" spans="33:33">
      <c r="AG13000" s="536"/>
    </row>
    <row r="13001" spans="33:33">
      <c r="AG13001" s="536"/>
    </row>
    <row r="13002" spans="33:33">
      <c r="AG13002" s="536"/>
    </row>
    <row r="13003" spans="33:33">
      <c r="AG13003" s="536"/>
    </row>
    <row r="13004" spans="33:33">
      <c r="AG13004" s="536"/>
    </row>
    <row r="13005" spans="33:33">
      <c r="AG13005" s="536"/>
    </row>
    <row r="13006" spans="33:33">
      <c r="AG13006" s="536"/>
    </row>
    <row r="13007" spans="33:33">
      <c r="AG13007" s="536"/>
    </row>
    <row r="13008" spans="33:33">
      <c r="AG13008" s="536"/>
    </row>
    <row r="13009" spans="33:33">
      <c r="AG13009" s="536"/>
    </row>
    <row r="13010" spans="33:33">
      <c r="AG13010" s="536"/>
    </row>
    <row r="13011" spans="33:33">
      <c r="AG13011" s="536"/>
    </row>
    <row r="13012" spans="33:33">
      <c r="AG13012" s="536"/>
    </row>
    <row r="13013" spans="33:33">
      <c r="AG13013" s="536"/>
    </row>
    <row r="13014" spans="33:33">
      <c r="AG13014" s="536"/>
    </row>
    <row r="13015" spans="33:33">
      <c r="AG13015" s="536"/>
    </row>
    <row r="13016" spans="33:33">
      <c r="AG13016" s="536"/>
    </row>
    <row r="13017" spans="33:33">
      <c r="AG13017" s="536"/>
    </row>
    <row r="13018" spans="33:33">
      <c r="AG13018" s="536"/>
    </row>
    <row r="13019" spans="33:33">
      <c r="AG13019" s="536"/>
    </row>
    <row r="13020" spans="33:33">
      <c r="AG13020" s="536"/>
    </row>
    <row r="13021" spans="33:33">
      <c r="AG13021" s="536"/>
    </row>
    <row r="13022" spans="33:33">
      <c r="AG13022" s="536"/>
    </row>
    <row r="13023" spans="33:33">
      <c r="AG13023" s="536"/>
    </row>
    <row r="13024" spans="33:33">
      <c r="AG13024" s="536"/>
    </row>
    <row r="13025" spans="33:33">
      <c r="AG13025" s="536"/>
    </row>
    <row r="13026" spans="33:33">
      <c r="AG13026" s="536"/>
    </row>
    <row r="13027" spans="33:33">
      <c r="AG13027" s="536"/>
    </row>
    <row r="13028" spans="33:33">
      <c r="AG13028" s="536"/>
    </row>
    <row r="13029" spans="33:33">
      <c r="AG13029" s="536"/>
    </row>
    <row r="13030" spans="33:33">
      <c r="AG13030" s="536"/>
    </row>
    <row r="13031" spans="33:33">
      <c r="AG13031" s="536"/>
    </row>
    <row r="13032" spans="33:33">
      <c r="AG13032" s="536"/>
    </row>
    <row r="13033" spans="33:33">
      <c r="AG13033" s="536"/>
    </row>
    <row r="13034" spans="33:33">
      <c r="AG13034" s="536"/>
    </row>
    <row r="13035" spans="33:33">
      <c r="AG13035" s="536"/>
    </row>
    <row r="13036" spans="33:33">
      <c r="AG13036" s="536"/>
    </row>
    <row r="13037" spans="33:33">
      <c r="AG13037" s="536"/>
    </row>
    <row r="13038" spans="33:33">
      <c r="AG13038" s="536"/>
    </row>
    <row r="13039" spans="33:33">
      <c r="AG13039" s="536"/>
    </row>
    <row r="13040" spans="33:33">
      <c r="AG13040" s="536"/>
    </row>
    <row r="13041" spans="33:33">
      <c r="AG13041" s="536"/>
    </row>
    <row r="13042" spans="33:33">
      <c r="AG13042" s="536"/>
    </row>
    <row r="13043" spans="33:33">
      <c r="AG13043" s="536"/>
    </row>
    <row r="13044" spans="33:33">
      <c r="AG13044" s="536"/>
    </row>
    <row r="13045" spans="33:33">
      <c r="AG13045" s="536"/>
    </row>
    <row r="13046" spans="33:33">
      <c r="AG13046" s="536"/>
    </row>
    <row r="13047" spans="33:33">
      <c r="AG13047" s="536"/>
    </row>
    <row r="13048" spans="33:33">
      <c r="AG13048" s="536"/>
    </row>
    <row r="13049" spans="33:33">
      <c r="AG13049" s="536"/>
    </row>
    <row r="13050" spans="33:33">
      <c r="AG13050" s="536"/>
    </row>
    <row r="13051" spans="33:33">
      <c r="AG13051" s="536"/>
    </row>
    <row r="13052" spans="33:33">
      <c r="AG13052" s="536"/>
    </row>
    <row r="13053" spans="33:33">
      <c r="AG13053" s="536"/>
    </row>
    <row r="13054" spans="33:33">
      <c r="AG13054" s="536"/>
    </row>
    <row r="13055" spans="33:33">
      <c r="AG13055" s="536"/>
    </row>
    <row r="13056" spans="33:33">
      <c r="AG13056" s="536"/>
    </row>
    <row r="13057" spans="33:33">
      <c r="AG13057" s="536"/>
    </row>
    <row r="13058" spans="33:33">
      <c r="AG13058" s="536"/>
    </row>
    <row r="13059" spans="33:33">
      <c r="AG13059" s="536"/>
    </row>
    <row r="13060" spans="33:33">
      <c r="AG13060" s="536"/>
    </row>
    <row r="13061" spans="33:33">
      <c r="AG13061" s="536"/>
    </row>
    <row r="13062" spans="33:33">
      <c r="AG13062" s="536"/>
    </row>
    <row r="13063" spans="33:33">
      <c r="AG13063" s="536"/>
    </row>
    <row r="13064" spans="33:33">
      <c r="AG13064" s="536"/>
    </row>
    <row r="13065" spans="33:33">
      <c r="AG13065" s="536"/>
    </row>
    <row r="13066" spans="33:33">
      <c r="AG13066" s="536"/>
    </row>
    <row r="13067" spans="33:33">
      <c r="AG13067" s="536"/>
    </row>
    <row r="13068" spans="33:33">
      <c r="AG13068" s="536"/>
    </row>
    <row r="13069" spans="33:33">
      <c r="AG13069" s="536"/>
    </row>
    <row r="13070" spans="33:33">
      <c r="AG13070" s="536"/>
    </row>
    <row r="13071" spans="33:33">
      <c r="AG13071" s="536"/>
    </row>
    <row r="13072" spans="33:33">
      <c r="AG13072" s="536"/>
    </row>
    <row r="13073" spans="33:33">
      <c r="AG13073" s="536"/>
    </row>
    <row r="13074" spans="33:33">
      <c r="AG13074" s="536"/>
    </row>
    <row r="13075" spans="33:33">
      <c r="AG13075" s="536"/>
    </row>
    <row r="13076" spans="33:33">
      <c r="AG13076" s="536"/>
    </row>
    <row r="13077" spans="33:33">
      <c r="AG13077" s="536"/>
    </row>
    <row r="13078" spans="33:33">
      <c r="AG13078" s="536"/>
    </row>
    <row r="13079" spans="33:33">
      <c r="AG13079" s="536"/>
    </row>
    <row r="13080" spans="33:33">
      <c r="AG13080" s="536"/>
    </row>
    <row r="13081" spans="33:33">
      <c r="AG13081" s="536"/>
    </row>
    <row r="13082" spans="33:33">
      <c r="AG13082" s="536"/>
    </row>
    <row r="13083" spans="33:33">
      <c r="AG13083" s="536"/>
    </row>
    <row r="13084" spans="33:33">
      <c r="AG13084" s="536"/>
    </row>
    <row r="13085" spans="33:33">
      <c r="AG13085" s="536"/>
    </row>
    <row r="13086" spans="33:33">
      <c r="AG13086" s="536"/>
    </row>
    <row r="13087" spans="33:33">
      <c r="AG13087" s="536"/>
    </row>
    <row r="13088" spans="33:33">
      <c r="AG13088" s="536"/>
    </row>
    <row r="13089" spans="33:33">
      <c r="AG13089" s="536"/>
    </row>
    <row r="13090" spans="33:33">
      <c r="AG13090" s="536"/>
    </row>
    <row r="13091" spans="33:33">
      <c r="AG13091" s="536"/>
    </row>
    <row r="13092" spans="33:33">
      <c r="AG13092" s="536"/>
    </row>
    <row r="13093" spans="33:33">
      <c r="AG13093" s="536"/>
    </row>
    <row r="13094" spans="33:33">
      <c r="AG13094" s="536"/>
    </row>
    <row r="13095" spans="33:33">
      <c r="AG13095" s="536"/>
    </row>
    <row r="13096" spans="33:33">
      <c r="AG13096" s="536"/>
    </row>
    <row r="13097" spans="33:33">
      <c r="AG13097" s="536"/>
    </row>
  </sheetData>
  <mergeCells count="21">
    <mergeCell ref="AJ2:AN2"/>
    <mergeCell ref="AK3:AM3"/>
    <mergeCell ref="AL4:AM4"/>
    <mergeCell ref="AL5:AM5"/>
    <mergeCell ref="AL6:AM6"/>
    <mergeCell ref="AL7:AM7"/>
    <mergeCell ref="AL8:AM8"/>
    <mergeCell ref="AI10:AL10"/>
    <mergeCell ref="AM10:AP10"/>
    <mergeCell ref="AJ18:AL18"/>
    <mergeCell ref="AN18:AP18"/>
    <mergeCell ref="AI20:AL20"/>
    <mergeCell ref="AM20:AP20"/>
    <mergeCell ref="AJ28:AL28"/>
    <mergeCell ref="AN28:AP28"/>
    <mergeCell ref="AI30:AL30"/>
    <mergeCell ref="AM30:AP30"/>
    <mergeCell ref="AJ38:AL38"/>
    <mergeCell ref="AN38:AP38"/>
    <mergeCell ref="AI2:AI3"/>
    <mergeCell ref="AN4:AN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G28"/>
  <sheetViews>
    <sheetView workbookViewId="0">
      <selection activeCell="A1" sqref="A1"/>
    </sheetView>
  </sheetViews>
  <sheetFormatPr defaultColWidth="9" defaultRowHeight="16.8"/>
  <sheetData>
    <row r="2" spans="2:33">
      <c r="B2" t="s">
        <v>2849</v>
      </c>
      <c r="C2" t="s">
        <v>2850</v>
      </c>
      <c r="H2" t="s">
        <v>2851</v>
      </c>
      <c r="J2" t="s">
        <v>2852</v>
      </c>
      <c r="L2" t="s">
        <v>2853</v>
      </c>
      <c r="O2" t="s">
        <v>2850</v>
      </c>
      <c r="P2" t="s">
        <v>2851</v>
      </c>
      <c r="Q2" t="s">
        <v>2854</v>
      </c>
      <c r="R2" t="s">
        <v>513</v>
      </c>
      <c r="S2" t="s">
        <v>2855</v>
      </c>
      <c r="T2" t="s">
        <v>2856</v>
      </c>
      <c r="U2" t="s">
        <v>2857</v>
      </c>
      <c r="V2" t="s">
        <v>2858</v>
      </c>
      <c r="W2" t="s">
        <v>2859</v>
      </c>
      <c r="X2" t="s">
        <v>205</v>
      </c>
      <c r="Y2" t="s">
        <v>2860</v>
      </c>
      <c r="Z2" t="s">
        <v>2861</v>
      </c>
    </row>
    <row r="3" spans="2:33">
      <c r="C3" t="s">
        <v>2862</v>
      </c>
      <c r="E3" t="s">
        <v>2863</v>
      </c>
      <c r="F3" t="s">
        <v>2864</v>
      </c>
      <c r="G3" t="s">
        <v>2865</v>
      </c>
      <c r="H3" t="s">
        <v>620</v>
      </c>
      <c r="I3" t="s">
        <v>207</v>
      </c>
      <c r="L3" t="s">
        <v>143</v>
      </c>
      <c r="M3" t="s">
        <v>466</v>
      </c>
      <c r="N3" t="s">
        <v>2866</v>
      </c>
    </row>
    <row r="4" spans="2:33">
      <c r="B4" t="s">
        <v>2867</v>
      </c>
      <c r="C4" t="s">
        <v>618</v>
      </c>
      <c r="I4" t="s">
        <v>618</v>
      </c>
      <c r="J4" t="s">
        <v>618</v>
      </c>
      <c r="L4" t="s">
        <v>1111</v>
      </c>
    </row>
    <row r="5" spans="2:33">
      <c r="B5" t="s">
        <v>2868</v>
      </c>
      <c r="L5" t="s">
        <v>1110</v>
      </c>
    </row>
    <row r="6" spans="2:33">
      <c r="B6" t="s">
        <v>2869</v>
      </c>
      <c r="L6" t="s">
        <v>1107</v>
      </c>
    </row>
    <row r="7" spans="2:33">
      <c r="B7" t="s">
        <v>2870</v>
      </c>
    </row>
    <row r="8" spans="2:33">
      <c r="B8" t="s">
        <v>2871</v>
      </c>
      <c r="C8" t="s">
        <v>618</v>
      </c>
      <c r="J8" t="s">
        <v>618</v>
      </c>
      <c r="L8" t="s">
        <v>1103</v>
      </c>
    </row>
    <row r="9" spans="2:33">
      <c r="B9" t="s">
        <v>157</v>
      </c>
      <c r="C9" t="s">
        <v>618</v>
      </c>
      <c r="D9" t="s">
        <v>618</v>
      </c>
      <c r="I9" t="s">
        <v>618</v>
      </c>
      <c r="J9" t="s">
        <v>618</v>
      </c>
    </row>
    <row r="10" spans="2:33">
      <c r="B10" t="s">
        <v>2872</v>
      </c>
    </row>
    <row r="11" spans="2:33">
      <c r="B11" t="s">
        <v>2873</v>
      </c>
      <c r="L11" t="s">
        <v>2874</v>
      </c>
      <c r="N11" t="s">
        <v>2875</v>
      </c>
      <c r="Q11" t="s">
        <v>384</v>
      </c>
      <c r="U11" t="s">
        <v>158</v>
      </c>
      <c r="X11" t="s">
        <v>2876</v>
      </c>
      <c r="Y11" t="s">
        <v>2877</v>
      </c>
      <c r="Z11" t="s">
        <v>2858</v>
      </c>
      <c r="AA11" t="s">
        <v>2878</v>
      </c>
      <c r="AB11" t="s">
        <v>205</v>
      </c>
      <c r="AC11" t="s">
        <v>2879</v>
      </c>
      <c r="AD11" t="s">
        <v>155</v>
      </c>
      <c r="AE11" t="s">
        <v>2880</v>
      </c>
      <c r="AF11" t="s">
        <v>2881</v>
      </c>
      <c r="AG11" t="s">
        <v>143</v>
      </c>
    </row>
    <row r="12" spans="2:33">
      <c r="B12" t="s">
        <v>2882</v>
      </c>
      <c r="L12" t="s">
        <v>2883</v>
      </c>
      <c r="M12" t="s">
        <v>221</v>
      </c>
      <c r="N12" t="s">
        <v>3</v>
      </c>
      <c r="O12" t="s">
        <v>1640</v>
      </c>
      <c r="P12" t="s">
        <v>2884</v>
      </c>
      <c r="Q12" t="s">
        <v>2885</v>
      </c>
      <c r="R12" t="s">
        <v>2886</v>
      </c>
      <c r="S12" t="s">
        <v>804</v>
      </c>
      <c r="T12" t="s">
        <v>2887</v>
      </c>
      <c r="U12" t="s">
        <v>2888</v>
      </c>
      <c r="V12" t="s">
        <v>158</v>
      </c>
      <c r="W12" t="s">
        <v>1647</v>
      </c>
      <c r="X12" t="s">
        <v>158</v>
      </c>
      <c r="Y12" t="s">
        <v>158</v>
      </c>
      <c r="Z12" t="s">
        <v>158</v>
      </c>
      <c r="AA12" t="s">
        <v>158</v>
      </c>
      <c r="AB12" t="s">
        <v>158</v>
      </c>
      <c r="AC12" t="s">
        <v>158</v>
      </c>
      <c r="AD12" t="s">
        <v>158</v>
      </c>
      <c r="AE12" t="s">
        <v>158</v>
      </c>
    </row>
    <row r="13" spans="2:33">
      <c r="M13" t="s">
        <v>2889</v>
      </c>
      <c r="N13" t="s">
        <v>2890</v>
      </c>
      <c r="AG13" t="s">
        <v>1110</v>
      </c>
    </row>
    <row r="14" spans="2:33">
      <c r="B14" t="s">
        <v>2891</v>
      </c>
      <c r="C14" t="s">
        <v>381</v>
      </c>
      <c r="E14" t="s">
        <v>1107</v>
      </c>
      <c r="F14" t="s">
        <v>1111</v>
      </c>
      <c r="G14" t="s">
        <v>1110</v>
      </c>
      <c r="H14" t="s">
        <v>415</v>
      </c>
      <c r="N14" t="s">
        <v>2892</v>
      </c>
      <c r="AG14" t="s">
        <v>1111</v>
      </c>
    </row>
    <row r="15" spans="2:33">
      <c r="C15" t="s">
        <v>2893</v>
      </c>
      <c r="E15" t="s">
        <v>2894</v>
      </c>
      <c r="F15" t="s">
        <v>2894</v>
      </c>
      <c r="G15" t="s">
        <v>2894</v>
      </c>
      <c r="N15" t="s">
        <v>2895</v>
      </c>
    </row>
    <row r="16" spans="2:33">
      <c r="C16" t="s">
        <v>2896</v>
      </c>
      <c r="M16" t="s">
        <v>2897</v>
      </c>
      <c r="N16" t="s">
        <v>2890</v>
      </c>
      <c r="AG16" t="s">
        <v>1107</v>
      </c>
    </row>
    <row r="17" spans="2:33">
      <c r="C17" t="s">
        <v>2898</v>
      </c>
      <c r="E17" t="s">
        <v>2894</v>
      </c>
      <c r="F17" t="s">
        <v>2894</v>
      </c>
      <c r="G17" t="s">
        <v>2894</v>
      </c>
      <c r="N17" t="s">
        <v>2892</v>
      </c>
    </row>
    <row r="18" spans="2:33">
      <c r="B18" t="s">
        <v>2899</v>
      </c>
      <c r="C18" t="s">
        <v>2900</v>
      </c>
      <c r="H18" t="s">
        <v>618</v>
      </c>
      <c r="N18" t="s">
        <v>2901</v>
      </c>
    </row>
    <row r="19" spans="2:33">
      <c r="B19" t="s">
        <v>2902</v>
      </c>
      <c r="M19" t="s">
        <v>2903</v>
      </c>
      <c r="S19" t="s">
        <v>618</v>
      </c>
    </row>
    <row r="20" spans="2:33">
      <c r="B20" t="s">
        <v>2858</v>
      </c>
      <c r="D20" t="s">
        <v>2904</v>
      </c>
      <c r="M20" t="s">
        <v>2905</v>
      </c>
      <c r="N20" t="s">
        <v>2890</v>
      </c>
    </row>
    <row r="21" spans="2:33">
      <c r="B21" t="s">
        <v>2906</v>
      </c>
      <c r="D21" t="s">
        <v>2907</v>
      </c>
      <c r="N21" t="s">
        <v>2892</v>
      </c>
      <c r="AG21" t="s">
        <v>1103</v>
      </c>
    </row>
    <row r="22" spans="2:33">
      <c r="B22" t="s">
        <v>799</v>
      </c>
      <c r="D22" t="s">
        <v>2908</v>
      </c>
      <c r="N22" t="s">
        <v>2909</v>
      </c>
    </row>
    <row r="23" spans="2:33">
      <c r="B23" t="s">
        <v>2910</v>
      </c>
      <c r="D23" t="s">
        <v>2911</v>
      </c>
    </row>
    <row r="24" spans="2:33">
      <c r="B24" t="s">
        <v>2912</v>
      </c>
      <c r="C24" t="s">
        <v>799</v>
      </c>
      <c r="D24" t="s">
        <v>2913</v>
      </c>
      <c r="E24" t="s">
        <v>2914</v>
      </c>
    </row>
    <row r="25" spans="2:33">
      <c r="B25" t="s">
        <v>2915</v>
      </c>
    </row>
    <row r="26" spans="2:33">
      <c r="B26" t="s">
        <v>185</v>
      </c>
    </row>
    <row r="27" spans="2:33">
      <c r="B27" t="s">
        <v>619</v>
      </c>
    </row>
    <row r="28" spans="2:33">
      <c r="B28" t="s">
        <v>2916</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44"/>
  <sheetViews>
    <sheetView tabSelected="1" workbookViewId="0">
      <selection activeCell="A1" sqref="A1:AH1"/>
    </sheetView>
  </sheetViews>
  <sheetFormatPr defaultColWidth="9" defaultRowHeight="16.8"/>
  <cols>
    <col min="1" max="1" width="6" customWidth="1"/>
    <col min="2" max="2" width="17" customWidth="1"/>
    <col min="3" max="3" width="9.88461538461538" customWidth="1"/>
    <col min="4" max="4" width="27" customWidth="1"/>
    <col min="5" max="5" width="14.4423076923077" customWidth="1"/>
    <col min="6" max="6" width="10.8846153846154" customWidth="1"/>
    <col min="7" max="7" width="10.4423076923077" customWidth="1"/>
    <col min="9" max="10" width="8.44230769230769" customWidth="1"/>
    <col min="11" max="11" width="9.10576923076923" customWidth="1"/>
    <col min="12" max="12" width="11.8846153846154" customWidth="1"/>
    <col min="13" max="13" width="9.44230769230769" customWidth="1"/>
    <col min="14" max="14" width="8.44230769230769" customWidth="1"/>
    <col min="15" max="15" width="5.10576923076923" customWidth="1"/>
    <col min="16" max="16" width="11.1057692307692" customWidth="1"/>
    <col min="17" max="17" width="9.44230769230769" customWidth="1"/>
    <col min="19" max="19" width="8.88461538461539" customWidth="1"/>
    <col min="20" max="20" width="11.4423076923077" customWidth="1"/>
    <col min="21" max="21" width="10.4423076923077" customWidth="1"/>
    <col min="22" max="22" width="9.10576923076923" customWidth="1"/>
    <col min="23" max="23" width="8.44230769230769" customWidth="1"/>
    <col min="24" max="24" width="9.10576923076923" customWidth="1"/>
    <col min="25" max="26" width="10.4423076923077" customWidth="1"/>
    <col min="28" max="28" width="10.1057692307692" customWidth="1"/>
    <col min="29" max="29" width="9.44230769230769" customWidth="1"/>
    <col min="30" max="30" width="8" customWidth="1"/>
    <col min="31" max="31" width="10.1057692307692" customWidth="1"/>
    <col min="32" max="32" width="9.44230769230769" customWidth="1"/>
    <col min="33" max="33" width="10.4423076923077" customWidth="1"/>
    <col min="34" max="34" width="9.88461538461538" customWidth="1"/>
    <col min="35" max="35" width="13.1057692307692" customWidth="1"/>
    <col min="36" max="36" width="22.1057692307692" customWidth="1"/>
    <col min="37" max="37" width="10.4423076923077" customWidth="1"/>
    <col min="16383" max="16383" width="10.4423076923077" customWidth="1"/>
  </cols>
  <sheetData>
    <row r="1" ht="23.25" customHeight="1" spans="1:37">
      <c r="A1" s="332" t="s">
        <v>2917</v>
      </c>
      <c r="AI1" s="333"/>
      <c r="AJ1" s="333"/>
    </row>
    <row r="2" ht="16.5" customHeight="1" spans="1:37">
      <c r="A2" s="334" t="s">
        <v>2918</v>
      </c>
      <c r="B2" s="335"/>
      <c r="C2" s="336"/>
      <c r="D2" s="337"/>
      <c r="E2" s="335"/>
      <c r="F2" s="338"/>
      <c r="G2" s="338"/>
      <c r="H2" s="338"/>
      <c r="I2" s="338"/>
      <c r="J2" s="339"/>
      <c r="K2" s="337"/>
      <c r="L2" s="337"/>
      <c r="M2" s="338"/>
      <c r="N2" s="337"/>
      <c r="O2" s="337"/>
      <c r="P2" s="338"/>
      <c r="Q2" s="338"/>
      <c r="R2" s="338"/>
      <c r="S2" s="338"/>
      <c r="T2" s="338"/>
      <c r="U2" s="337"/>
      <c r="V2" s="339"/>
      <c r="W2" s="339"/>
      <c r="X2" s="339"/>
      <c r="Y2" s="339"/>
      <c r="Z2" s="339"/>
      <c r="AA2" s="339"/>
      <c r="AB2" s="337"/>
      <c r="AE2" s="337"/>
      <c r="AF2" s="337"/>
      <c r="AG2" s="337"/>
      <c r="AH2" s="338"/>
      <c r="AI2" s="338"/>
      <c r="AJ2" s="333"/>
      <c r="AK2" s="333"/>
    </row>
    <row r="3" ht="16.5" customHeight="1" spans="1:37">
      <c r="A3" s="340" t="s">
        <v>2919</v>
      </c>
      <c r="B3" s="335"/>
      <c r="C3" s="336"/>
      <c r="D3" s="337"/>
      <c r="E3" s="335"/>
      <c r="F3" s="338"/>
      <c r="G3" s="338"/>
      <c r="H3" s="338"/>
      <c r="I3" s="338"/>
      <c r="J3" s="339"/>
      <c r="K3" s="337"/>
      <c r="L3" s="337"/>
      <c r="M3" s="338"/>
      <c r="N3" s="337"/>
      <c r="O3" s="337"/>
      <c r="P3" s="339"/>
      <c r="Q3" s="339"/>
      <c r="R3" s="339"/>
      <c r="S3" s="339"/>
      <c r="T3" s="339"/>
      <c r="U3" s="337"/>
      <c r="V3" s="339"/>
      <c r="W3" s="339"/>
      <c r="X3" s="339"/>
      <c r="Y3" s="339"/>
      <c r="Z3" s="339"/>
      <c r="AA3" s="339"/>
      <c r="AB3" s="337"/>
      <c r="AC3" s="337"/>
      <c r="AD3" s="337"/>
      <c r="AE3" s="337"/>
      <c r="AF3" s="337"/>
      <c r="AG3" s="337"/>
      <c r="AH3" s="338"/>
      <c r="AI3" s="338"/>
      <c r="AJ3" s="333"/>
      <c r="AK3" s="333"/>
    </row>
    <row r="4" ht="16.5" customHeight="1" spans="1:37">
      <c r="A4" s="334" t="s">
        <v>2920</v>
      </c>
      <c r="B4" s="335"/>
      <c r="C4" s="336"/>
      <c r="D4" s="337"/>
      <c r="E4" s="335"/>
      <c r="F4" s="338"/>
      <c r="G4" s="338"/>
      <c r="H4" s="338"/>
      <c r="I4" s="338"/>
      <c r="J4" s="339"/>
      <c r="K4" s="337"/>
      <c r="L4" s="337"/>
      <c r="M4" s="338"/>
      <c r="N4" s="337"/>
      <c r="O4" s="337"/>
      <c r="P4" s="339"/>
      <c r="Q4" s="339"/>
      <c r="R4" s="339"/>
      <c r="S4" s="339"/>
      <c r="T4" s="339"/>
      <c r="U4" s="337"/>
      <c r="V4" s="339"/>
      <c r="W4" s="339"/>
      <c r="X4" s="339"/>
      <c r="Y4" s="339"/>
      <c r="Z4" s="339"/>
      <c r="AA4" s="339"/>
      <c r="AB4" s="337"/>
      <c r="AC4" s="337"/>
      <c r="AD4" s="337"/>
      <c r="AE4" s="337"/>
      <c r="AF4" s="337"/>
      <c r="AG4" s="337"/>
      <c r="AH4" s="341" t="s">
        <v>2921</v>
      </c>
      <c r="AI4" s="338"/>
      <c r="AJ4" s="333"/>
      <c r="AK4" s="333"/>
    </row>
    <row r="5" ht="12" customHeight="1" spans="1:37">
      <c r="A5" s="342" t="s">
        <v>303</v>
      </c>
      <c r="B5" s="343" t="s">
        <v>12</v>
      </c>
      <c r="C5" s="226" t="s">
        <v>143</v>
      </c>
      <c r="D5" s="343" t="s">
        <v>2922</v>
      </c>
      <c r="E5" s="343" t="s">
        <v>2923</v>
      </c>
      <c r="F5" s="344" t="s">
        <v>2924</v>
      </c>
      <c r="G5" s="192"/>
      <c r="H5" s="192"/>
      <c r="I5" s="192"/>
      <c r="J5" s="192"/>
      <c r="K5" s="192"/>
      <c r="L5" s="192"/>
      <c r="M5" s="192"/>
      <c r="N5" s="192"/>
      <c r="O5" s="192"/>
      <c r="P5" s="193"/>
      <c r="Q5" s="344" t="s">
        <v>2925</v>
      </c>
      <c r="R5" s="192"/>
      <c r="S5" s="193"/>
      <c r="T5" s="344" t="s">
        <v>2926</v>
      </c>
      <c r="U5" s="192"/>
      <c r="V5" s="192"/>
      <c r="W5" s="192"/>
      <c r="X5" s="192"/>
      <c r="Y5" s="192"/>
      <c r="Z5" s="192"/>
      <c r="AA5" s="193"/>
      <c r="AB5" s="344" t="s">
        <v>2927</v>
      </c>
      <c r="AC5" s="192"/>
      <c r="AD5" s="192"/>
      <c r="AE5" s="192"/>
      <c r="AF5" s="192"/>
      <c r="AG5" s="193"/>
      <c r="AH5" s="344" t="s">
        <v>2928</v>
      </c>
      <c r="AI5" s="344" t="s">
        <v>310</v>
      </c>
      <c r="AJ5" s="345"/>
      <c r="AK5" s="345"/>
    </row>
    <row r="6" ht="42.75" customHeight="1" spans="1:37">
      <c r="A6" s="195"/>
      <c r="B6" s="195"/>
      <c r="C6" s="195"/>
      <c r="D6" s="195"/>
      <c r="E6" s="195"/>
      <c r="F6" s="343" t="s">
        <v>436</v>
      </c>
      <c r="G6" s="343" t="s">
        <v>831</v>
      </c>
      <c r="H6" s="346" t="s">
        <v>2929</v>
      </c>
      <c r="I6" s="343" t="s">
        <v>2930</v>
      </c>
      <c r="J6" s="343" t="s">
        <v>2931</v>
      </c>
      <c r="K6" s="343" t="s">
        <v>2932</v>
      </c>
      <c r="L6" s="343" t="s">
        <v>2933</v>
      </c>
      <c r="M6" s="343" t="s">
        <v>2934</v>
      </c>
      <c r="N6" s="343" t="s">
        <v>2935</v>
      </c>
      <c r="O6" s="343" t="s">
        <v>2936</v>
      </c>
      <c r="P6" s="343" t="s">
        <v>2937</v>
      </c>
      <c r="Q6" s="343" t="s">
        <v>2938</v>
      </c>
      <c r="R6" s="343" t="s">
        <v>2939</v>
      </c>
      <c r="S6" s="343" t="s">
        <v>2940</v>
      </c>
      <c r="T6" s="343" t="s">
        <v>2941</v>
      </c>
      <c r="U6" s="347" t="s">
        <v>2942</v>
      </c>
      <c r="V6" s="343" t="s">
        <v>2943</v>
      </c>
      <c r="W6" s="343" t="s">
        <v>2944</v>
      </c>
      <c r="X6" s="343" t="s">
        <v>2945</v>
      </c>
      <c r="Y6" s="348" t="s">
        <v>2946</v>
      </c>
      <c r="Z6" s="348" t="s">
        <v>2947</v>
      </c>
      <c r="AA6" s="343" t="s">
        <v>2948</v>
      </c>
      <c r="AB6" s="343" t="s">
        <v>2949</v>
      </c>
      <c r="AC6" s="343" t="s">
        <v>2950</v>
      </c>
      <c r="AD6" s="343" t="s">
        <v>374</v>
      </c>
      <c r="AE6" s="343" t="s">
        <v>2951</v>
      </c>
      <c r="AF6" s="343" t="s">
        <v>2952</v>
      </c>
      <c r="AG6" s="343" t="s">
        <v>2953</v>
      </c>
      <c r="AH6" s="195"/>
      <c r="AI6" s="195"/>
      <c r="AJ6" s="345"/>
      <c r="AK6" s="345"/>
    </row>
    <row r="7" ht="21.9" customHeight="1" spans="1:37">
      <c r="A7" s="202"/>
      <c r="B7" s="218" t="s">
        <v>2954</v>
      </c>
      <c r="C7" s="216" t="s">
        <v>1193</v>
      </c>
      <c r="D7" s="217"/>
      <c r="E7" s="218" t="s">
        <v>1194</v>
      </c>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8"/>
      <c r="AJ7" s="333"/>
      <c r="AK7" s="333"/>
    </row>
    <row r="8" ht="21.9" customHeight="1" spans="1:37">
      <c r="A8" s="202"/>
      <c r="B8" s="218" t="s">
        <v>2954</v>
      </c>
      <c r="C8" s="216" t="s">
        <v>1195</v>
      </c>
      <c r="D8" s="217"/>
      <c r="E8" s="218" t="s">
        <v>2955</v>
      </c>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8"/>
      <c r="AJ8" s="333"/>
      <c r="AK8" s="333"/>
    </row>
    <row r="9" ht="21.9" customHeight="1" spans="1:37">
      <c r="A9" s="202"/>
      <c r="B9" s="218" t="s">
        <v>2954</v>
      </c>
      <c r="C9" s="216" t="s">
        <v>1197</v>
      </c>
      <c r="D9" s="217"/>
      <c r="E9" s="218" t="s">
        <v>2956</v>
      </c>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6"/>
      <c r="AF9" s="206"/>
      <c r="AG9" s="206"/>
      <c r="AH9" s="206"/>
      <c r="AI9" s="208"/>
      <c r="AJ9" s="333"/>
      <c r="AK9" s="333"/>
    </row>
    <row r="10" ht="21.9" customHeight="1" spans="1:37">
      <c r="A10" s="202"/>
      <c r="B10" s="218" t="s">
        <v>2954</v>
      </c>
      <c r="C10" s="216" t="s">
        <v>2957</v>
      </c>
      <c r="D10" s="217"/>
      <c r="E10" s="218" t="s">
        <v>2956</v>
      </c>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8"/>
      <c r="AJ10" s="333"/>
      <c r="AK10" s="333"/>
    </row>
    <row r="11" ht="21.9" customHeight="1" spans="1:37">
      <c r="A11" s="202"/>
      <c r="B11" s="218" t="s">
        <v>2954</v>
      </c>
      <c r="C11" s="216" t="s">
        <v>2958</v>
      </c>
      <c r="D11" s="217"/>
      <c r="E11" s="218" t="s">
        <v>2959</v>
      </c>
      <c r="F11" s="206"/>
      <c r="G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c r="AI11" s="208"/>
      <c r="AJ11" s="333"/>
      <c r="AK11" s="333"/>
    </row>
    <row r="12" ht="21.9" customHeight="1" spans="1:37">
      <c r="A12" s="202"/>
      <c r="B12" s="218" t="s">
        <v>2954</v>
      </c>
      <c r="C12" s="216" t="s">
        <v>2960</v>
      </c>
      <c r="D12" s="217"/>
      <c r="E12" s="218" t="s">
        <v>2961</v>
      </c>
      <c r="F12" s="206"/>
      <c r="G12" s="206"/>
      <c r="H12" s="206"/>
      <c r="I12" s="206"/>
      <c r="J12" s="206"/>
      <c r="K12" s="206"/>
      <c r="L12" s="206"/>
      <c r="M12" s="206"/>
      <c r="N12" s="206"/>
      <c r="O12" s="206"/>
      <c r="P12" s="206"/>
      <c r="Q12" s="206"/>
      <c r="R12" s="206"/>
      <c r="S12" s="206"/>
      <c r="T12" s="206"/>
      <c r="U12" s="206"/>
      <c r="V12" s="206"/>
      <c r="W12" s="206"/>
      <c r="X12" s="206"/>
      <c r="Y12" s="206"/>
      <c r="Z12" s="206"/>
      <c r="AA12" s="206"/>
      <c r="AB12" s="206"/>
      <c r="AC12" s="206"/>
      <c r="AD12" s="206"/>
      <c r="AE12" s="206"/>
      <c r="AF12" s="206"/>
      <c r="AG12" s="206"/>
      <c r="AH12" s="206"/>
      <c r="AI12" s="208"/>
      <c r="AJ12" s="333"/>
      <c r="AK12" s="333"/>
    </row>
    <row r="13" ht="21.9" customHeight="1" spans="1:37">
      <c r="A13" s="202"/>
      <c r="B13" s="218" t="s">
        <v>2954</v>
      </c>
      <c r="C13" s="216" t="s">
        <v>1199</v>
      </c>
      <c r="D13" s="217"/>
      <c r="E13" s="218" t="s">
        <v>2962</v>
      </c>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8"/>
      <c r="AJ13" s="349"/>
      <c r="AK13" s="349"/>
    </row>
    <row r="14" ht="21.9" customHeight="1" spans="1:37">
      <c r="A14" s="202"/>
      <c r="B14" s="218" t="s">
        <v>2954</v>
      </c>
      <c r="C14" s="216" t="s">
        <v>1203</v>
      </c>
      <c r="D14" s="217"/>
      <c r="E14" s="218" t="s">
        <v>1204</v>
      </c>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8"/>
      <c r="AJ14" s="349"/>
      <c r="AK14" s="349"/>
    </row>
    <row r="15" ht="21.9" customHeight="1" spans="1:37">
      <c r="A15" s="202"/>
      <c r="B15" s="218" t="s">
        <v>2954</v>
      </c>
      <c r="C15" s="216" t="s">
        <v>1201</v>
      </c>
      <c r="D15" s="217"/>
      <c r="E15" s="218" t="s">
        <v>2963</v>
      </c>
      <c r="F15" s="206"/>
      <c r="G15" s="206"/>
      <c r="H15" s="206"/>
      <c r="I15" s="206"/>
      <c r="J15" s="206"/>
      <c r="K15" s="206"/>
      <c r="L15" s="206"/>
      <c r="M15" s="206"/>
      <c r="N15" s="206"/>
      <c r="O15" s="206"/>
      <c r="P15" s="206"/>
      <c r="Q15" s="206"/>
      <c r="R15" s="206"/>
      <c r="S15" s="206"/>
      <c r="T15" s="206"/>
      <c r="U15" s="206"/>
      <c r="V15" s="206"/>
      <c r="W15" s="206"/>
      <c r="X15" s="206"/>
      <c r="Y15" s="206"/>
      <c r="Z15" s="206"/>
      <c r="AA15" s="206"/>
      <c r="AB15" s="206"/>
      <c r="AC15" s="206"/>
      <c r="AD15" s="206"/>
      <c r="AE15" s="206"/>
      <c r="AF15" s="206"/>
      <c r="AG15" s="206"/>
      <c r="AH15" s="206"/>
      <c r="AI15" s="208"/>
      <c r="AJ15" s="349"/>
      <c r="AK15" s="349"/>
    </row>
    <row r="16" ht="21.9" customHeight="1" spans="1:37">
      <c r="A16" s="350" t="s">
        <v>193</v>
      </c>
      <c r="B16" s="351"/>
      <c r="C16" s="352"/>
      <c r="D16" s="353"/>
      <c r="E16" s="354"/>
      <c r="F16" s="355"/>
      <c r="G16" s="355"/>
      <c r="H16" s="355"/>
      <c r="I16" s="355"/>
      <c r="J16" s="355"/>
      <c r="K16" s="355"/>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33"/>
      <c r="AK16" s="333"/>
    </row>
    <row r="17" ht="21.9" customHeight="1" spans="1:37">
      <c r="A17" s="202"/>
      <c r="B17" s="203" t="s">
        <v>2964</v>
      </c>
      <c r="C17" s="216" t="s">
        <v>1055</v>
      </c>
      <c r="D17" s="211"/>
      <c r="E17" s="248" t="s">
        <v>1056</v>
      </c>
      <c r="F17" s="206"/>
      <c r="G17" s="206"/>
      <c r="H17" s="206"/>
      <c r="I17" s="206"/>
      <c r="J17" s="206"/>
      <c r="K17" s="206"/>
      <c r="L17" s="206"/>
      <c r="M17" s="213"/>
      <c r="N17" s="214"/>
      <c r="O17" s="213"/>
      <c r="P17" s="206"/>
      <c r="Q17" s="214"/>
      <c r="R17" s="214"/>
      <c r="S17" s="214"/>
      <c r="T17" s="206"/>
      <c r="U17" s="206"/>
      <c r="V17" s="206"/>
      <c r="W17" s="206"/>
      <c r="X17" s="206"/>
      <c r="Y17" s="206"/>
      <c r="Z17" s="206"/>
      <c r="AA17" s="206"/>
      <c r="AB17" s="206"/>
      <c r="AC17" s="206"/>
      <c r="AD17" s="206"/>
      <c r="AE17" s="214"/>
      <c r="AF17" s="207"/>
      <c r="AG17" s="206"/>
      <c r="AH17" s="206"/>
      <c r="AI17" s="215"/>
      <c r="AJ17" s="349"/>
      <c r="AK17" s="349"/>
    </row>
    <row r="18" ht="21.9" customHeight="1" spans="1:37">
      <c r="A18" s="202"/>
      <c r="B18" s="218" t="s">
        <v>954</v>
      </c>
      <c r="C18" s="216" t="s">
        <v>1118</v>
      </c>
      <c r="D18" s="217"/>
      <c r="E18" s="218" t="s">
        <v>2965</v>
      </c>
      <c r="F18" s="206"/>
      <c r="G18" s="206"/>
      <c r="H18" s="206"/>
      <c r="I18" s="206"/>
      <c r="J18" s="206"/>
      <c r="K18" s="206"/>
      <c r="L18" s="206"/>
      <c r="M18" s="206"/>
      <c r="N18" s="206"/>
      <c r="O18" s="206"/>
      <c r="P18" s="206"/>
      <c r="Q18" s="214"/>
      <c r="R18" s="206"/>
      <c r="S18" s="214"/>
      <c r="T18" s="206"/>
      <c r="U18" s="206"/>
      <c r="V18" s="206"/>
      <c r="W18" s="206"/>
      <c r="X18" s="206"/>
      <c r="Y18" s="206"/>
      <c r="Z18" s="206"/>
      <c r="AA18" s="206"/>
      <c r="AB18" s="206"/>
      <c r="AC18" s="206"/>
      <c r="AD18" s="206"/>
      <c r="AE18" s="206"/>
      <c r="AF18" s="206"/>
      <c r="AG18" s="206"/>
      <c r="AH18" s="206"/>
      <c r="AI18" s="208"/>
      <c r="AJ18" s="349"/>
      <c r="AK18" s="349"/>
    </row>
    <row r="19" ht="21.9" customHeight="1" spans="1:37">
      <c r="A19" s="202"/>
      <c r="B19" s="218" t="s">
        <v>954</v>
      </c>
      <c r="C19" s="216" t="s">
        <v>1149</v>
      </c>
      <c r="D19" s="217"/>
      <c r="E19" s="218" t="s">
        <v>2966</v>
      </c>
      <c r="F19" s="206"/>
      <c r="G19" s="206"/>
      <c r="H19" s="206"/>
      <c r="I19" s="206"/>
      <c r="J19" s="206"/>
      <c r="K19" s="206"/>
      <c r="L19" s="206"/>
      <c r="M19" s="206"/>
      <c r="N19" s="206"/>
      <c r="O19" s="206"/>
      <c r="P19" s="206"/>
      <c r="Q19" s="214"/>
      <c r="R19" s="206"/>
      <c r="S19" s="214"/>
      <c r="T19" s="206"/>
      <c r="U19" s="206"/>
      <c r="V19" s="206"/>
      <c r="W19" s="206"/>
      <c r="X19" s="206"/>
      <c r="Y19" s="206"/>
      <c r="Z19" s="206"/>
      <c r="AA19" s="206"/>
      <c r="AB19" s="206"/>
      <c r="AC19" s="206"/>
      <c r="AD19" s="206"/>
      <c r="AE19" s="206"/>
      <c r="AF19" s="206"/>
      <c r="AG19" s="206"/>
      <c r="AH19" s="206"/>
      <c r="AI19" s="208"/>
      <c r="AJ19" s="349"/>
      <c r="AK19" s="349"/>
    </row>
    <row r="20" ht="21.9" customHeight="1" spans="1:37">
      <c r="A20" s="202"/>
      <c r="B20" s="218" t="s">
        <v>165</v>
      </c>
      <c r="C20" s="216" t="s">
        <v>166</v>
      </c>
      <c r="D20" s="217" t="s">
        <v>2967</v>
      </c>
      <c r="E20" s="218" t="s">
        <v>11</v>
      </c>
      <c r="F20" s="206"/>
      <c r="G20" s="206"/>
      <c r="H20" s="206"/>
      <c r="I20" s="206"/>
      <c r="J20" s="206"/>
      <c r="K20" s="206"/>
      <c r="L20" s="206"/>
      <c r="M20" s="206"/>
      <c r="N20" s="206"/>
      <c r="O20" s="206"/>
      <c r="P20" s="206"/>
      <c r="Q20" s="214"/>
      <c r="R20" s="206"/>
      <c r="S20" s="214"/>
      <c r="T20" s="206"/>
      <c r="U20" s="206"/>
      <c r="V20" s="206"/>
      <c r="W20" s="206"/>
      <c r="X20" s="206"/>
      <c r="Y20" s="206"/>
      <c r="Z20" s="206"/>
      <c r="AA20" s="206"/>
      <c r="AB20" s="206"/>
      <c r="AC20" s="206"/>
      <c r="AD20" s="206"/>
      <c r="AE20" s="206"/>
      <c r="AF20" s="206"/>
      <c r="AG20" s="206"/>
      <c r="AH20" s="206"/>
      <c r="AI20" s="208"/>
      <c r="AJ20" s="349"/>
      <c r="AK20" s="349"/>
    </row>
    <row r="21" ht="21.9" customHeight="1" spans="1:37">
      <c r="A21" s="202"/>
      <c r="B21" s="218" t="s">
        <v>165</v>
      </c>
      <c r="C21" s="216" t="s">
        <v>168</v>
      </c>
      <c r="D21" s="217"/>
      <c r="E21" s="218" t="s">
        <v>11</v>
      </c>
      <c r="F21" s="206"/>
      <c r="G21" s="206"/>
      <c r="H21" s="206"/>
      <c r="I21" s="206"/>
      <c r="J21" s="206"/>
      <c r="K21" s="206"/>
      <c r="L21" s="206"/>
      <c r="M21" s="206"/>
      <c r="N21" s="206"/>
      <c r="O21" s="206"/>
      <c r="P21" s="206"/>
      <c r="Q21" s="214"/>
      <c r="R21" s="206"/>
      <c r="S21" s="214"/>
      <c r="T21" s="206"/>
      <c r="U21" s="206"/>
      <c r="V21" s="206"/>
      <c r="W21" s="206"/>
      <c r="X21" s="206"/>
      <c r="Y21" s="206"/>
      <c r="Z21" s="206"/>
      <c r="AA21" s="206"/>
      <c r="AB21" s="206"/>
      <c r="AC21" s="206"/>
      <c r="AD21" s="206"/>
      <c r="AE21" s="206"/>
      <c r="AF21" s="206"/>
      <c r="AG21" s="206"/>
      <c r="AH21" s="206"/>
      <c r="AI21" s="208"/>
      <c r="AJ21" s="349"/>
      <c r="AK21" s="349"/>
    </row>
    <row r="22" ht="21.9" customHeight="1" spans="1:37">
      <c r="A22" s="202"/>
      <c r="B22" s="218" t="s">
        <v>165</v>
      </c>
      <c r="C22" s="216" t="s">
        <v>167</v>
      </c>
      <c r="D22" s="356"/>
      <c r="E22" s="218" t="s">
        <v>11</v>
      </c>
      <c r="F22" s="206"/>
      <c r="G22" s="206"/>
      <c r="H22" s="206"/>
      <c r="I22" s="206"/>
      <c r="J22" s="206"/>
      <c r="K22" s="206"/>
      <c r="L22" s="206"/>
      <c r="M22" s="206"/>
      <c r="N22" s="206"/>
      <c r="O22" s="206"/>
      <c r="P22" s="206"/>
      <c r="Q22" s="214"/>
      <c r="R22" s="206"/>
      <c r="S22" s="214"/>
      <c r="T22" s="206"/>
      <c r="U22" s="206"/>
      <c r="V22" s="206"/>
      <c r="W22" s="206"/>
      <c r="X22" s="206"/>
      <c r="Y22" s="206"/>
      <c r="Z22" s="206"/>
      <c r="AA22" s="206"/>
      <c r="AB22" s="206"/>
      <c r="AC22" s="206"/>
      <c r="AD22" s="206"/>
      <c r="AE22" s="206"/>
      <c r="AF22" s="206"/>
      <c r="AG22" s="206"/>
      <c r="AH22" s="206"/>
      <c r="AI22" s="208"/>
      <c r="AJ22" s="349"/>
      <c r="AK22" s="349"/>
    </row>
    <row r="23" ht="21.9" customHeight="1" spans="1:37">
      <c r="A23" s="202"/>
      <c r="B23" s="218" t="s">
        <v>165</v>
      </c>
      <c r="C23" s="216" t="s">
        <v>169</v>
      </c>
      <c r="D23" s="357"/>
      <c r="E23" s="218" t="s">
        <v>11</v>
      </c>
      <c r="F23" s="206"/>
      <c r="G23" s="206"/>
      <c r="H23" s="206"/>
      <c r="I23" s="206"/>
      <c r="J23" s="206"/>
      <c r="K23" s="206"/>
      <c r="L23" s="206"/>
      <c r="M23" s="206"/>
      <c r="N23" s="206"/>
      <c r="O23" s="206"/>
      <c r="P23" s="206"/>
      <c r="Q23" s="214"/>
      <c r="R23" s="206"/>
      <c r="S23" s="214"/>
      <c r="T23" s="206"/>
      <c r="U23" s="206"/>
      <c r="V23" s="206"/>
      <c r="W23" s="206"/>
      <c r="X23" s="206"/>
      <c r="Y23" s="206"/>
      <c r="Z23" s="206"/>
      <c r="AA23" s="206"/>
      <c r="AB23" s="206"/>
      <c r="AC23" s="206"/>
      <c r="AD23" s="206"/>
      <c r="AE23" s="206"/>
      <c r="AF23" s="206"/>
      <c r="AG23" s="206"/>
      <c r="AH23" s="206"/>
      <c r="AI23" s="208"/>
      <c r="AJ23" s="349"/>
      <c r="AK23" s="349"/>
    </row>
    <row r="24" ht="21.9" customHeight="1" spans="1:37">
      <c r="A24" s="202"/>
      <c r="B24" s="218" t="s">
        <v>165</v>
      </c>
      <c r="C24" s="216" t="s">
        <v>170</v>
      </c>
      <c r="D24" s="217"/>
      <c r="E24" s="218" t="s">
        <v>11</v>
      </c>
      <c r="F24" s="206"/>
      <c r="G24" s="206"/>
      <c r="H24" s="206"/>
      <c r="I24" s="206"/>
      <c r="J24" s="206"/>
      <c r="K24" s="206"/>
      <c r="L24" s="206"/>
      <c r="M24" s="206"/>
      <c r="N24" s="206"/>
      <c r="O24" s="206"/>
      <c r="P24" s="206"/>
      <c r="Q24" s="214"/>
      <c r="R24" s="206"/>
      <c r="S24" s="214"/>
      <c r="T24" s="206"/>
      <c r="U24" s="206"/>
      <c r="V24" s="206"/>
      <c r="W24" s="206"/>
      <c r="X24" s="206"/>
      <c r="Y24" s="206"/>
      <c r="Z24" s="206"/>
      <c r="AA24" s="206"/>
      <c r="AB24" s="206"/>
      <c r="AC24" s="206"/>
      <c r="AD24" s="206"/>
      <c r="AE24" s="206"/>
      <c r="AF24" s="206"/>
      <c r="AG24" s="206"/>
      <c r="AH24" s="206"/>
      <c r="AI24" s="208"/>
      <c r="AJ24" s="349"/>
      <c r="AK24" s="349"/>
    </row>
    <row r="25" ht="21.9" customHeight="1" spans="1:37">
      <c r="A25" s="202"/>
      <c r="B25" s="218" t="s">
        <v>165</v>
      </c>
      <c r="C25" s="216" t="s">
        <v>171</v>
      </c>
      <c r="D25" s="217"/>
      <c r="E25" s="218" t="s">
        <v>11</v>
      </c>
      <c r="F25" s="206"/>
      <c r="G25" s="206"/>
      <c r="H25" s="206"/>
      <c r="I25" s="206"/>
      <c r="J25" s="206"/>
      <c r="K25" s="206"/>
      <c r="L25" s="206"/>
      <c r="M25" s="206"/>
      <c r="N25" s="206"/>
      <c r="O25" s="206"/>
      <c r="P25" s="206"/>
      <c r="Q25" s="214"/>
      <c r="R25" s="206"/>
      <c r="S25" s="214"/>
      <c r="T25" s="206"/>
      <c r="U25" s="206"/>
      <c r="V25" s="206"/>
      <c r="W25" s="206"/>
      <c r="X25" s="206"/>
      <c r="Y25" s="206"/>
      <c r="Z25" s="206"/>
      <c r="AA25" s="206"/>
      <c r="AB25" s="206"/>
      <c r="AC25" s="206"/>
      <c r="AD25" s="206"/>
      <c r="AE25" s="206"/>
      <c r="AF25" s="206"/>
      <c r="AG25" s="206"/>
      <c r="AH25" s="206"/>
      <c r="AI25" s="208"/>
      <c r="AJ25" s="349"/>
      <c r="AK25" s="349"/>
    </row>
    <row r="26" ht="21.9" customHeight="1" spans="1:37">
      <c r="A26" s="202"/>
      <c r="B26" s="218" t="s">
        <v>165</v>
      </c>
      <c r="C26" s="216" t="s">
        <v>173</v>
      </c>
      <c r="D26" s="217"/>
      <c r="E26" s="218" t="s">
        <v>11</v>
      </c>
      <c r="F26" s="206"/>
      <c r="G26" s="206"/>
      <c r="H26" s="206"/>
      <c r="I26" s="206"/>
      <c r="J26" s="206"/>
      <c r="K26" s="206"/>
      <c r="L26" s="206"/>
      <c r="M26" s="206"/>
      <c r="N26" s="206"/>
      <c r="O26" s="206"/>
      <c r="P26" s="206"/>
      <c r="Q26" s="214"/>
      <c r="R26" s="206"/>
      <c r="S26" s="214"/>
      <c r="T26" s="206"/>
      <c r="U26" s="206"/>
      <c r="V26" s="206"/>
      <c r="W26" s="206"/>
      <c r="X26" s="206"/>
      <c r="Y26" s="206"/>
      <c r="Z26" s="206"/>
      <c r="AA26" s="206"/>
      <c r="AB26" s="206"/>
      <c r="AC26" s="206"/>
      <c r="AD26" s="206"/>
      <c r="AE26" s="206"/>
      <c r="AF26" s="206"/>
      <c r="AG26" s="206"/>
      <c r="AH26" s="206"/>
      <c r="AI26" s="208"/>
      <c r="AJ26" s="349"/>
      <c r="AK26" s="349"/>
    </row>
    <row r="27" ht="21.9" customHeight="1" spans="1:37">
      <c r="A27" s="202"/>
      <c r="B27" s="218" t="s">
        <v>165</v>
      </c>
      <c r="C27" s="216" t="s">
        <v>2968</v>
      </c>
      <c r="D27" s="217" t="s">
        <v>2969</v>
      </c>
      <c r="E27" s="218" t="s">
        <v>795</v>
      </c>
      <c r="F27" s="206"/>
      <c r="G27" s="206"/>
      <c r="H27" s="206"/>
      <c r="I27" s="206"/>
      <c r="J27" s="206"/>
      <c r="K27" s="206"/>
      <c r="L27" s="206"/>
      <c r="M27" s="206"/>
      <c r="N27" s="206"/>
      <c r="O27" s="206"/>
      <c r="P27" s="206"/>
      <c r="Q27" s="214"/>
      <c r="R27" s="206"/>
      <c r="S27" s="214"/>
      <c r="T27" s="206"/>
      <c r="U27" s="206"/>
      <c r="V27" s="206"/>
      <c r="W27" s="206"/>
      <c r="X27" s="206"/>
      <c r="Y27" s="206"/>
      <c r="Z27" s="206"/>
      <c r="AA27" s="206"/>
      <c r="AB27" s="206"/>
      <c r="AC27" s="206"/>
      <c r="AD27" s="206"/>
      <c r="AE27" s="206"/>
      <c r="AF27" s="206"/>
      <c r="AG27" s="206"/>
      <c r="AH27" s="206"/>
      <c r="AI27" s="208"/>
      <c r="AJ27" s="349"/>
      <c r="AK27" s="349"/>
    </row>
    <row r="28" ht="21.9" customHeight="1" spans="1:37">
      <c r="A28" s="202"/>
      <c r="B28" s="218" t="s">
        <v>954</v>
      </c>
      <c r="C28" s="216" t="s">
        <v>176</v>
      </c>
      <c r="D28" s="217" t="s">
        <v>2970</v>
      </c>
      <c r="E28" s="218" t="s">
        <v>11</v>
      </c>
      <c r="F28" s="206"/>
      <c r="G28" s="206"/>
      <c r="H28" s="206"/>
      <c r="I28" s="206"/>
      <c r="J28" s="206"/>
      <c r="K28" s="206"/>
      <c r="L28" s="206"/>
      <c r="M28" s="206"/>
      <c r="N28" s="206"/>
      <c r="O28" s="206"/>
      <c r="P28" s="206"/>
      <c r="Q28" s="214"/>
      <c r="R28" s="206"/>
      <c r="S28" s="214"/>
      <c r="T28" s="206"/>
      <c r="U28" s="206"/>
      <c r="V28" s="206"/>
      <c r="W28" s="206"/>
      <c r="X28" s="206"/>
      <c r="Y28" s="206"/>
      <c r="Z28" s="206"/>
      <c r="AA28" s="206"/>
      <c r="AB28" s="206"/>
      <c r="AC28" s="206"/>
      <c r="AD28" s="206"/>
      <c r="AE28" s="206"/>
      <c r="AF28" s="206"/>
      <c r="AG28" s="206"/>
      <c r="AH28" s="206"/>
      <c r="AI28" s="208"/>
      <c r="AJ28" s="349"/>
      <c r="AK28" s="349"/>
    </row>
    <row r="29" ht="21.9" customHeight="1" spans="1:37">
      <c r="A29" s="202"/>
      <c r="B29" s="218" t="s">
        <v>954</v>
      </c>
      <c r="C29" s="216" t="s">
        <v>178</v>
      </c>
      <c r="D29" s="217"/>
      <c r="E29" s="218" t="s">
        <v>11</v>
      </c>
      <c r="F29" s="206"/>
      <c r="G29" s="206"/>
      <c r="H29" s="206"/>
      <c r="I29" s="206"/>
      <c r="J29" s="206"/>
      <c r="K29" s="206"/>
      <c r="L29" s="206"/>
      <c r="M29" s="206"/>
      <c r="N29" s="206"/>
      <c r="O29" s="206"/>
      <c r="P29" s="206"/>
      <c r="Q29" s="214"/>
      <c r="R29" s="206"/>
      <c r="S29" s="214"/>
      <c r="T29" s="206"/>
      <c r="U29" s="206"/>
      <c r="V29" s="206"/>
      <c r="W29" s="206"/>
      <c r="X29" s="206"/>
      <c r="Y29" s="206"/>
      <c r="Z29" s="206"/>
      <c r="AA29" s="206"/>
      <c r="AB29" s="206"/>
      <c r="AC29" s="206"/>
      <c r="AD29" s="206"/>
      <c r="AE29" s="206"/>
      <c r="AF29" s="206"/>
      <c r="AG29" s="206"/>
      <c r="AH29" s="206"/>
      <c r="AI29" s="208"/>
      <c r="AJ29" s="349"/>
      <c r="AK29" s="349"/>
    </row>
    <row r="30" ht="21.9" customHeight="1" spans="1:37">
      <c r="A30" s="202"/>
      <c r="B30" s="218" t="s">
        <v>954</v>
      </c>
      <c r="C30" s="216" t="s">
        <v>179</v>
      </c>
      <c r="D30" s="217"/>
      <c r="E30" s="218" t="s">
        <v>11</v>
      </c>
      <c r="F30" s="206"/>
      <c r="G30" s="206"/>
      <c r="H30" s="206"/>
      <c r="I30" s="206"/>
      <c r="J30" s="206"/>
      <c r="K30" s="206"/>
      <c r="L30" s="206"/>
      <c r="M30" s="206"/>
      <c r="N30" s="206"/>
      <c r="O30" s="206"/>
      <c r="P30" s="206"/>
      <c r="Q30" s="214"/>
      <c r="R30" s="206"/>
      <c r="S30" s="214"/>
      <c r="T30" s="206"/>
      <c r="U30" s="206"/>
      <c r="V30" s="206"/>
      <c r="W30" s="206"/>
      <c r="X30" s="206"/>
      <c r="Y30" s="206"/>
      <c r="Z30" s="206"/>
      <c r="AA30" s="206"/>
      <c r="AB30" s="206"/>
      <c r="AC30" s="206"/>
      <c r="AD30" s="206"/>
      <c r="AE30" s="206"/>
      <c r="AF30" s="206"/>
      <c r="AG30" s="206"/>
      <c r="AH30" s="206"/>
      <c r="AI30" s="208"/>
      <c r="AJ30" s="349"/>
      <c r="AK30" s="349"/>
    </row>
    <row r="31" ht="21.9" customHeight="1" spans="1:37">
      <c r="A31" s="202"/>
      <c r="B31" s="218" t="s">
        <v>954</v>
      </c>
      <c r="C31" s="216" t="s">
        <v>180</v>
      </c>
      <c r="D31" s="217"/>
      <c r="E31" s="218" t="s">
        <v>11</v>
      </c>
      <c r="F31" s="206"/>
      <c r="G31" s="206"/>
      <c r="H31" s="206"/>
      <c r="I31" s="206"/>
      <c r="J31" s="206"/>
      <c r="K31" s="206"/>
      <c r="L31" s="206"/>
      <c r="M31" s="206"/>
      <c r="N31" s="206"/>
      <c r="O31" s="206"/>
      <c r="P31" s="206"/>
      <c r="Q31" s="214"/>
      <c r="R31" s="206"/>
      <c r="S31" s="214"/>
      <c r="T31" s="206"/>
      <c r="U31" s="206"/>
      <c r="V31" s="206"/>
      <c r="W31" s="206"/>
      <c r="X31" s="206"/>
      <c r="Y31" s="206"/>
      <c r="Z31" s="206"/>
      <c r="AA31" s="206"/>
      <c r="AB31" s="206"/>
      <c r="AC31" s="206"/>
      <c r="AD31" s="206"/>
      <c r="AE31" s="206"/>
      <c r="AF31" s="206"/>
      <c r="AG31" s="206"/>
      <c r="AH31" s="206"/>
      <c r="AI31" s="208"/>
      <c r="AJ31" s="349"/>
      <c r="AK31" s="349"/>
    </row>
    <row r="32" ht="21.9" customHeight="1" spans="1:37">
      <c r="A32" s="202"/>
      <c r="B32" s="218" t="s">
        <v>954</v>
      </c>
      <c r="C32" s="216" t="s">
        <v>181</v>
      </c>
      <c r="D32" s="217" t="s">
        <v>2970</v>
      </c>
      <c r="E32" s="218" t="s">
        <v>11</v>
      </c>
      <c r="F32" s="206"/>
      <c r="G32" s="206"/>
      <c r="H32" s="206"/>
      <c r="I32" s="206"/>
      <c r="J32" s="206"/>
      <c r="K32" s="206"/>
      <c r="L32" s="206"/>
      <c r="M32" s="206"/>
      <c r="N32" s="206"/>
      <c r="O32" s="206"/>
      <c r="P32" s="206"/>
      <c r="Q32" s="214"/>
      <c r="R32" s="206"/>
      <c r="S32" s="214"/>
      <c r="T32" s="206"/>
      <c r="U32" s="206"/>
      <c r="V32" s="206"/>
      <c r="W32" s="206"/>
      <c r="X32" s="206"/>
      <c r="Y32" s="206"/>
      <c r="Z32" s="206"/>
      <c r="AA32" s="206"/>
      <c r="AB32" s="206"/>
      <c r="AC32" s="206"/>
      <c r="AD32" s="206"/>
      <c r="AE32" s="206"/>
      <c r="AF32" s="206"/>
      <c r="AG32" s="206"/>
      <c r="AH32" s="206"/>
      <c r="AI32" s="208"/>
      <c r="AJ32" s="349"/>
      <c r="AK32" s="349"/>
    </row>
    <row r="33" ht="21.9" customHeight="1" spans="1:54">
      <c r="A33" s="202"/>
      <c r="B33" s="218" t="s">
        <v>954</v>
      </c>
      <c r="C33" s="216" t="s">
        <v>172</v>
      </c>
      <c r="D33" s="217"/>
      <c r="E33" s="218" t="s">
        <v>2971</v>
      </c>
      <c r="F33" s="206"/>
      <c r="G33" s="206"/>
      <c r="H33" s="206"/>
      <c r="I33" s="206"/>
      <c r="J33" s="206"/>
      <c r="K33" s="206"/>
      <c r="L33" s="206"/>
      <c r="M33" s="206"/>
      <c r="N33" s="206"/>
      <c r="O33" s="206"/>
      <c r="P33" s="206"/>
      <c r="Q33" s="214"/>
      <c r="R33" s="206"/>
      <c r="S33" s="214"/>
      <c r="T33" s="206"/>
      <c r="U33" s="206"/>
      <c r="V33" s="206"/>
      <c r="W33" s="206"/>
      <c r="X33" s="206"/>
      <c r="Y33" s="206"/>
      <c r="Z33" s="206"/>
      <c r="AA33" s="206"/>
      <c r="AB33" s="206"/>
      <c r="AC33" s="206"/>
      <c r="AD33" s="206"/>
      <c r="AE33" s="206"/>
      <c r="AF33" s="206"/>
      <c r="AG33" s="206"/>
      <c r="AH33" s="206"/>
      <c r="AI33" s="208"/>
      <c r="AJ33" s="349"/>
      <c r="AK33" s="349"/>
    </row>
    <row r="34" ht="21.9" customHeight="1" spans="1:54">
      <c r="A34" s="202"/>
      <c r="B34" s="218" t="s">
        <v>954</v>
      </c>
      <c r="C34" s="216" t="s">
        <v>182</v>
      </c>
      <c r="D34" s="217"/>
      <c r="E34" s="218" t="s">
        <v>2971</v>
      </c>
      <c r="F34" s="206"/>
      <c r="G34" s="206"/>
      <c r="H34" s="206"/>
      <c r="I34" s="206"/>
      <c r="J34" s="206"/>
      <c r="K34" s="206"/>
      <c r="L34" s="206"/>
      <c r="M34" s="206"/>
      <c r="N34" s="206"/>
      <c r="O34" s="206"/>
      <c r="P34" s="206"/>
      <c r="Q34" s="214"/>
      <c r="R34" s="206"/>
      <c r="S34" s="214"/>
      <c r="T34" s="206"/>
      <c r="U34" s="206"/>
      <c r="V34" s="206"/>
      <c r="W34" s="206"/>
      <c r="X34" s="206"/>
      <c r="Y34" s="206"/>
      <c r="Z34" s="206"/>
      <c r="AA34" s="206"/>
      <c r="AB34" s="206"/>
      <c r="AC34" s="206"/>
      <c r="AD34" s="206"/>
      <c r="AE34" s="206"/>
      <c r="AF34" s="206"/>
      <c r="AG34" s="206"/>
      <c r="AH34" s="206"/>
      <c r="AI34" s="208"/>
      <c r="AJ34" s="349"/>
      <c r="AK34" s="349"/>
    </row>
    <row r="35" ht="21.9" customHeight="1" spans="1:54">
      <c r="A35" s="202"/>
      <c r="B35" s="218" t="s">
        <v>954</v>
      </c>
      <c r="C35" s="216" t="s">
        <v>183</v>
      </c>
      <c r="D35" s="217"/>
      <c r="E35" s="218" t="s">
        <v>11</v>
      </c>
      <c r="F35" s="206"/>
      <c r="G35" s="206"/>
      <c r="H35" s="206"/>
      <c r="I35" s="206"/>
      <c r="J35" s="206"/>
      <c r="K35" s="206"/>
      <c r="L35" s="206"/>
      <c r="M35" s="206"/>
      <c r="N35" s="206"/>
      <c r="O35" s="206"/>
      <c r="P35" s="206"/>
      <c r="Q35" s="214"/>
      <c r="R35" s="206"/>
      <c r="S35" s="214"/>
      <c r="T35" s="206"/>
      <c r="U35" s="206"/>
      <c r="V35" s="206"/>
      <c r="W35" s="206"/>
      <c r="X35" s="206"/>
      <c r="Y35" s="206"/>
      <c r="Z35" s="206"/>
      <c r="AA35" s="206"/>
      <c r="AB35" s="206"/>
      <c r="AC35" s="206"/>
      <c r="AD35" s="206"/>
      <c r="AE35" s="206"/>
      <c r="AF35" s="206"/>
      <c r="AG35" s="206"/>
      <c r="AH35" s="206"/>
      <c r="AI35" s="208"/>
      <c r="AJ35" s="349"/>
      <c r="AK35" s="349"/>
    </row>
    <row r="36" ht="21.9" customHeight="1" spans="1:54">
      <c r="A36" s="202"/>
      <c r="B36" s="218" t="s">
        <v>954</v>
      </c>
      <c r="C36" s="216" t="s">
        <v>177</v>
      </c>
      <c r="D36" s="217" t="s">
        <v>2972</v>
      </c>
      <c r="E36" s="218" t="s">
        <v>11</v>
      </c>
      <c r="F36" s="206"/>
      <c r="G36" s="206"/>
      <c r="H36" s="206"/>
      <c r="I36" s="206"/>
      <c r="J36" s="206"/>
      <c r="K36" s="206"/>
      <c r="L36" s="206"/>
      <c r="M36" s="206"/>
      <c r="N36" s="206"/>
      <c r="O36" s="206"/>
      <c r="P36" s="206"/>
      <c r="Q36" s="214"/>
      <c r="R36" s="206"/>
      <c r="S36" s="214"/>
      <c r="T36" s="206"/>
      <c r="U36" s="206"/>
      <c r="V36" s="206"/>
      <c r="W36" s="206"/>
      <c r="X36" s="206"/>
      <c r="Y36" s="206"/>
      <c r="Z36" s="206"/>
      <c r="AA36" s="206"/>
      <c r="AB36" s="206"/>
      <c r="AC36" s="206"/>
      <c r="AD36" s="206"/>
      <c r="AE36" s="206"/>
      <c r="AF36" s="206"/>
      <c r="AG36" s="206"/>
      <c r="AH36" s="206"/>
      <c r="AI36" s="208"/>
      <c r="AJ36" s="349"/>
      <c r="AK36" s="349"/>
    </row>
    <row r="37" ht="21.9" customHeight="1" spans="1:54">
      <c r="A37" s="202"/>
      <c r="B37" s="218" t="s">
        <v>954</v>
      </c>
      <c r="C37" s="216" t="s">
        <v>184</v>
      </c>
      <c r="D37" s="217"/>
      <c r="E37" s="218" t="s">
        <v>11</v>
      </c>
      <c r="F37" s="206"/>
      <c r="G37" s="206"/>
      <c r="H37" s="206"/>
      <c r="I37" s="206"/>
      <c r="J37" s="206"/>
      <c r="K37" s="206"/>
      <c r="L37" s="206"/>
      <c r="M37" s="206"/>
      <c r="N37" s="206"/>
      <c r="O37" s="206"/>
      <c r="P37" s="206"/>
      <c r="Q37" s="214"/>
      <c r="R37" s="206"/>
      <c r="S37" s="214"/>
      <c r="T37" s="206"/>
      <c r="U37" s="206"/>
      <c r="V37" s="206"/>
      <c r="W37" s="206"/>
      <c r="X37" s="206"/>
      <c r="Y37" s="206"/>
      <c r="Z37" s="206"/>
      <c r="AA37" s="206"/>
      <c r="AB37" s="206"/>
      <c r="AC37" s="206"/>
      <c r="AD37" s="206"/>
      <c r="AE37" s="206"/>
      <c r="AF37" s="206"/>
      <c r="AG37" s="206"/>
      <c r="AH37" s="206"/>
      <c r="AI37" s="208"/>
      <c r="AJ37" s="349"/>
      <c r="AK37" s="349"/>
    </row>
    <row r="38" ht="21.9" customHeight="1" spans="1:54">
      <c r="A38" s="202"/>
      <c r="B38" s="218" t="s">
        <v>954</v>
      </c>
      <c r="C38" s="216" t="s">
        <v>402</v>
      </c>
      <c r="D38" s="217" t="s">
        <v>2973</v>
      </c>
      <c r="E38" s="218" t="s">
        <v>2974</v>
      </c>
      <c r="F38" s="206"/>
      <c r="G38" s="206"/>
      <c r="H38" s="206"/>
      <c r="I38" s="206"/>
      <c r="J38" s="206"/>
      <c r="K38" s="206"/>
      <c r="L38" s="206"/>
      <c r="M38" s="206"/>
      <c r="N38" s="206"/>
      <c r="O38" s="206"/>
      <c r="P38" s="206"/>
      <c r="Q38" s="214"/>
      <c r="R38" s="206"/>
      <c r="S38" s="214"/>
      <c r="T38" s="206"/>
      <c r="U38" s="206"/>
      <c r="V38" s="206"/>
      <c r="W38" s="206"/>
      <c r="X38" s="206"/>
      <c r="Y38" s="206"/>
      <c r="Z38" s="206"/>
      <c r="AA38" s="206"/>
      <c r="AB38" s="206"/>
      <c r="AC38" s="206"/>
      <c r="AD38" s="206"/>
      <c r="AE38" s="206"/>
      <c r="AF38" s="206"/>
      <c r="AG38" s="206"/>
      <c r="AH38" s="206"/>
      <c r="AI38" s="208"/>
      <c r="AJ38" s="349"/>
      <c r="AK38" s="349"/>
    </row>
    <row r="39" ht="21.9" customHeight="1" spans="1:54">
      <c r="A39" s="202"/>
      <c r="B39" s="218" t="s">
        <v>954</v>
      </c>
      <c r="C39" s="216" t="s">
        <v>404</v>
      </c>
      <c r="D39" s="217"/>
      <c r="E39" s="218" t="s">
        <v>781</v>
      </c>
      <c r="F39" s="206"/>
      <c r="G39" s="206"/>
      <c r="H39" s="206"/>
      <c r="I39" s="206"/>
      <c r="J39" s="206"/>
      <c r="K39" s="206"/>
      <c r="L39" s="206"/>
      <c r="M39" s="206"/>
      <c r="N39" s="206"/>
      <c r="O39" s="206"/>
      <c r="P39" s="206"/>
      <c r="Q39" s="214"/>
      <c r="R39" s="206"/>
      <c r="S39" s="214"/>
      <c r="T39" s="206"/>
      <c r="U39" s="206"/>
      <c r="V39" s="206"/>
      <c r="W39" s="206"/>
      <c r="X39" s="206"/>
      <c r="Y39" s="206"/>
      <c r="Z39" s="206"/>
      <c r="AA39" s="206"/>
      <c r="AB39" s="206"/>
      <c r="AC39" s="206"/>
      <c r="AD39" s="206"/>
      <c r="AE39" s="206"/>
      <c r="AF39" s="206"/>
      <c r="AG39" s="206"/>
      <c r="AH39" s="206"/>
      <c r="AI39" s="208"/>
      <c r="AJ39" s="349"/>
      <c r="AK39" s="349"/>
    </row>
    <row r="40" ht="21.9" customHeight="1" spans="1:54">
      <c r="A40" s="202"/>
      <c r="B40" s="218" t="s">
        <v>954</v>
      </c>
      <c r="C40" s="216" t="s">
        <v>403</v>
      </c>
      <c r="D40" s="217"/>
      <c r="E40" s="218" t="s">
        <v>781</v>
      </c>
      <c r="F40" s="206"/>
      <c r="G40" s="206"/>
      <c r="H40" s="206"/>
      <c r="I40" s="206"/>
      <c r="J40" s="206"/>
      <c r="K40" s="206"/>
      <c r="L40" s="206"/>
      <c r="M40" s="206"/>
      <c r="N40" s="206"/>
      <c r="O40" s="206"/>
      <c r="P40" s="206"/>
      <c r="Q40" s="214"/>
      <c r="R40" s="206"/>
      <c r="S40" s="214"/>
      <c r="T40" s="206"/>
      <c r="U40" s="206"/>
      <c r="V40" s="206"/>
      <c r="W40" s="206"/>
      <c r="X40" s="206"/>
      <c r="Y40" s="206"/>
      <c r="Z40" s="206"/>
      <c r="AA40" s="206"/>
      <c r="AB40" s="206"/>
      <c r="AC40" s="206"/>
      <c r="AD40" s="206"/>
      <c r="AE40" s="206"/>
      <c r="AF40" s="206"/>
      <c r="AG40" s="206"/>
      <c r="AH40" s="206"/>
      <c r="AI40" s="208"/>
      <c r="AJ40" s="349"/>
      <c r="AK40" s="349"/>
    </row>
    <row r="41" ht="21.9" customHeight="1" spans="1:54">
      <c r="A41" s="202"/>
      <c r="B41" s="218" t="s">
        <v>954</v>
      </c>
      <c r="C41" s="216" t="s">
        <v>405</v>
      </c>
      <c r="D41" s="217"/>
      <c r="E41" s="218" t="s">
        <v>781</v>
      </c>
      <c r="F41" s="206"/>
      <c r="G41" s="206"/>
      <c r="H41" s="206"/>
      <c r="I41" s="206"/>
      <c r="J41" s="206"/>
      <c r="K41" s="206"/>
      <c r="L41" s="206"/>
      <c r="M41" s="206"/>
      <c r="N41" s="206"/>
      <c r="O41" s="206"/>
      <c r="P41" s="206"/>
      <c r="Q41" s="214"/>
      <c r="R41" s="206"/>
      <c r="S41" s="214"/>
      <c r="T41" s="206"/>
      <c r="U41" s="206"/>
      <c r="V41" s="206"/>
      <c r="W41" s="206"/>
      <c r="X41" s="206"/>
      <c r="Y41" s="206"/>
      <c r="Z41" s="206"/>
      <c r="AA41" s="206"/>
      <c r="AB41" s="206"/>
      <c r="AC41" s="206"/>
      <c r="AD41" s="206"/>
      <c r="AE41" s="206"/>
      <c r="AF41" s="206"/>
      <c r="AG41" s="206"/>
      <c r="AH41" s="206"/>
      <c r="AI41" s="208"/>
      <c r="AJ41" s="349"/>
      <c r="AK41" s="349"/>
    </row>
    <row r="42" ht="21.9" customHeight="1" spans="1:54">
      <c r="A42" s="202"/>
      <c r="B42" s="218" t="s">
        <v>954</v>
      </c>
      <c r="C42" s="216" t="s">
        <v>400</v>
      </c>
      <c r="D42" s="217"/>
      <c r="E42" s="218" t="s">
        <v>781</v>
      </c>
      <c r="F42" s="206"/>
      <c r="G42" s="206"/>
      <c r="H42" s="206"/>
      <c r="I42" s="206"/>
      <c r="J42" s="206"/>
      <c r="K42" s="206"/>
      <c r="L42" s="206"/>
      <c r="M42" s="206"/>
      <c r="N42" s="206"/>
      <c r="O42" s="206"/>
      <c r="P42" s="206"/>
      <c r="Q42" s="214"/>
      <c r="R42" s="206"/>
      <c r="S42" s="214"/>
      <c r="T42" s="206"/>
      <c r="U42" s="206"/>
      <c r="V42" s="206"/>
      <c r="W42" s="206"/>
      <c r="X42" s="206"/>
      <c r="Y42" s="206"/>
      <c r="Z42" s="206"/>
      <c r="AA42" s="206"/>
      <c r="AB42" s="206"/>
      <c r="AC42" s="206"/>
      <c r="AD42" s="206"/>
      <c r="AE42" s="206"/>
      <c r="AF42" s="206"/>
      <c r="AG42" s="206"/>
      <c r="AH42" s="206"/>
      <c r="AI42" s="208"/>
      <c r="AJ42" s="349"/>
      <c r="AK42" s="349"/>
    </row>
    <row r="43" ht="21.9" customHeight="1" spans="1:54">
      <c r="A43" s="202"/>
      <c r="B43" s="218" t="s">
        <v>207</v>
      </c>
      <c r="C43" s="216" t="s">
        <v>1155</v>
      </c>
      <c r="D43" s="217"/>
      <c r="E43" s="218" t="s">
        <v>1122</v>
      </c>
      <c r="F43" s="206"/>
      <c r="G43" s="206"/>
      <c r="H43" s="206"/>
      <c r="I43" s="206"/>
      <c r="J43" s="206"/>
      <c r="K43" s="206"/>
      <c r="L43" s="206"/>
      <c r="M43" s="206"/>
      <c r="N43" s="206"/>
      <c r="O43" s="206"/>
      <c r="P43" s="206"/>
      <c r="Q43" s="214"/>
      <c r="R43" s="206"/>
      <c r="S43" s="214"/>
      <c r="T43" s="206"/>
      <c r="U43" s="206"/>
      <c r="V43" s="206"/>
      <c r="W43" s="206"/>
      <c r="X43" s="206"/>
      <c r="Y43" s="206"/>
      <c r="Z43" s="206"/>
      <c r="AA43" s="206"/>
      <c r="AB43" s="206"/>
      <c r="AC43" s="206"/>
      <c r="AD43" s="206"/>
      <c r="AE43" s="206"/>
      <c r="AF43" s="206"/>
      <c r="AG43" s="206"/>
      <c r="AH43" s="206"/>
      <c r="AI43" s="208"/>
      <c r="AJ43" s="349"/>
      <c r="AK43" s="349"/>
    </row>
    <row r="44" ht="21.9" customHeight="1" spans="1:54">
      <c r="A44" s="202"/>
      <c r="B44" s="218" t="s">
        <v>1102</v>
      </c>
      <c r="C44" s="216" t="s">
        <v>1103</v>
      </c>
      <c r="D44" s="217" t="s">
        <v>2975</v>
      </c>
      <c r="E44" s="216" t="s">
        <v>2976</v>
      </c>
      <c r="F44" s="206"/>
      <c r="G44" s="206"/>
      <c r="H44" s="206"/>
      <c r="I44" s="206"/>
      <c r="J44" s="206"/>
      <c r="K44" s="206"/>
      <c r="L44" s="206"/>
      <c r="M44" s="206"/>
      <c r="N44" s="206"/>
      <c r="O44" s="206"/>
      <c r="P44" s="206"/>
      <c r="Q44" s="214"/>
      <c r="R44" s="206"/>
      <c r="S44" s="214"/>
      <c r="T44" s="206"/>
      <c r="U44" s="206"/>
      <c r="V44" s="206"/>
      <c r="W44" s="206"/>
      <c r="X44" s="206"/>
      <c r="Y44" s="206"/>
      <c r="Z44" s="206"/>
      <c r="AA44" s="206"/>
      <c r="AB44" s="206"/>
      <c r="AC44" s="206"/>
      <c r="AD44" s="206"/>
      <c r="AE44" s="206"/>
      <c r="AF44" s="206"/>
      <c r="AG44" s="206"/>
      <c r="AH44" s="206"/>
      <c r="AI44" s="208"/>
      <c r="AJ44" s="349"/>
      <c r="AK44" s="349"/>
      <c r="AL44" s="338"/>
      <c r="AM44" s="338"/>
      <c r="AN44" s="338"/>
      <c r="AO44" s="338"/>
      <c r="AP44" s="338"/>
      <c r="AQ44" s="338"/>
      <c r="AR44" s="338"/>
    </row>
    <row r="45" ht="21.9" customHeight="1" spans="1:54">
      <c r="A45" s="202"/>
      <c r="B45" s="218" t="s">
        <v>1102</v>
      </c>
      <c r="C45" s="216" t="s">
        <v>1112</v>
      </c>
      <c r="D45" s="217"/>
      <c r="E45" s="218" t="s">
        <v>36</v>
      </c>
      <c r="F45" s="206"/>
      <c r="G45" s="206"/>
      <c r="H45" s="206"/>
      <c r="I45" s="206"/>
      <c r="J45" s="206"/>
      <c r="K45" s="206"/>
      <c r="L45" s="206"/>
      <c r="M45" s="206"/>
      <c r="N45" s="206"/>
      <c r="O45" s="206"/>
      <c r="P45" s="206"/>
      <c r="Q45" s="214"/>
      <c r="R45" s="206"/>
      <c r="S45" s="214"/>
      <c r="T45" s="206"/>
      <c r="U45" s="206"/>
      <c r="V45" s="206"/>
      <c r="W45" s="206"/>
      <c r="X45" s="206"/>
      <c r="Y45" s="206"/>
      <c r="Z45" s="206"/>
      <c r="AA45" s="206"/>
      <c r="AB45" s="206"/>
      <c r="AC45" s="206"/>
      <c r="AD45" s="206"/>
      <c r="AE45" s="206"/>
      <c r="AF45" s="206"/>
      <c r="AG45" s="206"/>
      <c r="AH45" s="206"/>
      <c r="AI45" s="208"/>
      <c r="AJ45" s="349"/>
      <c r="AK45" s="349"/>
      <c r="AL45" s="338"/>
      <c r="AM45" s="338"/>
      <c r="AN45" s="338"/>
      <c r="AO45" s="338"/>
      <c r="AP45" s="338"/>
      <c r="AQ45" s="338"/>
      <c r="AR45" s="338"/>
    </row>
    <row r="46" ht="21.9" customHeight="1" spans="1:54">
      <c r="A46" s="202"/>
      <c r="B46" s="218" t="s">
        <v>1102</v>
      </c>
      <c r="C46" s="216" t="s">
        <v>1110</v>
      </c>
      <c r="D46" s="217"/>
      <c r="E46" s="218" t="s">
        <v>2977</v>
      </c>
      <c r="F46" s="206"/>
      <c r="G46" s="206"/>
      <c r="H46" s="206"/>
      <c r="I46" s="206"/>
      <c r="J46" s="206"/>
      <c r="K46" s="206"/>
      <c r="L46" s="206"/>
      <c r="M46" s="206"/>
      <c r="N46" s="206"/>
      <c r="O46" s="206"/>
      <c r="P46" s="206"/>
      <c r="Q46" s="214"/>
      <c r="R46" s="206"/>
      <c r="S46" s="214"/>
      <c r="T46" s="206"/>
      <c r="U46" s="206"/>
      <c r="V46" s="206"/>
      <c r="W46" s="206"/>
      <c r="X46" s="206"/>
      <c r="Y46" s="206"/>
      <c r="Z46" s="206"/>
      <c r="AA46" s="206"/>
      <c r="AB46" s="206"/>
      <c r="AC46" s="206"/>
      <c r="AD46" s="206"/>
      <c r="AE46" s="206"/>
      <c r="AF46" s="206"/>
      <c r="AG46" s="206"/>
      <c r="AH46" s="206"/>
      <c r="AI46" s="208"/>
      <c r="AJ46" s="349"/>
      <c r="AK46" s="349"/>
      <c r="AL46" s="338"/>
      <c r="AM46" s="338"/>
      <c r="AN46" s="338"/>
      <c r="AO46" s="338"/>
      <c r="AP46" s="338"/>
      <c r="AQ46" s="338"/>
      <c r="AR46" s="338"/>
      <c r="AS46" s="338"/>
      <c r="AT46" s="338"/>
      <c r="AU46" s="338"/>
      <c r="AV46" s="338"/>
      <c r="AW46" s="338"/>
      <c r="AX46" s="338"/>
      <c r="AY46" s="338"/>
      <c r="AZ46" s="338"/>
      <c r="BA46" s="338"/>
      <c r="BB46" s="338"/>
    </row>
    <row r="47" ht="21.9" customHeight="1" spans="1:54">
      <c r="A47" s="202"/>
      <c r="B47" s="218" t="s">
        <v>1102</v>
      </c>
      <c r="C47" s="216" t="s">
        <v>1123</v>
      </c>
      <c r="D47" s="217"/>
      <c r="E47" s="218" t="s">
        <v>2978</v>
      </c>
      <c r="F47" s="206"/>
      <c r="G47" s="206"/>
      <c r="H47" s="206"/>
      <c r="I47" s="206"/>
      <c r="J47" s="206"/>
      <c r="K47" s="206"/>
      <c r="L47" s="206"/>
      <c r="M47" s="206"/>
      <c r="N47" s="206"/>
      <c r="O47" s="206"/>
      <c r="P47" s="206"/>
      <c r="Q47" s="214"/>
      <c r="R47" s="206"/>
      <c r="S47" s="214"/>
      <c r="T47" s="206"/>
      <c r="U47" s="206"/>
      <c r="V47" s="206"/>
      <c r="W47" s="206"/>
      <c r="X47" s="206"/>
      <c r="Y47" s="206"/>
      <c r="Z47" s="206"/>
      <c r="AA47" s="206"/>
      <c r="AB47" s="206"/>
      <c r="AC47" s="206"/>
      <c r="AD47" s="206"/>
      <c r="AE47" s="206"/>
      <c r="AF47" s="206"/>
      <c r="AG47" s="206"/>
      <c r="AH47" s="206"/>
      <c r="AI47" s="208"/>
      <c r="AJ47" s="349"/>
      <c r="AK47" s="349"/>
    </row>
    <row r="48" ht="21.9" customHeight="1" spans="1:54">
      <c r="A48" s="202"/>
      <c r="B48" s="358" t="s">
        <v>1102</v>
      </c>
      <c r="C48" s="216" t="s">
        <v>1128</v>
      </c>
      <c r="D48" s="205"/>
      <c r="E48" s="254" t="s">
        <v>1129</v>
      </c>
      <c r="F48" s="206"/>
      <c r="G48" s="206"/>
      <c r="H48" s="235"/>
      <c r="I48" s="235"/>
      <c r="J48" s="206"/>
      <c r="K48" s="236"/>
      <c r="L48" s="236"/>
      <c r="M48" s="236"/>
      <c r="N48" s="236"/>
      <c r="O48" s="236"/>
      <c r="P48" s="206"/>
      <c r="Q48" s="214"/>
      <c r="R48" s="236"/>
      <c r="S48" s="214"/>
      <c r="T48" s="206"/>
      <c r="U48" s="206"/>
      <c r="V48" s="206"/>
      <c r="W48" s="206"/>
      <c r="X48" s="206"/>
      <c r="Y48" s="206"/>
      <c r="Z48" s="206"/>
      <c r="AA48" s="206"/>
      <c r="AB48" s="206"/>
      <c r="AC48" s="206"/>
      <c r="AD48" s="206"/>
      <c r="AE48" s="206"/>
      <c r="AF48" s="206"/>
      <c r="AG48" s="206"/>
      <c r="AH48" s="206"/>
      <c r="AI48" s="359"/>
      <c r="AJ48" s="349"/>
      <c r="AK48" s="349"/>
      <c r="AL48" s="360"/>
      <c r="AM48" s="360"/>
      <c r="AN48" s="360"/>
      <c r="AO48" s="360"/>
      <c r="AP48" s="360"/>
      <c r="AQ48" s="360"/>
      <c r="AR48" s="360"/>
      <c r="AS48" s="360"/>
      <c r="AT48" s="360"/>
      <c r="AU48" s="360"/>
      <c r="AV48" s="360"/>
      <c r="AW48" s="360"/>
      <c r="AX48" s="360"/>
      <c r="AY48" s="360"/>
      <c r="AZ48" s="360"/>
      <c r="BA48" s="360"/>
      <c r="BB48" s="360"/>
    </row>
    <row r="49" ht="23.1" customHeight="1" spans="1:54">
      <c r="A49" s="202"/>
      <c r="B49" s="216" t="s">
        <v>2979</v>
      </c>
      <c r="C49" s="216" t="s">
        <v>1058</v>
      </c>
      <c r="D49" s="217"/>
      <c r="E49" s="216" t="s">
        <v>1059</v>
      </c>
      <c r="F49" s="206"/>
      <c r="G49" s="206"/>
      <c r="H49" s="206"/>
      <c r="I49" s="206"/>
      <c r="J49" s="206"/>
      <c r="K49" s="206"/>
      <c r="L49" s="206"/>
      <c r="M49" s="206"/>
      <c r="N49" s="206"/>
      <c r="O49" s="206"/>
      <c r="P49" s="206"/>
      <c r="Q49" s="214"/>
      <c r="R49" s="206"/>
      <c r="S49" s="214"/>
      <c r="T49" s="206"/>
      <c r="U49" s="206"/>
      <c r="V49" s="206"/>
      <c r="W49" s="206"/>
      <c r="X49" s="206"/>
      <c r="Y49" s="206"/>
      <c r="Z49" s="206"/>
      <c r="AA49" s="206"/>
      <c r="AB49" s="206"/>
      <c r="AC49" s="206"/>
      <c r="AD49" s="206"/>
      <c r="AE49" s="206"/>
      <c r="AF49" s="206"/>
      <c r="AG49" s="206"/>
      <c r="AH49" s="206"/>
      <c r="AI49" s="230"/>
      <c r="AJ49" s="349"/>
      <c r="AK49" s="349"/>
    </row>
    <row r="50" ht="23.1" customHeight="1" spans="1:54">
      <c r="A50" s="202"/>
      <c r="B50" s="216" t="s">
        <v>2979</v>
      </c>
      <c r="C50" s="216" t="s">
        <v>1061</v>
      </c>
      <c r="D50" s="217"/>
      <c r="E50" s="216" t="s">
        <v>2980</v>
      </c>
      <c r="F50" s="206"/>
      <c r="G50" s="206"/>
      <c r="H50" s="206"/>
      <c r="I50" s="206"/>
      <c r="J50" s="206"/>
      <c r="K50" s="206"/>
      <c r="L50" s="206"/>
      <c r="M50" s="206"/>
      <c r="N50" s="206"/>
      <c r="O50" s="206"/>
      <c r="P50" s="206"/>
      <c r="Q50" s="214"/>
      <c r="R50" s="206"/>
      <c r="S50" s="214"/>
      <c r="T50" s="206"/>
      <c r="U50" s="206"/>
      <c r="V50" s="206"/>
      <c r="W50" s="206"/>
      <c r="X50" s="206"/>
      <c r="Y50" s="206"/>
      <c r="Z50" s="206"/>
      <c r="AA50" s="206"/>
      <c r="AB50" s="206"/>
      <c r="AC50" s="206"/>
      <c r="AD50" s="206"/>
      <c r="AE50" s="206"/>
      <c r="AF50" s="206"/>
      <c r="AG50" s="206"/>
      <c r="AH50" s="206"/>
      <c r="AI50" s="230"/>
      <c r="AJ50" s="349"/>
      <c r="AK50" s="349"/>
    </row>
    <row r="51" ht="21.9" customHeight="1" spans="1:54">
      <c r="A51" s="202"/>
      <c r="B51" s="218" t="s">
        <v>2979</v>
      </c>
      <c r="C51" s="216" t="s">
        <v>1070</v>
      </c>
      <c r="D51" s="217"/>
      <c r="E51" s="218" t="s">
        <v>2981</v>
      </c>
      <c r="F51" s="206"/>
      <c r="G51" s="206"/>
      <c r="H51" s="206"/>
      <c r="I51" s="206"/>
      <c r="J51" s="206"/>
      <c r="K51" s="206"/>
      <c r="L51" s="206"/>
      <c r="M51" s="206"/>
      <c r="N51" s="206"/>
      <c r="O51" s="206"/>
      <c r="P51" s="206"/>
      <c r="Q51" s="214"/>
      <c r="R51" s="206"/>
      <c r="S51" s="214"/>
      <c r="T51" s="206"/>
      <c r="U51" s="206"/>
      <c r="V51" s="206"/>
      <c r="W51" s="206"/>
      <c r="X51" s="206"/>
      <c r="Y51" s="206"/>
      <c r="Z51" s="206"/>
      <c r="AA51" s="206"/>
      <c r="AB51" s="206"/>
      <c r="AC51" s="206"/>
      <c r="AD51" s="206"/>
      <c r="AE51" s="206"/>
      <c r="AF51" s="206"/>
      <c r="AG51" s="206"/>
      <c r="AH51" s="206"/>
      <c r="AI51" s="230"/>
      <c r="AJ51" s="333"/>
      <c r="AK51" s="333"/>
    </row>
    <row r="52" ht="21.9" customHeight="1" spans="1:54">
      <c r="A52" s="202"/>
      <c r="B52" s="218" t="s">
        <v>2979</v>
      </c>
      <c r="C52" s="216" t="s">
        <v>1072</v>
      </c>
      <c r="D52" s="217" t="s">
        <v>2982</v>
      </c>
      <c r="E52" s="218" t="s">
        <v>2981</v>
      </c>
      <c r="F52" s="206"/>
      <c r="G52" s="206"/>
      <c r="H52" s="206"/>
      <c r="I52" s="206"/>
      <c r="J52" s="206"/>
      <c r="K52" s="206"/>
      <c r="L52" s="206"/>
      <c r="M52" s="206"/>
      <c r="N52" s="206"/>
      <c r="O52" s="206"/>
      <c r="P52" s="206"/>
      <c r="Q52" s="214"/>
      <c r="R52" s="206"/>
      <c r="S52" s="214"/>
      <c r="T52" s="206"/>
      <c r="U52" s="206"/>
      <c r="V52" s="206"/>
      <c r="W52" s="206"/>
      <c r="X52" s="206"/>
      <c r="Y52" s="206"/>
      <c r="Z52" s="206"/>
      <c r="AA52" s="206"/>
      <c r="AB52" s="206"/>
      <c r="AC52" s="206"/>
      <c r="AD52" s="206"/>
      <c r="AE52" s="206"/>
      <c r="AF52" s="206"/>
      <c r="AG52" s="206"/>
      <c r="AH52" s="206"/>
      <c r="AI52" s="230"/>
      <c r="AJ52" s="349"/>
      <c r="AK52" s="349"/>
    </row>
    <row r="53" ht="21.9" customHeight="1" spans="1:54">
      <c r="A53" s="202"/>
      <c r="B53" s="218" t="s">
        <v>2979</v>
      </c>
      <c r="C53" s="216" t="s">
        <v>1065</v>
      </c>
      <c r="D53" s="217"/>
      <c r="E53" s="218" t="s">
        <v>749</v>
      </c>
      <c r="F53" s="206"/>
      <c r="G53" s="206"/>
      <c r="H53" s="206"/>
      <c r="I53" s="206"/>
      <c r="J53" s="206"/>
      <c r="K53" s="206"/>
      <c r="L53" s="206"/>
      <c r="M53" s="206"/>
      <c r="N53" s="206"/>
      <c r="O53" s="206"/>
      <c r="P53" s="206"/>
      <c r="Q53" s="214"/>
      <c r="R53" s="206"/>
      <c r="S53" s="214"/>
      <c r="T53" s="206"/>
      <c r="U53" s="206"/>
      <c r="V53" s="206"/>
      <c r="W53" s="206"/>
      <c r="X53" s="206"/>
      <c r="Y53" s="206"/>
      <c r="Z53" s="206"/>
      <c r="AA53" s="206"/>
      <c r="AB53" s="206"/>
      <c r="AC53" s="206"/>
      <c r="AD53" s="206"/>
      <c r="AE53" s="206"/>
      <c r="AF53" s="206"/>
      <c r="AG53" s="206"/>
      <c r="AH53" s="206"/>
      <c r="AI53" s="230"/>
      <c r="AJ53" s="349"/>
      <c r="AK53" s="349"/>
    </row>
    <row r="54" ht="21.9" customHeight="1" spans="1:54">
      <c r="A54" s="202"/>
      <c r="B54" s="218" t="s">
        <v>1084</v>
      </c>
      <c r="C54" s="216" t="s">
        <v>839</v>
      </c>
      <c r="D54" s="217" t="s">
        <v>2983</v>
      </c>
      <c r="E54" s="218" t="s">
        <v>2984</v>
      </c>
      <c r="F54" s="206"/>
      <c r="G54" s="206"/>
      <c r="H54" s="206"/>
      <c r="I54" s="206"/>
      <c r="J54" s="206"/>
      <c r="K54" s="206"/>
      <c r="L54" s="206"/>
      <c r="M54" s="206"/>
      <c r="N54" s="206"/>
      <c r="O54" s="206"/>
      <c r="P54" s="206"/>
      <c r="Q54" s="214"/>
      <c r="R54" s="206"/>
      <c r="S54" s="214"/>
      <c r="T54" s="206"/>
      <c r="U54" s="206"/>
      <c r="V54" s="206"/>
      <c r="W54" s="206"/>
      <c r="X54" s="206"/>
      <c r="Y54" s="206"/>
      <c r="Z54" s="206"/>
      <c r="AA54" s="206"/>
      <c r="AB54" s="206"/>
      <c r="AC54" s="206"/>
      <c r="AD54" s="206"/>
      <c r="AE54" s="206"/>
      <c r="AF54" s="206"/>
      <c r="AG54" s="206"/>
      <c r="AH54" s="206"/>
      <c r="AI54" s="208"/>
      <c r="AJ54" s="333"/>
      <c r="AK54" s="333"/>
      <c r="AL54" s="338"/>
      <c r="AM54" s="338"/>
      <c r="AN54" s="338"/>
      <c r="AO54" s="338"/>
      <c r="AP54" s="338"/>
      <c r="AQ54" s="338"/>
      <c r="AR54" s="338"/>
    </row>
    <row r="55" ht="21.9" customHeight="1" spans="1:54">
      <c r="A55" s="202"/>
      <c r="B55" s="218" t="s">
        <v>1084</v>
      </c>
      <c r="C55" s="216" t="s">
        <v>1091</v>
      </c>
      <c r="D55" s="217"/>
      <c r="E55" s="218" t="s">
        <v>1087</v>
      </c>
      <c r="F55" s="206"/>
      <c r="G55" s="206"/>
      <c r="H55" s="206"/>
      <c r="I55" s="206"/>
      <c r="J55" s="206"/>
      <c r="K55" s="206"/>
      <c r="L55" s="206"/>
      <c r="M55" s="206"/>
      <c r="N55" s="206"/>
      <c r="O55" s="206"/>
      <c r="P55" s="206"/>
      <c r="Q55" s="214"/>
      <c r="R55" s="206"/>
      <c r="S55" s="214"/>
      <c r="T55" s="206"/>
      <c r="U55" s="206"/>
      <c r="V55" s="206"/>
      <c r="W55" s="206"/>
      <c r="X55" s="206"/>
      <c r="Y55" s="206"/>
      <c r="Z55" s="206"/>
      <c r="AA55" s="206"/>
      <c r="AB55" s="206"/>
      <c r="AC55" s="206"/>
      <c r="AD55" s="206"/>
      <c r="AE55" s="206"/>
      <c r="AF55" s="206"/>
      <c r="AG55" s="206"/>
      <c r="AH55" s="206"/>
      <c r="AI55" s="208"/>
      <c r="AJ55" s="333"/>
      <c r="AK55" s="333"/>
    </row>
    <row r="56" ht="21.9" customHeight="1" spans="1:54">
      <c r="A56" s="202"/>
      <c r="B56" s="218" t="s">
        <v>1084</v>
      </c>
      <c r="C56" s="216" t="s">
        <v>2985</v>
      </c>
      <c r="D56" s="217"/>
      <c r="E56" s="216" t="s">
        <v>2986</v>
      </c>
      <c r="F56" s="206"/>
      <c r="G56" s="206"/>
      <c r="H56" s="206"/>
      <c r="I56" s="206"/>
      <c r="J56" s="206"/>
      <c r="K56" s="206"/>
      <c r="L56" s="206"/>
      <c r="M56" s="206"/>
      <c r="N56" s="206"/>
      <c r="O56" s="206"/>
      <c r="P56" s="206"/>
      <c r="Q56" s="214"/>
      <c r="R56" s="206"/>
      <c r="S56" s="214"/>
      <c r="T56" s="206"/>
      <c r="U56" s="206"/>
      <c r="V56" s="206"/>
      <c r="W56" s="206"/>
      <c r="X56" s="206"/>
      <c r="Y56" s="206"/>
      <c r="Z56" s="206"/>
      <c r="AA56" s="206"/>
      <c r="AB56" s="206"/>
      <c r="AC56" s="206"/>
      <c r="AD56" s="206"/>
      <c r="AE56" s="206"/>
      <c r="AF56" s="206"/>
      <c r="AG56" s="206"/>
      <c r="AH56" s="206"/>
      <c r="AI56" s="230"/>
      <c r="AJ56" s="333"/>
      <c r="AK56" s="333"/>
    </row>
    <row r="57" ht="21.9" customHeight="1" spans="1:54">
      <c r="A57" s="202"/>
      <c r="B57" s="218" t="s">
        <v>1084</v>
      </c>
      <c r="C57" s="216" t="s">
        <v>1090</v>
      </c>
      <c r="D57" s="217" t="s">
        <v>2987</v>
      </c>
      <c r="E57" s="218" t="s">
        <v>2988</v>
      </c>
      <c r="F57" s="206"/>
      <c r="G57" s="206"/>
      <c r="H57" s="206"/>
      <c r="I57" s="206"/>
      <c r="J57" s="206"/>
      <c r="K57" s="206"/>
      <c r="L57" s="206"/>
      <c r="M57" s="206"/>
      <c r="N57" s="206"/>
      <c r="O57" s="206"/>
      <c r="P57" s="206"/>
      <c r="Q57" s="214"/>
      <c r="R57" s="206"/>
      <c r="S57" s="214"/>
      <c r="T57" s="206"/>
      <c r="U57" s="206"/>
      <c r="V57" s="206"/>
      <c r="W57" s="206"/>
      <c r="X57" s="206"/>
      <c r="Y57" s="206"/>
      <c r="Z57" s="206"/>
      <c r="AA57" s="206"/>
      <c r="AB57" s="206"/>
      <c r="AC57" s="206"/>
      <c r="AD57" s="206"/>
      <c r="AE57" s="206"/>
      <c r="AF57" s="206"/>
      <c r="AG57" s="206"/>
      <c r="AH57" s="206"/>
      <c r="AI57" s="230"/>
      <c r="AJ57" s="333"/>
      <c r="AK57" s="333"/>
    </row>
    <row r="58" ht="21.9" customHeight="1" spans="1:54">
      <c r="A58" s="202"/>
      <c r="B58" s="218" t="s">
        <v>789</v>
      </c>
      <c r="C58" s="216" t="s">
        <v>318</v>
      </c>
      <c r="D58" s="217"/>
      <c r="E58" s="343" t="s">
        <v>1093</v>
      </c>
      <c r="F58" s="206"/>
      <c r="G58" s="206"/>
      <c r="H58" s="206"/>
      <c r="I58" s="206"/>
      <c r="J58" s="206"/>
      <c r="K58" s="206"/>
      <c r="L58" s="206"/>
      <c r="M58" s="206"/>
      <c r="N58" s="206"/>
      <c r="O58" s="206"/>
      <c r="P58" s="206"/>
      <c r="Q58" s="214"/>
      <c r="R58" s="206"/>
      <c r="S58" s="214"/>
      <c r="T58" s="206"/>
      <c r="U58" s="206"/>
      <c r="V58" s="206"/>
      <c r="W58" s="206"/>
      <c r="X58" s="206"/>
      <c r="Y58" s="206"/>
      <c r="Z58" s="206"/>
      <c r="AA58" s="206"/>
      <c r="AB58" s="206"/>
      <c r="AC58" s="206"/>
      <c r="AD58" s="206"/>
      <c r="AE58" s="206"/>
      <c r="AF58" s="206"/>
      <c r="AG58" s="206"/>
      <c r="AH58" s="206"/>
      <c r="AI58" s="208"/>
      <c r="AJ58" s="333"/>
      <c r="AK58" s="333"/>
    </row>
    <row r="59" ht="21.9" customHeight="1" spans="1:54">
      <c r="A59" s="202"/>
      <c r="B59" s="218" t="s">
        <v>789</v>
      </c>
      <c r="C59" s="216" t="s">
        <v>322</v>
      </c>
      <c r="D59" s="217" t="s">
        <v>2982</v>
      </c>
      <c r="E59" s="343" t="s">
        <v>2989</v>
      </c>
      <c r="F59" s="206"/>
      <c r="G59" s="206"/>
      <c r="H59" s="206"/>
      <c r="I59" s="206"/>
      <c r="J59" s="206"/>
      <c r="K59" s="206"/>
      <c r="L59" s="206"/>
      <c r="M59" s="206"/>
      <c r="N59" s="206"/>
      <c r="O59" s="206"/>
      <c r="P59" s="206"/>
      <c r="Q59" s="214"/>
      <c r="R59" s="206"/>
      <c r="S59" s="214"/>
      <c r="T59" s="206"/>
      <c r="U59" s="206"/>
      <c r="V59" s="206"/>
      <c r="W59" s="206"/>
      <c r="X59" s="206"/>
      <c r="Y59" s="206"/>
      <c r="Z59" s="206"/>
      <c r="AA59" s="206"/>
      <c r="AB59" s="206"/>
      <c r="AC59" s="206"/>
      <c r="AD59" s="206"/>
      <c r="AE59" s="206"/>
      <c r="AF59" s="206"/>
      <c r="AG59" s="206"/>
      <c r="AH59" s="206"/>
      <c r="AI59" s="208"/>
      <c r="AJ59" s="333"/>
      <c r="AK59" s="333"/>
      <c r="AL59" s="338"/>
      <c r="AM59" s="338"/>
      <c r="AN59" s="338"/>
      <c r="AO59" s="338"/>
      <c r="AP59" s="338"/>
      <c r="AQ59" s="338"/>
      <c r="AR59" s="338"/>
    </row>
    <row r="60" ht="21.9" customHeight="1" spans="1:54">
      <c r="A60" s="202"/>
      <c r="B60" s="343" t="s">
        <v>789</v>
      </c>
      <c r="C60" s="216" t="s">
        <v>326</v>
      </c>
      <c r="D60" s="361"/>
      <c r="E60" s="227" t="s">
        <v>325</v>
      </c>
      <c r="F60" s="206"/>
      <c r="G60" s="206"/>
      <c r="H60" s="346"/>
      <c r="I60" s="206"/>
      <c r="J60" s="206"/>
      <c r="K60" s="206"/>
      <c r="L60" s="206"/>
      <c r="M60" s="206"/>
      <c r="N60" s="206"/>
      <c r="O60" s="206"/>
      <c r="P60" s="206"/>
      <c r="Q60" s="214"/>
      <c r="R60" s="206"/>
      <c r="S60" s="214"/>
      <c r="T60" s="206"/>
      <c r="U60" s="206"/>
      <c r="V60" s="206"/>
      <c r="W60" s="206"/>
      <c r="X60" s="206"/>
      <c r="Y60" s="206"/>
      <c r="Z60" s="206"/>
      <c r="AA60" s="206"/>
      <c r="AB60" s="206"/>
      <c r="AC60" s="206"/>
      <c r="AD60" s="206"/>
      <c r="AE60" s="206"/>
      <c r="AF60" s="206"/>
      <c r="AG60" s="206"/>
      <c r="AH60" s="206"/>
      <c r="AI60" s="208"/>
      <c r="AJ60" s="333"/>
      <c r="AK60" s="333"/>
      <c r="AL60" s="338"/>
      <c r="AM60" s="338"/>
      <c r="AN60" s="338"/>
      <c r="AO60" s="338"/>
      <c r="AP60" s="338"/>
      <c r="AQ60" s="338"/>
      <c r="AR60" s="338"/>
    </row>
    <row r="61" ht="21.9" customHeight="1" spans="1:54">
      <c r="A61" s="202"/>
      <c r="B61" s="218" t="s">
        <v>2990</v>
      </c>
      <c r="C61" s="216" t="s">
        <v>2991</v>
      </c>
      <c r="D61" s="217"/>
      <c r="E61" s="218" t="s">
        <v>2992</v>
      </c>
      <c r="F61" s="206"/>
      <c r="G61" s="206"/>
      <c r="H61" s="206"/>
      <c r="I61" s="206"/>
      <c r="J61" s="206"/>
      <c r="K61" s="206"/>
      <c r="L61" s="206"/>
      <c r="M61" s="206"/>
      <c r="N61" s="206"/>
      <c r="O61" s="206"/>
      <c r="P61" s="206"/>
      <c r="Q61" s="214"/>
      <c r="R61" s="206"/>
      <c r="S61" s="214"/>
      <c r="T61" s="206"/>
      <c r="U61" s="206"/>
      <c r="V61" s="206"/>
      <c r="W61" s="206"/>
      <c r="X61" s="206"/>
      <c r="Y61" s="206"/>
      <c r="Z61" s="206"/>
      <c r="AA61" s="206"/>
      <c r="AB61" s="206"/>
      <c r="AC61" s="206"/>
      <c r="AD61" s="206"/>
      <c r="AE61" s="206"/>
      <c r="AF61" s="206"/>
      <c r="AG61" s="206"/>
      <c r="AH61" s="206"/>
      <c r="AI61" s="208"/>
      <c r="AJ61" s="333"/>
      <c r="AK61" s="333"/>
      <c r="AL61" s="338"/>
      <c r="AM61" s="338"/>
      <c r="AN61" s="338"/>
      <c r="AO61" s="338"/>
      <c r="AP61" s="338"/>
      <c r="AQ61" s="338"/>
      <c r="AR61" s="338"/>
      <c r="AS61" s="338"/>
      <c r="AT61" s="338"/>
      <c r="AU61" s="338"/>
      <c r="AV61" s="338"/>
      <c r="AW61" s="338"/>
      <c r="AX61" s="338"/>
      <c r="AY61" s="338"/>
      <c r="AZ61" s="338"/>
      <c r="BA61" s="338"/>
      <c r="BB61" s="338"/>
    </row>
    <row r="62" ht="21.9" customHeight="1" spans="1:54">
      <c r="A62" s="202"/>
      <c r="B62" s="218" t="s">
        <v>1073</v>
      </c>
      <c r="C62" s="216" t="s">
        <v>1074</v>
      </c>
      <c r="D62" s="217" t="s">
        <v>2982</v>
      </c>
      <c r="E62" s="362" t="s">
        <v>2993</v>
      </c>
      <c r="F62" s="206"/>
      <c r="G62" s="206"/>
      <c r="H62" s="206"/>
      <c r="I62" s="206"/>
      <c r="J62" s="206"/>
      <c r="K62" s="206"/>
      <c r="L62" s="206"/>
      <c r="M62" s="206"/>
      <c r="N62" s="206"/>
      <c r="O62" s="206"/>
      <c r="P62" s="206"/>
      <c r="Q62" s="214"/>
      <c r="R62" s="206"/>
      <c r="S62" s="214"/>
      <c r="T62" s="206"/>
      <c r="U62" s="206"/>
      <c r="V62" s="206"/>
      <c r="W62" s="206"/>
      <c r="X62" s="206"/>
      <c r="Y62" s="206"/>
      <c r="Z62" s="206"/>
      <c r="AA62" s="206"/>
      <c r="AB62" s="206"/>
      <c r="AC62" s="206"/>
      <c r="AD62" s="206"/>
      <c r="AE62" s="206"/>
      <c r="AF62" s="206"/>
      <c r="AG62" s="206"/>
      <c r="AH62" s="206"/>
      <c r="AI62" s="208"/>
      <c r="AJ62" s="333"/>
      <c r="AK62" s="333"/>
      <c r="AL62" s="338"/>
      <c r="AM62" s="338"/>
      <c r="AN62" s="338"/>
      <c r="AO62" s="338"/>
      <c r="AP62" s="338"/>
      <c r="AQ62" s="338"/>
      <c r="AR62" s="338"/>
      <c r="AS62" s="338"/>
      <c r="AT62" s="338"/>
      <c r="AU62" s="338"/>
      <c r="AV62" s="338"/>
      <c r="AW62" s="338"/>
      <c r="AX62" s="338"/>
      <c r="AY62" s="338"/>
      <c r="AZ62" s="338"/>
      <c r="BA62" s="338"/>
      <c r="BB62" s="338"/>
    </row>
    <row r="63" ht="21.9" customHeight="1" spans="1:54">
      <c r="A63" s="202"/>
      <c r="B63" s="218" t="s">
        <v>1073</v>
      </c>
      <c r="C63" s="216" t="s">
        <v>738</v>
      </c>
      <c r="D63" s="217"/>
      <c r="E63" s="218" t="s">
        <v>2994</v>
      </c>
      <c r="F63" s="206"/>
      <c r="G63" s="206"/>
      <c r="H63" s="206"/>
      <c r="I63" s="206"/>
      <c r="J63" s="206"/>
      <c r="K63" s="206"/>
      <c r="L63" s="206"/>
      <c r="M63" s="206"/>
      <c r="N63" s="206"/>
      <c r="O63" s="206"/>
      <c r="P63" s="206"/>
      <c r="Q63" s="214"/>
      <c r="R63" s="206"/>
      <c r="S63" s="214"/>
      <c r="T63" s="206"/>
      <c r="U63" s="206"/>
      <c r="V63" s="206"/>
      <c r="W63" s="206"/>
      <c r="X63" s="206"/>
      <c r="Y63" s="206"/>
      <c r="Z63" s="206"/>
      <c r="AA63" s="206"/>
      <c r="AB63" s="206"/>
      <c r="AC63" s="206"/>
      <c r="AD63" s="206"/>
      <c r="AE63" s="206"/>
      <c r="AF63" s="206"/>
      <c r="AG63" s="206"/>
      <c r="AH63" s="206"/>
      <c r="AI63" s="208"/>
      <c r="AJ63" s="333"/>
      <c r="AK63" s="333"/>
      <c r="AL63" s="338"/>
      <c r="AM63" s="338"/>
      <c r="AN63" s="338"/>
      <c r="AO63" s="338"/>
      <c r="AP63" s="338"/>
      <c r="AQ63" s="338"/>
      <c r="AR63" s="338"/>
      <c r="AS63" s="338"/>
      <c r="AT63" s="338"/>
      <c r="AU63" s="338"/>
      <c r="AV63" s="338"/>
      <c r="AW63" s="338"/>
      <c r="AX63" s="338"/>
      <c r="AY63" s="338"/>
      <c r="AZ63" s="338"/>
      <c r="BA63" s="338"/>
      <c r="BB63" s="338"/>
    </row>
    <row r="64" ht="21.9" customHeight="1" spans="1:54">
      <c r="A64" s="202"/>
      <c r="B64" s="218" t="s">
        <v>1073</v>
      </c>
      <c r="C64" s="216" t="s">
        <v>740</v>
      </c>
      <c r="D64" s="217"/>
      <c r="E64" s="218" t="s">
        <v>2995</v>
      </c>
      <c r="F64" s="206"/>
      <c r="G64" s="206"/>
      <c r="H64" s="206"/>
      <c r="I64" s="206"/>
      <c r="J64" s="206"/>
      <c r="K64" s="206"/>
      <c r="L64" s="206"/>
      <c r="M64" s="206"/>
      <c r="N64" s="206"/>
      <c r="O64" s="206"/>
      <c r="P64" s="206"/>
      <c r="Q64" s="214"/>
      <c r="R64" s="206"/>
      <c r="S64" s="214"/>
      <c r="T64" s="206"/>
      <c r="U64" s="206"/>
      <c r="V64" s="206"/>
      <c r="W64" s="206"/>
      <c r="X64" s="206"/>
      <c r="Y64" s="206"/>
      <c r="Z64" s="206"/>
      <c r="AA64" s="206"/>
      <c r="AB64" s="206"/>
      <c r="AC64" s="206"/>
      <c r="AD64" s="206"/>
      <c r="AE64" s="206"/>
      <c r="AF64" s="206"/>
      <c r="AG64" s="206"/>
      <c r="AH64" s="206"/>
      <c r="AI64" s="208"/>
      <c r="AJ64" s="333"/>
      <c r="AK64" s="333"/>
      <c r="AL64" s="338"/>
      <c r="AM64" s="338"/>
      <c r="AN64" s="338"/>
      <c r="AO64" s="338"/>
      <c r="AP64" s="338"/>
      <c r="AQ64" s="338"/>
      <c r="AR64" s="338"/>
      <c r="AS64" s="338"/>
      <c r="AT64" s="338"/>
      <c r="AU64" s="338"/>
      <c r="AV64" s="338"/>
      <c r="AW64" s="338"/>
      <c r="AX64" s="338"/>
      <c r="AY64" s="338"/>
      <c r="AZ64" s="338"/>
      <c r="BA64" s="338"/>
      <c r="BB64" s="338"/>
    </row>
    <row r="65" ht="21.9" customHeight="1" spans="1:54">
      <c r="A65" s="202"/>
      <c r="B65" s="218" t="s">
        <v>2996</v>
      </c>
      <c r="C65" s="216" t="s">
        <v>847</v>
      </c>
      <c r="D65" s="217"/>
      <c r="E65" s="218" t="s">
        <v>2997</v>
      </c>
      <c r="F65" s="206"/>
      <c r="G65" s="206"/>
      <c r="H65" s="206"/>
      <c r="I65" s="206"/>
      <c r="J65" s="206"/>
      <c r="K65" s="206"/>
      <c r="L65" s="206"/>
      <c r="M65" s="363"/>
      <c r="N65" s="206"/>
      <c r="O65" s="206"/>
      <c r="P65" s="206"/>
      <c r="Q65" s="214"/>
      <c r="R65" s="206"/>
      <c r="S65" s="214"/>
      <c r="T65" s="206"/>
      <c r="U65" s="206"/>
      <c r="V65" s="206"/>
      <c r="W65" s="206"/>
      <c r="X65" s="206"/>
      <c r="Y65" s="206"/>
      <c r="Z65" s="206"/>
      <c r="AA65" s="206"/>
      <c r="AB65" s="206"/>
      <c r="AC65" s="206"/>
      <c r="AD65" s="206"/>
      <c r="AE65" s="206"/>
      <c r="AF65" s="206"/>
      <c r="AG65" s="206"/>
      <c r="AH65" s="206"/>
      <c r="AI65" s="230"/>
      <c r="AJ65" s="333"/>
      <c r="AK65" s="333"/>
    </row>
    <row r="66" ht="21.9" customHeight="1" spans="1:54">
      <c r="A66" s="202"/>
      <c r="B66" s="218" t="s">
        <v>1094</v>
      </c>
      <c r="C66" s="216" t="s">
        <v>1105</v>
      </c>
      <c r="D66" s="217" t="s">
        <v>2998</v>
      </c>
      <c r="E66" s="218" t="s">
        <v>1106</v>
      </c>
      <c r="F66" s="206"/>
      <c r="G66" s="206"/>
      <c r="H66" s="206"/>
      <c r="I66" s="206"/>
      <c r="J66" s="206"/>
      <c r="K66" s="206"/>
      <c r="L66" s="206"/>
      <c r="M66" s="206"/>
      <c r="N66" s="206"/>
      <c r="O66" s="206"/>
      <c r="P66" s="206"/>
      <c r="Q66" s="214"/>
      <c r="R66" s="206"/>
      <c r="S66" s="214"/>
      <c r="T66" s="206"/>
      <c r="U66" s="206"/>
      <c r="V66" s="206"/>
      <c r="W66" s="206"/>
      <c r="X66" s="206"/>
      <c r="Y66" s="206"/>
      <c r="Z66" s="206"/>
      <c r="AA66" s="206"/>
      <c r="AB66" s="206"/>
      <c r="AC66" s="206"/>
      <c r="AD66" s="206"/>
      <c r="AE66" s="206"/>
      <c r="AF66" s="206"/>
      <c r="AG66" s="206"/>
      <c r="AH66" s="206"/>
      <c r="AI66" s="208"/>
      <c r="AJ66" s="333"/>
      <c r="AK66" s="333"/>
      <c r="AL66" s="338"/>
      <c r="AM66" s="338"/>
      <c r="AN66" s="338"/>
      <c r="AO66" s="338"/>
      <c r="AP66" s="338"/>
      <c r="AQ66" s="338"/>
      <c r="AR66" s="338"/>
    </row>
    <row r="67" ht="21.9" customHeight="1" spans="1:54">
      <c r="A67" s="202"/>
      <c r="B67" s="218" t="s">
        <v>1094</v>
      </c>
      <c r="C67" s="216" t="s">
        <v>1109</v>
      </c>
      <c r="D67" s="217" t="s">
        <v>2982</v>
      </c>
      <c r="E67" s="218" t="s">
        <v>1098</v>
      </c>
      <c r="F67" s="206"/>
      <c r="G67" s="206"/>
      <c r="H67" s="206"/>
      <c r="I67" s="206"/>
      <c r="J67" s="206"/>
      <c r="K67" s="206"/>
      <c r="L67" s="206"/>
      <c r="M67" s="206"/>
      <c r="N67" s="206"/>
      <c r="O67" s="206"/>
      <c r="P67" s="206"/>
      <c r="Q67" s="214"/>
      <c r="R67" s="206"/>
      <c r="S67" s="214"/>
      <c r="T67" s="206"/>
      <c r="U67" s="206"/>
      <c r="V67" s="206"/>
      <c r="W67" s="206"/>
      <c r="X67" s="206"/>
      <c r="Y67" s="206"/>
      <c r="Z67" s="206"/>
      <c r="AA67" s="206"/>
      <c r="AB67" s="206"/>
      <c r="AC67" s="206"/>
      <c r="AD67" s="206"/>
      <c r="AE67" s="206"/>
      <c r="AF67" s="206"/>
      <c r="AG67" s="206"/>
      <c r="AH67" s="206"/>
      <c r="AI67" s="208"/>
      <c r="AJ67" s="333"/>
      <c r="AK67" s="333"/>
      <c r="AL67" s="338"/>
      <c r="AM67" s="338"/>
      <c r="AN67" s="338"/>
      <c r="AO67" s="338"/>
      <c r="AP67" s="338"/>
      <c r="AQ67" s="338"/>
      <c r="AR67" s="338"/>
    </row>
    <row r="68" ht="21.9" customHeight="1" spans="1:54">
      <c r="A68" s="202"/>
      <c r="B68" s="218" t="s">
        <v>1094</v>
      </c>
      <c r="C68" s="216" t="s">
        <v>1095</v>
      </c>
      <c r="D68" s="217"/>
      <c r="E68" s="218" t="s">
        <v>2999</v>
      </c>
      <c r="F68" s="206"/>
      <c r="G68" s="206"/>
      <c r="H68" s="206"/>
      <c r="I68" s="206"/>
      <c r="J68" s="206"/>
      <c r="K68" s="206"/>
      <c r="L68" s="206"/>
      <c r="M68" s="206"/>
      <c r="N68" s="206"/>
      <c r="O68" s="206"/>
      <c r="P68" s="206"/>
      <c r="Q68" s="214"/>
      <c r="R68" s="206"/>
      <c r="S68" s="214"/>
      <c r="T68" s="206"/>
      <c r="U68" s="206"/>
      <c r="V68" s="206"/>
      <c r="W68" s="206"/>
      <c r="X68" s="206"/>
      <c r="Y68" s="206"/>
      <c r="Z68" s="206"/>
      <c r="AA68" s="206"/>
      <c r="AB68" s="206"/>
      <c r="AC68" s="206"/>
      <c r="AD68" s="206"/>
      <c r="AE68" s="206"/>
      <c r="AF68" s="206"/>
      <c r="AG68" s="206"/>
      <c r="AH68" s="206"/>
      <c r="AI68" s="364"/>
      <c r="AJ68" s="333"/>
      <c r="AK68" s="333"/>
      <c r="AL68" s="341"/>
      <c r="AM68" s="341"/>
      <c r="AN68" s="341"/>
      <c r="AO68" s="341"/>
      <c r="AP68" s="341"/>
      <c r="AQ68" s="341"/>
      <c r="AR68" s="341"/>
    </row>
    <row r="69" ht="21.9" customHeight="1" spans="1:54">
      <c r="A69" s="202"/>
      <c r="B69" s="218" t="s">
        <v>1094</v>
      </c>
      <c r="C69" s="216" t="s">
        <v>1101</v>
      </c>
      <c r="D69" s="217"/>
      <c r="E69" s="218" t="s">
        <v>3000</v>
      </c>
      <c r="F69" s="206"/>
      <c r="G69" s="206"/>
      <c r="H69" s="206"/>
      <c r="I69" s="206"/>
      <c r="J69" s="206"/>
      <c r="K69" s="206"/>
      <c r="L69" s="206"/>
      <c r="M69" s="363"/>
      <c r="N69" s="206"/>
      <c r="O69" s="206"/>
      <c r="P69" s="206"/>
      <c r="Q69" s="214"/>
      <c r="R69" s="206"/>
      <c r="S69" s="214"/>
      <c r="T69" s="206"/>
      <c r="U69" s="206"/>
      <c r="V69" s="206"/>
      <c r="W69" s="206"/>
      <c r="X69" s="206"/>
      <c r="Y69" s="206"/>
      <c r="Z69" s="206"/>
      <c r="AA69" s="206"/>
      <c r="AB69" s="206"/>
      <c r="AC69" s="206"/>
      <c r="AD69" s="206"/>
      <c r="AE69" s="206"/>
      <c r="AF69" s="206"/>
      <c r="AG69" s="206"/>
      <c r="AH69" s="206"/>
      <c r="AI69" s="208"/>
      <c r="AJ69" s="333"/>
      <c r="AK69" s="333"/>
      <c r="AL69" s="338"/>
      <c r="AM69" s="338"/>
      <c r="AN69" s="338"/>
      <c r="AO69" s="338"/>
      <c r="AP69" s="338"/>
      <c r="AQ69" s="338"/>
      <c r="AR69" s="338"/>
    </row>
    <row r="70" ht="21.9" customHeight="1" spans="1:54">
      <c r="A70" s="202"/>
      <c r="B70" s="218" t="s">
        <v>3001</v>
      </c>
      <c r="C70" s="216" t="s">
        <v>468</v>
      </c>
      <c r="D70" s="217"/>
      <c r="E70" s="218" t="s">
        <v>3002</v>
      </c>
      <c r="F70" s="206"/>
      <c r="G70" s="206"/>
      <c r="H70" s="206"/>
      <c r="I70" s="206"/>
      <c r="J70" s="206"/>
      <c r="K70" s="206"/>
      <c r="L70" s="206"/>
      <c r="M70" s="206"/>
      <c r="N70" s="206"/>
      <c r="O70" s="206"/>
      <c r="P70" s="206"/>
      <c r="Q70" s="214"/>
      <c r="R70" s="206"/>
      <c r="S70" s="214"/>
      <c r="T70" s="206"/>
      <c r="U70" s="206"/>
      <c r="V70" s="206"/>
      <c r="W70" s="206"/>
      <c r="X70" s="206"/>
      <c r="Y70" s="206"/>
      <c r="Z70" s="206"/>
      <c r="AA70" s="206"/>
      <c r="AB70" s="206"/>
      <c r="AC70" s="206"/>
      <c r="AD70" s="206"/>
      <c r="AE70" s="206"/>
      <c r="AF70" s="206"/>
      <c r="AG70" s="206"/>
      <c r="AH70" s="206"/>
      <c r="AI70" s="208"/>
      <c r="AJ70" s="333"/>
      <c r="AK70" s="333"/>
      <c r="AL70" s="338"/>
      <c r="AM70" s="338"/>
      <c r="AN70" s="338"/>
      <c r="AO70" s="338"/>
      <c r="AP70" s="338"/>
      <c r="AQ70" s="338"/>
      <c r="AR70" s="338"/>
      <c r="AS70" s="338"/>
      <c r="AT70" s="338"/>
      <c r="AU70" s="338"/>
      <c r="AV70" s="338"/>
      <c r="AW70" s="338"/>
      <c r="AX70" s="338"/>
      <c r="AY70" s="338"/>
      <c r="AZ70" s="338"/>
      <c r="BA70" s="338"/>
      <c r="BB70" s="338"/>
    </row>
    <row r="71" ht="21.9" customHeight="1" spans="1:54">
      <c r="A71" s="202"/>
      <c r="B71" s="218" t="s">
        <v>3001</v>
      </c>
      <c r="C71" s="216" t="s">
        <v>467</v>
      </c>
      <c r="D71" s="217" t="s">
        <v>2982</v>
      </c>
      <c r="E71" s="218" t="s">
        <v>3003</v>
      </c>
      <c r="F71" s="206"/>
      <c r="G71" s="206"/>
      <c r="H71" s="206"/>
      <c r="I71" s="206"/>
      <c r="J71" s="206"/>
      <c r="K71" s="206"/>
      <c r="L71" s="206"/>
      <c r="M71" s="206"/>
      <c r="N71" s="206"/>
      <c r="O71" s="206"/>
      <c r="P71" s="206"/>
      <c r="Q71" s="214"/>
      <c r="R71" s="206"/>
      <c r="S71" s="214"/>
      <c r="T71" s="206"/>
      <c r="U71" s="206"/>
      <c r="V71" s="206"/>
      <c r="W71" s="206"/>
      <c r="X71" s="206"/>
      <c r="Y71" s="206"/>
      <c r="Z71" s="206"/>
      <c r="AA71" s="206"/>
      <c r="AB71" s="206"/>
      <c r="AC71" s="206"/>
      <c r="AD71" s="206"/>
      <c r="AE71" s="206"/>
      <c r="AF71" s="206"/>
      <c r="AG71" s="206"/>
      <c r="AH71" s="206"/>
      <c r="AI71" s="364"/>
      <c r="AJ71" s="333"/>
      <c r="AK71" s="333"/>
    </row>
    <row r="72" ht="21.9" customHeight="1" spans="1:54">
      <c r="A72" s="365" t="s">
        <v>193</v>
      </c>
      <c r="B72" s="366"/>
      <c r="C72" s="367"/>
      <c r="D72" s="353"/>
      <c r="E72" s="354"/>
      <c r="F72" s="355"/>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c r="AD72" s="355"/>
      <c r="AE72" s="355"/>
      <c r="AF72" s="355"/>
      <c r="AG72" s="355"/>
      <c r="AH72" s="355"/>
      <c r="AI72" s="355"/>
      <c r="AJ72" s="333"/>
      <c r="AK72" s="333"/>
    </row>
    <row r="73" ht="24" customHeight="1" spans="1:54">
      <c r="A73" s="368" t="s">
        <v>159</v>
      </c>
      <c r="B73" s="192"/>
      <c r="C73" s="193"/>
      <c r="D73" s="369"/>
      <c r="E73" s="370"/>
      <c r="F73" s="370"/>
      <c r="G73" s="370"/>
      <c r="H73" s="370"/>
      <c r="I73" s="370"/>
      <c r="J73" s="370"/>
      <c r="K73" s="370"/>
      <c r="L73" s="370"/>
      <c r="M73" s="370"/>
      <c r="N73" s="370"/>
      <c r="O73" s="370"/>
      <c r="P73" s="370"/>
      <c r="Q73" s="370"/>
      <c r="R73" s="370"/>
      <c r="S73" s="370"/>
      <c r="T73" s="370"/>
      <c r="U73" s="370"/>
      <c r="V73" s="370"/>
      <c r="W73" s="370"/>
      <c r="X73" s="370"/>
      <c r="Y73" s="370"/>
      <c r="Z73" s="370"/>
      <c r="AA73" s="370"/>
      <c r="AB73" s="370"/>
      <c r="AC73" s="370"/>
      <c r="AD73" s="370"/>
      <c r="AE73" s="370"/>
      <c r="AF73" s="370"/>
      <c r="AG73" s="370"/>
      <c r="AH73" s="370"/>
      <c r="AI73" s="370"/>
      <c r="AJ73" s="349"/>
      <c r="AK73" s="266"/>
    </row>
    <row r="74" ht="16.05" customHeight="1" spans="1:54">
      <c r="A74" s="371"/>
      <c r="B74" s="372" t="s">
        <v>3004</v>
      </c>
      <c r="C74" s="373"/>
      <c r="D74" s="337"/>
      <c r="E74" s="335"/>
      <c r="F74" s="337"/>
      <c r="G74" s="374" t="s">
        <v>3005</v>
      </c>
      <c r="H74" s="338"/>
      <c r="I74" s="337"/>
      <c r="J74" s="337"/>
      <c r="K74" s="337"/>
      <c r="L74" s="374"/>
      <c r="M74" s="374" t="s">
        <v>3006</v>
      </c>
      <c r="N74" s="337"/>
      <c r="O74" s="337"/>
      <c r="P74" s="337"/>
      <c r="Q74" s="337"/>
      <c r="R74" s="374"/>
      <c r="S74" s="337"/>
      <c r="T74" s="374" t="s">
        <v>3007</v>
      </c>
      <c r="U74" s="337"/>
      <c r="V74" s="337"/>
      <c r="W74" s="337"/>
      <c r="X74" s="337"/>
      <c r="Y74" s="337"/>
      <c r="Z74" s="337"/>
      <c r="AA74" s="374" t="s">
        <v>3008</v>
      </c>
      <c r="AB74" s="337"/>
      <c r="AC74" s="337"/>
      <c r="AD74" s="337"/>
      <c r="AE74" s="337"/>
      <c r="AF74" s="337"/>
      <c r="AG74" s="338"/>
      <c r="AH74" s="338" t="s">
        <v>3009</v>
      </c>
      <c r="AI74" s="375"/>
      <c r="AJ74" s="376"/>
      <c r="AK74" s="376"/>
      <c r="AL74" s="338"/>
      <c r="AM74" s="338"/>
      <c r="AN74" s="338"/>
      <c r="AO74" s="338"/>
      <c r="AP74" s="338"/>
      <c r="AQ74" s="338"/>
      <c r="AR74" s="338"/>
      <c r="AS74" s="338"/>
      <c r="AT74" s="338"/>
      <c r="AU74" s="338"/>
      <c r="AV74" s="338"/>
      <c r="AW74" s="338"/>
      <c r="AX74" s="338"/>
      <c r="AY74" s="338"/>
      <c r="AZ74" s="338"/>
      <c r="BA74" s="338"/>
      <c r="BB74" s="338"/>
    </row>
    <row r="75" ht="16.05" customHeight="1" spans="1:54">
      <c r="A75" s="371"/>
      <c r="B75" s="335"/>
      <c r="C75" s="336"/>
      <c r="D75" s="337"/>
      <c r="E75" s="335"/>
      <c r="F75" s="338"/>
      <c r="G75" s="338"/>
      <c r="H75" s="338"/>
      <c r="I75" s="338"/>
      <c r="J75" s="338"/>
      <c r="K75" s="338"/>
      <c r="L75" s="338"/>
      <c r="M75" s="338"/>
      <c r="N75" s="338"/>
      <c r="O75" s="338"/>
      <c r="P75" s="338"/>
      <c r="Q75" s="338"/>
      <c r="R75" s="338"/>
      <c r="S75" s="338"/>
      <c r="T75" s="338"/>
      <c r="U75" s="338"/>
      <c r="V75" s="338"/>
      <c r="W75" s="338"/>
      <c r="X75" s="338"/>
      <c r="Y75" s="338"/>
      <c r="Z75" s="338"/>
      <c r="AA75" s="338"/>
      <c r="AB75" s="338"/>
      <c r="AC75" s="338"/>
      <c r="AD75" s="338"/>
      <c r="AE75" s="338"/>
      <c r="AF75" s="338"/>
      <c r="AG75" s="338"/>
      <c r="AH75" s="338"/>
      <c r="AI75" s="338"/>
      <c r="AJ75" s="376"/>
      <c r="AK75" s="376"/>
      <c r="AL75" s="338"/>
      <c r="AM75" s="338"/>
      <c r="AN75" s="338"/>
      <c r="AO75" s="338"/>
      <c r="AP75" s="338"/>
      <c r="AQ75" s="338"/>
      <c r="AR75" s="338"/>
      <c r="AS75" s="338"/>
      <c r="AT75" s="338"/>
      <c r="AU75" s="338"/>
      <c r="AV75" s="338"/>
      <c r="AW75" s="338"/>
      <c r="AX75" s="338"/>
      <c r="AY75" s="338"/>
      <c r="AZ75" s="338"/>
      <c r="BA75" s="338"/>
      <c r="BB75" s="338"/>
    </row>
    <row r="76" ht="21.9" customHeight="1" spans="1:54">
      <c r="A76" s="377" t="s">
        <v>3010</v>
      </c>
      <c r="B76" s="378"/>
      <c r="C76" s="379"/>
      <c r="D76" s="380"/>
      <c r="E76" s="378"/>
      <c r="F76" s="381"/>
      <c r="G76" s="381"/>
      <c r="H76" s="381"/>
      <c r="I76" s="381"/>
      <c r="J76" s="381"/>
      <c r="K76" s="381"/>
      <c r="L76" s="381"/>
      <c r="M76" s="381"/>
      <c r="N76" s="381"/>
      <c r="O76" s="381"/>
      <c r="P76" s="381"/>
      <c r="Q76" s="381"/>
      <c r="R76" s="381"/>
      <c r="S76" s="381"/>
      <c r="T76" s="381"/>
      <c r="U76" s="381"/>
      <c r="V76" s="381"/>
      <c r="W76" s="381"/>
      <c r="X76" s="381"/>
      <c r="Y76" s="381"/>
      <c r="Z76" s="381"/>
      <c r="AA76" s="381"/>
      <c r="AB76" s="381"/>
      <c r="AC76" s="381"/>
      <c r="AD76" s="381"/>
      <c r="AE76" s="381"/>
      <c r="AF76" s="381"/>
      <c r="AG76" s="338"/>
      <c r="AH76" s="338"/>
      <c r="AJ76" s="382"/>
      <c r="AK76" s="382"/>
    </row>
    <row r="77" ht="17.1" customHeight="1" spans="1:54">
      <c r="A77" s="377"/>
      <c r="B77" s="378" t="s">
        <v>3011</v>
      </c>
      <c r="C77" s="379"/>
      <c r="D77" s="380"/>
      <c r="E77" s="378"/>
      <c r="F77" s="381"/>
      <c r="G77" s="381"/>
      <c r="H77" s="381"/>
      <c r="I77" s="381"/>
      <c r="J77" s="381"/>
      <c r="K77" s="381"/>
      <c r="L77" s="381"/>
      <c r="M77" s="381"/>
      <c r="N77" s="381"/>
      <c r="O77" s="381"/>
      <c r="P77" s="381"/>
      <c r="Q77" s="381"/>
      <c r="R77" s="381"/>
      <c r="S77" s="381"/>
      <c r="T77" s="381"/>
      <c r="U77" s="381"/>
      <c r="V77" s="381"/>
      <c r="W77" s="381"/>
      <c r="X77" s="381"/>
      <c r="Y77" s="381"/>
      <c r="Z77" s="381"/>
      <c r="AA77" s="381"/>
      <c r="AB77" s="381"/>
      <c r="AC77" s="381"/>
      <c r="AD77" s="381"/>
      <c r="AE77" s="381"/>
      <c r="AF77" s="381"/>
      <c r="AG77" s="381"/>
      <c r="AH77" s="338"/>
      <c r="AJ77" s="382"/>
      <c r="AK77" s="382"/>
    </row>
    <row r="78" spans="1:54">
      <c r="A78" s="371"/>
      <c r="B78" s="335"/>
      <c r="C78" s="338"/>
      <c r="D78" s="337"/>
      <c r="E78" s="338"/>
      <c r="F78" s="338"/>
      <c r="G78" s="338"/>
      <c r="H78" s="338"/>
      <c r="I78" s="338"/>
      <c r="J78" s="338"/>
      <c r="K78" s="338"/>
      <c r="L78" s="338"/>
      <c r="M78" s="338"/>
      <c r="N78" s="338"/>
      <c r="O78" s="338"/>
      <c r="P78" s="338"/>
      <c r="Q78" s="338"/>
      <c r="R78" s="338"/>
      <c r="S78" s="338"/>
      <c r="T78" s="338"/>
      <c r="U78" s="338"/>
      <c r="V78" s="338"/>
      <c r="W78" s="338"/>
      <c r="X78" s="338"/>
      <c r="Y78" s="338"/>
      <c r="Z78" s="338"/>
      <c r="AA78" s="338"/>
      <c r="AB78" s="338"/>
      <c r="AC78" s="338"/>
      <c r="AD78" s="338"/>
      <c r="AE78" s="338"/>
      <c r="AF78" s="338"/>
      <c r="AG78" s="376"/>
      <c r="AH78" s="376"/>
      <c r="AI78" s="338"/>
      <c r="AJ78" s="338"/>
      <c r="AK78" s="338"/>
      <c r="AL78" s="338"/>
      <c r="AM78" s="338"/>
      <c r="AN78" s="338"/>
      <c r="AO78" s="338"/>
      <c r="AP78" s="338"/>
      <c r="AQ78" s="338"/>
      <c r="AR78" s="338"/>
      <c r="AS78" s="338"/>
      <c r="AT78" s="338"/>
      <c r="AU78" s="338"/>
      <c r="AV78" s="338"/>
      <c r="AW78" s="338"/>
      <c r="AX78" s="338"/>
      <c r="AY78" s="338"/>
    </row>
    <row r="79" ht="17.1" customHeight="1" spans="1:54">
      <c r="A79" s="377"/>
      <c r="B79" s="378" t="s">
        <v>3011</v>
      </c>
      <c r="C79" s="379"/>
      <c r="D79" s="380"/>
      <c r="E79" s="378"/>
      <c r="F79" s="381"/>
      <c r="G79" s="381"/>
      <c r="H79" s="381"/>
      <c r="I79" s="381"/>
      <c r="J79" s="381"/>
      <c r="K79" s="381"/>
      <c r="L79" s="381"/>
      <c r="M79" s="381"/>
      <c r="N79" s="381"/>
      <c r="O79" s="381"/>
      <c r="P79" s="381"/>
      <c r="Q79" s="381"/>
      <c r="R79" s="381"/>
      <c r="S79" s="381"/>
      <c r="T79" s="381"/>
      <c r="U79" s="381"/>
      <c r="V79" s="381"/>
      <c r="W79" s="381"/>
      <c r="X79" s="381"/>
      <c r="Y79" s="381"/>
      <c r="Z79" s="381"/>
      <c r="AA79" s="381"/>
      <c r="AB79" s="381"/>
      <c r="AC79" s="381"/>
      <c r="AD79" s="381"/>
      <c r="AE79" s="381"/>
      <c r="AF79" s="381"/>
      <c r="AG79" s="338"/>
      <c r="AI79" s="382"/>
      <c r="AJ79" s="382"/>
    </row>
    <row r="80" spans="1:54">
      <c r="A80" s="371"/>
      <c r="B80" s="335"/>
      <c r="C80" s="338"/>
      <c r="D80" s="337"/>
      <c r="E80" s="338"/>
      <c r="F80" s="338"/>
      <c r="G80" s="338"/>
      <c r="H80" s="338"/>
      <c r="I80" s="338"/>
      <c r="J80" s="338"/>
      <c r="K80" s="338"/>
      <c r="L80" s="338"/>
      <c r="M80" s="338"/>
      <c r="N80" s="338"/>
      <c r="O80" s="338"/>
      <c r="P80" s="338"/>
      <c r="Q80" s="338"/>
      <c r="R80" s="338"/>
      <c r="S80" s="338"/>
      <c r="T80" s="338"/>
      <c r="U80" s="338"/>
      <c r="V80" s="338"/>
      <c r="W80" s="338"/>
      <c r="X80" s="338"/>
      <c r="Y80" s="338"/>
      <c r="Z80" s="338"/>
      <c r="AA80" s="338"/>
      <c r="AB80" s="338"/>
      <c r="AC80" s="338"/>
      <c r="AD80" s="338"/>
      <c r="AE80" s="338"/>
      <c r="AF80" s="376"/>
      <c r="AG80" s="376"/>
      <c r="AH80" s="338"/>
      <c r="AI80" s="338"/>
      <c r="AJ80" s="338"/>
      <c r="AK80" s="338"/>
      <c r="AL80" s="338"/>
      <c r="AM80" s="338"/>
      <c r="AN80" s="338"/>
      <c r="AO80" s="338"/>
      <c r="AP80" s="338"/>
      <c r="AQ80" s="338"/>
      <c r="AR80" s="338"/>
      <c r="AS80" s="338"/>
      <c r="AT80" s="338"/>
      <c r="AU80" s="338"/>
      <c r="AV80" s="338"/>
      <c r="AW80" s="338"/>
      <c r="AX80" s="338"/>
    </row>
    <row r="81" ht="13.2" customHeight="1" spans="1:31">
      <c r="A81" s="371"/>
      <c r="B81" s="335"/>
      <c r="C81" s="338"/>
      <c r="D81" s="337"/>
      <c r="E81" s="338"/>
      <c r="F81" s="338"/>
      <c r="G81" s="338"/>
      <c r="H81" s="338"/>
      <c r="I81" s="338"/>
      <c r="J81" s="338"/>
      <c r="K81" s="338"/>
      <c r="L81" s="338"/>
      <c r="M81" s="338"/>
      <c r="N81" s="338"/>
      <c r="O81" s="338"/>
      <c r="P81" s="338"/>
      <c r="Q81" s="338"/>
      <c r="S81" s="376"/>
      <c r="T81" s="376"/>
    </row>
    <row r="82" ht="13.2" customHeight="1" spans="1:31">
      <c r="A82" s="371"/>
      <c r="B82" s="335"/>
      <c r="C82" s="336"/>
      <c r="D82" s="337"/>
      <c r="E82" s="338"/>
      <c r="F82" s="338"/>
      <c r="G82" s="338"/>
      <c r="H82" s="338"/>
      <c r="I82" s="338"/>
      <c r="J82" s="338"/>
      <c r="K82" s="338"/>
      <c r="L82" s="338"/>
      <c r="M82" s="338"/>
      <c r="N82" s="338"/>
      <c r="O82" s="338"/>
      <c r="P82" s="338"/>
      <c r="Q82" s="338"/>
      <c r="R82" s="338"/>
      <c r="S82" s="338"/>
      <c r="T82" s="338"/>
      <c r="U82" s="338"/>
      <c r="V82" s="338"/>
      <c r="W82" s="338"/>
      <c r="X82" s="376"/>
      <c r="Y82" s="376"/>
      <c r="Z82" s="376"/>
    </row>
    <row r="83" ht="13.2" customHeight="1" spans="1:31">
      <c r="A83" s="371"/>
      <c r="B83" s="335"/>
      <c r="C83" s="336"/>
      <c r="D83" s="337"/>
      <c r="E83" s="338"/>
      <c r="F83" s="338"/>
      <c r="G83" s="338"/>
      <c r="H83" s="338"/>
      <c r="I83" s="338"/>
      <c r="J83" s="338"/>
      <c r="K83" s="338"/>
      <c r="L83" s="338"/>
      <c r="M83" s="338"/>
      <c r="N83" s="338"/>
      <c r="O83" s="338"/>
      <c r="P83" s="338"/>
      <c r="Q83" s="338"/>
      <c r="R83" s="338"/>
      <c r="S83" s="338"/>
      <c r="T83" s="338"/>
      <c r="U83" s="338"/>
      <c r="V83" s="338"/>
      <c r="W83" s="338"/>
      <c r="X83" s="376"/>
      <c r="Y83" s="376"/>
      <c r="Z83" s="376"/>
    </row>
    <row r="84" ht="13.2" customHeight="1" spans="1:31">
      <c r="A84" s="371"/>
      <c r="B84" s="335"/>
      <c r="C84" s="336"/>
      <c r="D84" s="337"/>
      <c r="E84" s="338"/>
      <c r="F84" s="338"/>
      <c r="G84" s="338"/>
      <c r="H84" s="338"/>
      <c r="I84" s="338"/>
      <c r="J84" s="338"/>
      <c r="K84" s="338"/>
      <c r="L84" s="338"/>
      <c r="M84" s="338"/>
      <c r="N84" s="338"/>
      <c r="O84" s="338"/>
      <c r="P84" s="338"/>
      <c r="Q84" s="338"/>
      <c r="R84" s="338"/>
      <c r="S84" s="338"/>
      <c r="T84" s="338"/>
      <c r="U84" s="338"/>
      <c r="V84" s="338"/>
      <c r="W84" s="338"/>
      <c r="X84" s="338"/>
      <c r="Y84" s="338"/>
      <c r="AA84" s="376"/>
      <c r="AB84" s="376"/>
    </row>
    <row r="85" ht="13.2" customHeight="1" spans="1:31">
      <c r="A85" s="371"/>
      <c r="B85" s="335"/>
      <c r="C85" s="336"/>
      <c r="D85" s="337"/>
      <c r="E85" s="338"/>
      <c r="F85" s="338"/>
      <c r="G85" s="338"/>
      <c r="H85" s="338"/>
      <c r="I85" s="338"/>
      <c r="J85" s="338"/>
      <c r="K85" s="338"/>
      <c r="L85" s="338"/>
      <c r="M85" s="338"/>
      <c r="N85" s="338"/>
      <c r="O85" s="338"/>
      <c r="P85" s="338"/>
      <c r="Q85" s="338"/>
      <c r="R85" s="338"/>
      <c r="S85" s="338"/>
      <c r="T85" s="338"/>
      <c r="U85" s="338"/>
      <c r="V85" s="338"/>
      <c r="W85" s="338"/>
      <c r="X85" s="338"/>
      <c r="Y85" s="338"/>
      <c r="AA85" s="376"/>
      <c r="AB85" s="376"/>
    </row>
    <row r="86" ht="13.2" customHeight="1" spans="1:31">
      <c r="A86" s="371"/>
      <c r="B86" s="335"/>
      <c r="C86" s="336"/>
      <c r="D86" s="337"/>
      <c r="E86" s="338"/>
      <c r="F86" s="338"/>
      <c r="G86" s="338"/>
      <c r="H86" s="338"/>
      <c r="I86" s="338"/>
      <c r="J86" s="338"/>
      <c r="K86" s="338"/>
      <c r="L86" s="338"/>
      <c r="M86" s="338"/>
      <c r="N86" s="338"/>
      <c r="O86" s="338"/>
      <c r="P86" s="338"/>
      <c r="Q86" s="338"/>
      <c r="R86" s="338"/>
      <c r="S86" s="338"/>
      <c r="T86" s="338"/>
      <c r="U86" s="338"/>
      <c r="V86" s="338"/>
      <c r="W86" s="338"/>
      <c r="X86" s="338"/>
      <c r="Y86" s="338"/>
      <c r="AA86" s="376"/>
      <c r="AB86" s="376"/>
    </row>
    <row r="87" ht="13.2" customHeight="1" spans="1:31">
      <c r="A87" s="371"/>
      <c r="B87" s="335"/>
      <c r="C87" s="336"/>
      <c r="D87" s="337"/>
      <c r="E87" s="338"/>
      <c r="F87" s="338"/>
      <c r="G87" s="338"/>
      <c r="H87" s="338"/>
      <c r="I87" s="338"/>
      <c r="J87" s="338"/>
      <c r="K87" s="338"/>
      <c r="L87" s="338"/>
      <c r="M87" s="338"/>
      <c r="N87" s="338"/>
      <c r="O87" s="338"/>
      <c r="P87" s="338"/>
      <c r="Q87" s="338"/>
      <c r="R87" s="338"/>
      <c r="S87" s="338"/>
      <c r="T87" s="338"/>
      <c r="U87" s="338"/>
      <c r="V87" s="338"/>
      <c r="W87" s="338"/>
      <c r="X87" s="338"/>
      <c r="Y87" s="338"/>
      <c r="Z87" s="338"/>
      <c r="AB87" s="376"/>
      <c r="AC87" s="376"/>
    </row>
    <row r="88" ht="13.2" customHeight="1" spans="1:31">
      <c r="A88" s="371"/>
      <c r="B88" s="335"/>
      <c r="C88" s="336"/>
      <c r="D88" s="337"/>
      <c r="E88" s="338"/>
      <c r="F88" s="338"/>
      <c r="G88" s="338"/>
      <c r="H88" s="338"/>
      <c r="I88" s="338"/>
      <c r="J88" s="338"/>
      <c r="K88" s="338"/>
      <c r="L88" s="338"/>
      <c r="M88" s="338"/>
      <c r="N88" s="338"/>
      <c r="O88" s="338"/>
      <c r="P88" s="338"/>
      <c r="Q88" s="338"/>
      <c r="R88" s="338"/>
      <c r="S88" s="338"/>
      <c r="T88" s="338"/>
      <c r="U88" s="338"/>
      <c r="V88" s="338"/>
      <c r="W88" s="338"/>
      <c r="X88" s="338"/>
      <c r="Y88" s="338"/>
      <c r="Z88" s="338"/>
      <c r="AA88" s="338"/>
      <c r="AB88" s="338"/>
      <c r="AD88" s="376"/>
      <c r="AE88" s="376"/>
    </row>
    <row r="89" ht="13.2" customHeight="1" spans="1:31">
      <c r="A89" s="371"/>
      <c r="B89" s="335"/>
      <c r="C89" s="336"/>
      <c r="D89" s="337"/>
      <c r="E89" s="338"/>
      <c r="F89" s="338"/>
      <c r="G89" s="338"/>
      <c r="H89" s="338"/>
      <c r="I89" s="338"/>
      <c r="J89" s="338"/>
      <c r="K89" s="338"/>
      <c r="L89" s="338"/>
      <c r="M89" s="338"/>
      <c r="N89" s="338"/>
      <c r="O89" s="338"/>
      <c r="P89" s="338"/>
      <c r="Q89" s="338"/>
      <c r="R89" s="338"/>
      <c r="S89" s="338"/>
      <c r="T89" s="338"/>
      <c r="U89" s="338"/>
      <c r="V89" s="338"/>
      <c r="W89" s="338"/>
      <c r="X89" s="338"/>
      <c r="Y89" s="338"/>
      <c r="Z89" s="338"/>
      <c r="AA89" s="338"/>
      <c r="AB89" s="338"/>
      <c r="AD89" s="376"/>
      <c r="AE89" s="376"/>
    </row>
    <row r="90" ht="13.2" customHeight="1" spans="1:31">
      <c r="A90" s="371"/>
      <c r="B90" s="335"/>
      <c r="C90" s="336"/>
      <c r="D90" s="337"/>
      <c r="E90" s="338"/>
      <c r="F90" s="338"/>
      <c r="G90" s="338"/>
      <c r="H90" s="338"/>
      <c r="I90" s="338"/>
      <c r="J90" s="338"/>
      <c r="K90" s="338"/>
      <c r="L90" s="338"/>
      <c r="M90" s="338"/>
      <c r="N90" s="338"/>
      <c r="O90" s="338"/>
      <c r="P90" s="338"/>
      <c r="Q90" s="338"/>
      <c r="R90" s="338"/>
      <c r="S90" s="338"/>
      <c r="T90" s="338"/>
      <c r="U90" s="338"/>
      <c r="V90" s="338"/>
      <c r="W90" s="338"/>
      <c r="X90" s="338"/>
      <c r="Y90" s="338"/>
      <c r="Z90" s="338"/>
      <c r="AA90" s="338"/>
      <c r="AB90" s="338"/>
      <c r="AD90" s="376"/>
      <c r="AE90" s="376"/>
    </row>
    <row r="91" ht="13.2" customHeight="1" spans="1:31">
      <c r="A91" s="371"/>
      <c r="B91" s="335"/>
      <c r="C91" s="336"/>
      <c r="D91" s="337"/>
      <c r="E91" s="338"/>
      <c r="F91" s="338"/>
      <c r="G91" s="338"/>
      <c r="H91" s="338"/>
      <c r="I91" s="338"/>
      <c r="J91" s="338"/>
      <c r="K91" s="338"/>
      <c r="L91" s="338"/>
      <c r="M91" s="338"/>
      <c r="N91" s="338"/>
      <c r="O91" s="338"/>
      <c r="P91" s="338"/>
      <c r="Q91" s="338"/>
      <c r="R91" s="338"/>
      <c r="S91" s="338"/>
      <c r="T91" s="338"/>
      <c r="U91" s="338"/>
      <c r="V91" s="338"/>
      <c r="W91" s="338"/>
      <c r="X91" s="338"/>
      <c r="Y91" s="338"/>
      <c r="Z91" s="338"/>
      <c r="AA91" s="338"/>
      <c r="AB91" s="338"/>
      <c r="AD91" s="376"/>
      <c r="AE91" s="376"/>
    </row>
    <row r="92" ht="13.2" customHeight="1" spans="1:31">
      <c r="A92" s="371"/>
      <c r="B92" s="335"/>
      <c r="C92" s="336"/>
      <c r="D92" s="337"/>
      <c r="E92" s="338"/>
      <c r="F92" s="338"/>
      <c r="G92" s="338"/>
      <c r="H92" s="338"/>
      <c r="I92" s="338"/>
      <c r="J92" s="338"/>
      <c r="K92" s="338"/>
      <c r="L92" s="338"/>
      <c r="M92" s="338"/>
      <c r="N92" s="338"/>
      <c r="O92" s="338"/>
      <c r="P92" s="338"/>
      <c r="Q92" s="338"/>
      <c r="R92" s="338"/>
      <c r="S92" s="338"/>
      <c r="T92" s="338"/>
      <c r="U92" s="338"/>
      <c r="V92" s="338"/>
      <c r="W92" s="338"/>
      <c r="X92" s="338"/>
      <c r="Y92" s="338"/>
      <c r="Z92" s="338"/>
      <c r="AA92" s="338"/>
      <c r="AB92" s="338"/>
      <c r="AD92" s="376"/>
      <c r="AE92" s="376"/>
    </row>
    <row r="93" ht="13.2" customHeight="1" spans="1:31">
      <c r="A93" s="371"/>
      <c r="B93" s="335"/>
      <c r="C93" s="336"/>
      <c r="D93" s="337"/>
      <c r="E93" s="338"/>
      <c r="F93" s="338"/>
      <c r="G93" s="338"/>
      <c r="H93" s="338"/>
      <c r="I93" s="338"/>
      <c r="J93" s="338"/>
      <c r="K93" s="338"/>
      <c r="L93" s="338"/>
      <c r="M93" s="338"/>
      <c r="N93" s="338"/>
      <c r="O93" s="338"/>
      <c r="P93" s="338"/>
      <c r="Q93" s="338"/>
      <c r="R93" s="338"/>
      <c r="S93" s="338"/>
      <c r="T93" s="338"/>
      <c r="U93" s="338"/>
      <c r="V93" s="338"/>
      <c r="W93" s="338"/>
      <c r="X93" s="338"/>
      <c r="Y93" s="338"/>
      <c r="Z93" s="338"/>
      <c r="AA93" s="338"/>
      <c r="AB93" s="338"/>
      <c r="AD93" s="376"/>
      <c r="AE93" s="376"/>
    </row>
    <row r="94" ht="13.2" customHeight="1" spans="1:31">
      <c r="A94" s="371"/>
      <c r="B94" s="335"/>
      <c r="C94" s="336"/>
      <c r="D94" s="337"/>
      <c r="E94" s="338"/>
      <c r="F94" s="338"/>
      <c r="G94" s="338"/>
      <c r="H94" s="338"/>
      <c r="I94" s="338"/>
      <c r="J94" s="338"/>
      <c r="K94" s="338"/>
      <c r="L94" s="338"/>
      <c r="M94" s="338"/>
      <c r="N94" s="338"/>
      <c r="O94" s="338"/>
      <c r="P94" s="338"/>
      <c r="Q94" s="338"/>
      <c r="R94" s="338"/>
      <c r="S94" s="338"/>
      <c r="T94" s="338"/>
      <c r="U94" s="338"/>
      <c r="V94" s="338"/>
      <c r="W94" s="338"/>
      <c r="X94" s="338"/>
      <c r="Y94" s="338"/>
      <c r="Z94" s="338"/>
      <c r="AA94" s="338"/>
      <c r="AB94" s="338"/>
      <c r="AD94" s="376"/>
      <c r="AE94" s="376"/>
    </row>
    <row r="95" ht="13.2" customHeight="1" spans="1:31">
      <c r="A95" s="371"/>
      <c r="B95" s="335"/>
      <c r="C95" s="336"/>
      <c r="D95" s="337"/>
      <c r="E95" s="338"/>
      <c r="F95" s="338"/>
      <c r="G95" s="338"/>
      <c r="H95" s="338"/>
      <c r="I95" s="338"/>
      <c r="J95" s="338"/>
      <c r="K95" s="338"/>
      <c r="L95" s="338"/>
      <c r="M95" s="338"/>
      <c r="N95" s="338"/>
      <c r="O95" s="338"/>
      <c r="P95" s="338"/>
      <c r="Q95" s="338"/>
      <c r="R95" s="338"/>
      <c r="S95" s="338"/>
      <c r="T95" s="338"/>
      <c r="U95" s="338"/>
      <c r="V95" s="338"/>
      <c r="W95" s="338"/>
      <c r="X95" s="338"/>
      <c r="Y95" s="338"/>
      <c r="Z95" s="338"/>
      <c r="AA95" s="338"/>
      <c r="AB95" s="338"/>
      <c r="AD95" s="376"/>
      <c r="AE95" s="376"/>
    </row>
    <row r="96" ht="13.2" customHeight="1" spans="1:31">
      <c r="A96" s="371"/>
      <c r="B96" s="335"/>
      <c r="C96" s="336"/>
      <c r="D96" s="337"/>
      <c r="E96" s="338"/>
      <c r="F96" s="338"/>
      <c r="G96" s="338"/>
      <c r="H96" s="338"/>
      <c r="I96" s="338"/>
      <c r="J96" s="338"/>
      <c r="K96" s="338"/>
      <c r="L96" s="338"/>
      <c r="M96" s="338"/>
      <c r="N96" s="338"/>
      <c r="O96" s="338"/>
      <c r="P96" s="338"/>
      <c r="Q96" s="338"/>
      <c r="R96" s="338"/>
      <c r="S96" s="338"/>
      <c r="T96" s="338"/>
      <c r="U96" s="338"/>
      <c r="V96" s="338"/>
      <c r="W96" s="338"/>
      <c r="X96" s="338"/>
      <c r="Y96" s="338"/>
      <c r="Z96" s="338"/>
      <c r="AA96" s="338"/>
      <c r="AB96" s="338"/>
      <c r="AD96" s="376"/>
      <c r="AE96" s="376"/>
    </row>
    <row r="97" ht="13.2" customHeight="1" spans="1:31">
      <c r="A97" s="371"/>
      <c r="B97" s="335"/>
      <c r="C97" s="336"/>
      <c r="D97" s="337"/>
      <c r="E97" s="338"/>
      <c r="F97" s="338"/>
      <c r="G97" s="338"/>
      <c r="H97" s="338"/>
      <c r="I97" s="338"/>
      <c r="J97" s="338"/>
      <c r="K97" s="338"/>
      <c r="L97" s="338"/>
      <c r="M97" s="338"/>
      <c r="N97" s="338"/>
      <c r="O97" s="338"/>
      <c r="P97" s="338"/>
      <c r="Q97" s="338"/>
      <c r="R97" s="338"/>
      <c r="S97" s="338"/>
      <c r="T97" s="338"/>
      <c r="U97" s="338"/>
      <c r="V97" s="338"/>
      <c r="W97" s="338"/>
      <c r="X97" s="338"/>
      <c r="Y97" s="338"/>
      <c r="Z97" s="338"/>
      <c r="AA97" s="338"/>
      <c r="AB97" s="338"/>
      <c r="AD97" s="376"/>
      <c r="AE97" s="376"/>
    </row>
    <row r="98" ht="13.2" customHeight="1" spans="1:31">
      <c r="A98" s="371"/>
      <c r="B98" s="335"/>
      <c r="C98" s="336"/>
      <c r="D98" s="337"/>
      <c r="E98" s="338"/>
      <c r="F98" s="338"/>
      <c r="G98" s="338"/>
      <c r="H98" s="338"/>
      <c r="I98" s="338"/>
      <c r="J98" s="338"/>
      <c r="K98" s="338"/>
      <c r="L98" s="338"/>
      <c r="M98" s="338"/>
      <c r="N98" s="338"/>
      <c r="O98" s="338"/>
      <c r="P98" s="338"/>
      <c r="Q98" s="338"/>
      <c r="R98" s="338"/>
      <c r="S98" s="338"/>
      <c r="T98" s="338"/>
      <c r="U98" s="338"/>
      <c r="V98" s="338"/>
      <c r="W98" s="338"/>
      <c r="X98" s="338"/>
      <c r="Y98" s="338"/>
      <c r="Z98" s="338"/>
      <c r="AA98" s="338"/>
      <c r="AB98" s="338"/>
      <c r="AD98" s="376"/>
      <c r="AE98" s="376"/>
    </row>
    <row r="99" ht="13.2" customHeight="1" spans="1:31">
      <c r="A99" s="371"/>
      <c r="B99" s="335"/>
      <c r="C99" s="336"/>
      <c r="D99" s="337"/>
      <c r="E99" s="338"/>
      <c r="F99" s="338"/>
      <c r="G99" s="338"/>
      <c r="H99" s="338"/>
      <c r="I99" s="338"/>
      <c r="J99" s="338"/>
      <c r="K99" s="338"/>
      <c r="L99" s="338"/>
      <c r="M99" s="338"/>
      <c r="N99" s="338"/>
      <c r="O99" s="338"/>
      <c r="P99" s="338"/>
      <c r="Q99" s="338"/>
      <c r="R99" s="338"/>
      <c r="S99" s="338"/>
      <c r="T99" s="338"/>
      <c r="U99" s="338"/>
      <c r="V99" s="338"/>
      <c r="W99" s="338"/>
      <c r="X99" s="338"/>
      <c r="Y99" s="338"/>
      <c r="Z99" s="338"/>
      <c r="AA99" s="338"/>
      <c r="AB99" s="338"/>
      <c r="AD99" s="376"/>
      <c r="AE99" s="376"/>
    </row>
    <row r="100" ht="13.2" customHeight="1" spans="1:31">
      <c r="A100" s="371"/>
      <c r="B100" s="335"/>
      <c r="C100" s="336"/>
      <c r="D100" s="337"/>
      <c r="E100" s="338"/>
      <c r="F100" s="338"/>
      <c r="G100" s="338"/>
      <c r="H100" s="338"/>
      <c r="I100" s="338"/>
      <c r="J100" s="338"/>
      <c r="K100" s="338"/>
      <c r="L100" s="338"/>
      <c r="M100" s="338"/>
      <c r="N100" s="338"/>
      <c r="O100" s="338"/>
      <c r="P100" s="338"/>
      <c r="Q100" s="338"/>
      <c r="R100" s="338"/>
      <c r="S100" s="338"/>
      <c r="T100" s="338"/>
      <c r="U100" s="338"/>
      <c r="V100" s="338"/>
      <c r="W100" s="338"/>
      <c r="X100" s="338"/>
      <c r="Y100" s="338"/>
      <c r="Z100" s="338"/>
      <c r="AA100" s="338"/>
      <c r="AB100" s="338"/>
      <c r="AD100" s="376"/>
      <c r="AE100" s="376"/>
    </row>
    <row r="101" ht="13.2" customHeight="1" spans="1:31">
      <c r="A101" s="371"/>
      <c r="B101" s="335"/>
      <c r="C101" s="336"/>
      <c r="D101" s="337"/>
      <c r="E101" s="338"/>
      <c r="F101" s="338"/>
      <c r="G101" s="338"/>
      <c r="H101" s="338"/>
      <c r="I101" s="338"/>
      <c r="J101" s="338"/>
      <c r="K101" s="338"/>
      <c r="L101" s="338"/>
      <c r="M101" s="338"/>
      <c r="N101" s="338"/>
      <c r="O101" s="338"/>
      <c r="P101" s="338"/>
      <c r="Q101" s="338"/>
      <c r="R101" s="338"/>
      <c r="S101" s="338"/>
      <c r="T101" s="338"/>
      <c r="U101" s="338"/>
      <c r="V101" s="338"/>
      <c r="W101" s="338"/>
      <c r="X101" s="338"/>
      <c r="Y101" s="338"/>
      <c r="Z101" s="338"/>
      <c r="AA101" s="338"/>
      <c r="AB101" s="338"/>
      <c r="AD101" s="376"/>
      <c r="AE101" s="376"/>
    </row>
    <row r="102" ht="13.2" customHeight="1" spans="1:31">
      <c r="A102" s="371"/>
      <c r="B102" s="335"/>
      <c r="C102" s="336"/>
      <c r="D102" s="337"/>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c r="AA102" s="338"/>
      <c r="AB102" s="338"/>
      <c r="AD102" s="376"/>
      <c r="AE102" s="376"/>
    </row>
    <row r="103" ht="13.2" customHeight="1" spans="1:31">
      <c r="A103" s="371"/>
      <c r="B103" s="335"/>
      <c r="C103" s="336"/>
      <c r="D103" s="337"/>
      <c r="E103" s="338"/>
      <c r="F103" s="338"/>
      <c r="G103" s="338"/>
      <c r="H103" s="338"/>
      <c r="I103" s="338"/>
      <c r="J103" s="338"/>
      <c r="K103" s="338"/>
      <c r="L103" s="338"/>
      <c r="M103" s="338"/>
      <c r="N103" s="338"/>
      <c r="O103" s="338"/>
      <c r="P103" s="338"/>
      <c r="Q103" s="338"/>
      <c r="R103" s="338"/>
      <c r="S103" s="338"/>
      <c r="T103" s="338"/>
      <c r="U103" s="338"/>
      <c r="V103" s="338"/>
      <c r="W103" s="338"/>
      <c r="X103" s="338"/>
      <c r="Y103" s="338"/>
      <c r="Z103" s="338"/>
      <c r="AA103" s="338"/>
      <c r="AB103" s="338"/>
      <c r="AD103" s="376"/>
      <c r="AE103" s="376"/>
    </row>
    <row r="104" ht="13.2" customHeight="1" spans="1:31">
      <c r="A104" s="371"/>
      <c r="B104" s="335"/>
      <c r="C104" s="336"/>
      <c r="D104" s="337"/>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c r="AA104" s="338"/>
      <c r="AB104" s="338"/>
      <c r="AD104" s="376"/>
      <c r="AE104" s="376"/>
    </row>
    <row r="105" ht="13.2" customHeight="1" spans="1:31">
      <c r="A105" s="371"/>
      <c r="B105" s="335"/>
      <c r="C105" s="336"/>
      <c r="D105" s="337"/>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c r="AA105" s="338"/>
      <c r="AB105" s="338"/>
      <c r="AD105" s="376"/>
      <c r="AE105" s="376"/>
    </row>
    <row r="106" ht="13.2" customHeight="1" spans="1:31">
      <c r="A106" s="371"/>
      <c r="B106" s="335"/>
      <c r="C106" s="336"/>
      <c r="D106" s="337"/>
      <c r="E106" s="338"/>
      <c r="F106" s="338"/>
      <c r="G106" s="338"/>
      <c r="H106" s="338"/>
      <c r="I106" s="338"/>
      <c r="J106" s="338"/>
      <c r="K106" s="338"/>
      <c r="L106" s="338"/>
      <c r="M106" s="338"/>
      <c r="N106" s="338"/>
      <c r="O106" s="338"/>
      <c r="P106" s="338"/>
      <c r="Q106" s="338"/>
      <c r="R106" s="338"/>
      <c r="S106" s="338"/>
      <c r="T106" s="338"/>
      <c r="U106" s="338"/>
      <c r="V106" s="338"/>
      <c r="W106" s="338"/>
      <c r="X106" s="338"/>
      <c r="Y106" s="338"/>
      <c r="Z106" s="338"/>
      <c r="AA106" s="338"/>
      <c r="AB106" s="338"/>
      <c r="AD106" s="376"/>
      <c r="AE106" s="376"/>
    </row>
    <row r="107" ht="13.2" customHeight="1" spans="1:31">
      <c r="A107" s="371"/>
      <c r="B107" s="335"/>
      <c r="C107" s="336"/>
      <c r="D107" s="337"/>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c r="AA107" s="338"/>
      <c r="AB107" s="338"/>
      <c r="AD107" s="376"/>
      <c r="AE107" s="376"/>
    </row>
    <row r="108" ht="13.2" customHeight="1" spans="1:31">
      <c r="A108" s="371"/>
      <c r="B108" s="335"/>
      <c r="C108" s="336"/>
      <c r="D108" s="337"/>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c r="AA108" s="338"/>
      <c r="AB108" s="338"/>
      <c r="AD108" s="376"/>
      <c r="AE108" s="376"/>
    </row>
    <row r="109" ht="13.2" customHeight="1" spans="1:31">
      <c r="A109" s="371"/>
      <c r="B109" s="335"/>
      <c r="C109" s="336"/>
      <c r="D109" s="337"/>
      <c r="E109" s="338"/>
      <c r="F109" s="338"/>
      <c r="G109" s="338"/>
      <c r="H109" s="338"/>
      <c r="I109" s="338"/>
      <c r="J109" s="338"/>
      <c r="K109" s="338"/>
      <c r="L109" s="338"/>
      <c r="M109" s="338"/>
      <c r="N109" s="338"/>
      <c r="O109" s="338"/>
      <c r="P109" s="338"/>
      <c r="Q109" s="338"/>
      <c r="R109" s="338"/>
      <c r="S109" s="338"/>
      <c r="T109" s="338"/>
      <c r="U109" s="338"/>
      <c r="V109" s="338"/>
      <c r="W109" s="338"/>
      <c r="X109" s="338"/>
      <c r="Y109" s="338"/>
      <c r="Z109" s="338"/>
      <c r="AA109" s="338"/>
      <c r="AB109" s="338"/>
      <c r="AD109" s="376"/>
      <c r="AE109" s="376"/>
    </row>
    <row r="110" ht="13.2" customHeight="1" spans="1:31">
      <c r="A110" s="371"/>
      <c r="B110" s="335"/>
      <c r="C110" s="336"/>
      <c r="D110" s="337"/>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c r="AA110" s="338"/>
      <c r="AB110" s="338"/>
      <c r="AD110" s="376"/>
      <c r="AE110" s="376"/>
    </row>
    <row r="111" ht="13.2" customHeight="1" spans="1:31">
      <c r="A111" s="371"/>
      <c r="B111" s="335"/>
      <c r="C111" s="336"/>
      <c r="D111" s="337"/>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c r="AA111" s="338"/>
      <c r="AB111" s="338"/>
      <c r="AD111" s="376"/>
      <c r="AE111" s="376"/>
    </row>
    <row r="112" ht="13.2" customHeight="1" spans="1:31">
      <c r="A112" s="371"/>
      <c r="B112" s="335"/>
      <c r="C112" s="336"/>
      <c r="D112" s="337"/>
      <c r="E112" s="338"/>
      <c r="F112" s="338"/>
      <c r="G112" s="338"/>
      <c r="H112" s="338"/>
      <c r="I112" s="338"/>
      <c r="J112" s="338"/>
      <c r="K112" s="338"/>
      <c r="L112" s="338"/>
      <c r="M112" s="338"/>
      <c r="N112" s="338"/>
      <c r="O112" s="338"/>
      <c r="P112" s="338"/>
      <c r="Q112" s="338"/>
      <c r="R112" s="338"/>
      <c r="S112" s="338"/>
      <c r="T112" s="338"/>
      <c r="U112" s="338"/>
      <c r="V112" s="338"/>
      <c r="W112" s="338"/>
      <c r="X112" s="338"/>
      <c r="Y112" s="338"/>
      <c r="Z112" s="338"/>
      <c r="AA112" s="338"/>
      <c r="AB112" s="338"/>
      <c r="AD112" s="376"/>
      <c r="AE112" s="376"/>
    </row>
    <row r="113" ht="13.2" customHeight="1" spans="1:34">
      <c r="A113" s="371"/>
      <c r="B113" s="335"/>
      <c r="C113" s="336"/>
      <c r="D113" s="337"/>
      <c r="E113" s="338"/>
      <c r="F113" s="338"/>
      <c r="G113" s="338"/>
      <c r="H113" s="338"/>
      <c r="I113" s="338"/>
      <c r="J113" s="338"/>
      <c r="K113" s="338"/>
      <c r="L113" s="338"/>
      <c r="M113" s="338"/>
      <c r="N113" s="338"/>
      <c r="O113" s="338"/>
      <c r="P113" s="338"/>
      <c r="Q113" s="338"/>
      <c r="R113" s="338"/>
      <c r="S113" s="338"/>
      <c r="T113" s="338"/>
      <c r="U113" s="338"/>
      <c r="V113" s="338"/>
      <c r="W113" s="338"/>
      <c r="X113" s="338"/>
      <c r="Y113" s="338"/>
      <c r="Z113" s="338"/>
      <c r="AA113" s="338"/>
      <c r="AB113" s="338"/>
      <c r="AC113" s="338"/>
      <c r="AE113" s="376"/>
      <c r="AF113" s="376"/>
    </row>
    <row r="114" ht="13.2" customHeight="1" spans="1:34">
      <c r="A114" s="371"/>
      <c r="B114" s="335"/>
      <c r="C114" s="336"/>
      <c r="D114" s="337"/>
      <c r="E114" s="338"/>
      <c r="F114" s="338"/>
      <c r="G114" s="338"/>
      <c r="H114" s="338"/>
      <c r="I114" s="338"/>
      <c r="J114" s="338"/>
      <c r="K114" s="338"/>
      <c r="L114" s="338"/>
      <c r="M114" s="338"/>
      <c r="N114" s="338"/>
      <c r="O114" s="338"/>
      <c r="P114" s="338"/>
      <c r="Q114" s="338"/>
      <c r="R114" s="338"/>
      <c r="S114" s="338"/>
      <c r="T114" s="338"/>
      <c r="U114" s="338"/>
      <c r="V114" s="338"/>
      <c r="W114" s="338"/>
      <c r="X114" s="338"/>
      <c r="Y114" s="338"/>
      <c r="Z114" s="338"/>
      <c r="AA114" s="338"/>
      <c r="AB114" s="338"/>
      <c r="AC114" s="338"/>
      <c r="AE114" s="376"/>
      <c r="AF114" s="376"/>
    </row>
    <row r="115" ht="13.2" customHeight="1" spans="1:34">
      <c r="A115" s="371"/>
      <c r="B115" s="335"/>
      <c r="C115" s="336"/>
      <c r="D115" s="337"/>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c r="AA115" s="338"/>
      <c r="AB115" s="338"/>
      <c r="AC115" s="338"/>
      <c r="AD115" s="338"/>
      <c r="AF115" s="376"/>
      <c r="AG115" s="376"/>
    </row>
    <row r="116" ht="13.2" customHeight="1" spans="1:34">
      <c r="A116" s="371"/>
      <c r="B116" s="335"/>
      <c r="C116" s="336"/>
      <c r="D116" s="337"/>
      <c r="E116" s="338"/>
      <c r="F116" s="338"/>
      <c r="G116" s="338"/>
      <c r="H116" s="338"/>
      <c r="I116" s="338"/>
      <c r="J116" s="338"/>
      <c r="K116" s="338"/>
      <c r="L116" s="338"/>
      <c r="M116" s="338"/>
      <c r="N116" s="338"/>
      <c r="O116" s="338"/>
      <c r="P116" s="338"/>
      <c r="Q116" s="338"/>
      <c r="R116" s="338"/>
      <c r="S116" s="338"/>
      <c r="T116" s="338"/>
      <c r="U116" s="338"/>
      <c r="V116" s="338"/>
      <c r="W116" s="338"/>
      <c r="X116" s="338"/>
      <c r="Y116" s="338"/>
      <c r="Z116" s="338"/>
      <c r="AA116" s="338"/>
      <c r="AB116" s="338"/>
      <c r="AC116" s="338"/>
      <c r="AD116" s="338"/>
      <c r="AF116" s="376"/>
      <c r="AG116" s="376"/>
    </row>
    <row r="117" ht="13.2" customHeight="1" spans="1:34">
      <c r="A117" s="371"/>
      <c r="B117" s="335"/>
      <c r="C117" s="336"/>
      <c r="D117" s="337"/>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c r="AA117" s="338"/>
      <c r="AB117" s="338"/>
      <c r="AC117" s="338"/>
      <c r="AD117" s="338"/>
      <c r="AE117" s="338"/>
      <c r="AG117" s="376"/>
      <c r="AH117" s="376"/>
    </row>
    <row r="118" ht="13.2" customHeight="1" spans="1:34">
      <c r="A118" s="371"/>
      <c r="B118" s="335"/>
      <c r="C118" s="336"/>
      <c r="D118" s="337"/>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c r="AA118" s="338"/>
      <c r="AB118" s="338"/>
      <c r="AC118" s="338"/>
      <c r="AD118" s="338"/>
      <c r="AE118" s="338"/>
      <c r="AG118" s="376"/>
      <c r="AH118" s="376"/>
    </row>
    <row r="119" ht="13.2" customHeight="1" spans="1:34">
      <c r="A119" s="371"/>
      <c r="B119" s="335"/>
      <c r="C119" s="336"/>
      <c r="D119" s="337"/>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c r="AA119" s="338"/>
      <c r="AB119" s="338"/>
      <c r="AC119" s="338"/>
      <c r="AD119" s="338"/>
      <c r="AE119" s="338"/>
      <c r="AG119" s="376"/>
      <c r="AH119" s="376"/>
    </row>
    <row r="120" ht="13.2" customHeight="1" spans="1:34">
      <c r="A120" s="371"/>
      <c r="B120" s="335"/>
      <c r="C120" s="336"/>
      <c r="D120" s="337"/>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c r="AA120" s="338"/>
      <c r="AB120" s="338"/>
      <c r="AC120" s="338"/>
      <c r="AD120" s="338"/>
      <c r="AE120" s="338"/>
      <c r="AG120" s="376"/>
      <c r="AH120" s="376"/>
    </row>
    <row r="121" ht="13.2" customHeight="1" spans="1:34">
      <c r="A121" s="371"/>
      <c r="B121" s="335"/>
      <c r="C121" s="336"/>
      <c r="D121" s="337"/>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c r="AA121" s="338"/>
      <c r="AB121" s="338"/>
      <c r="AC121" s="338"/>
      <c r="AD121" s="338"/>
      <c r="AE121" s="338"/>
      <c r="AG121" s="376"/>
      <c r="AH121" s="376"/>
    </row>
    <row r="122" ht="13.2" customHeight="1" spans="1:34">
      <c r="A122" s="371"/>
      <c r="B122" s="335"/>
      <c r="C122" s="336"/>
      <c r="D122" s="337"/>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c r="AA122" s="338"/>
      <c r="AB122" s="338"/>
      <c r="AC122" s="338"/>
      <c r="AD122" s="338"/>
      <c r="AE122" s="338"/>
      <c r="AG122" s="376"/>
      <c r="AH122" s="376"/>
    </row>
    <row r="123" ht="13.2" customHeight="1" spans="1:34">
      <c r="A123" s="371"/>
      <c r="B123" s="335"/>
      <c r="C123" s="336"/>
      <c r="D123" s="337"/>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c r="AA123" s="338"/>
      <c r="AB123" s="338"/>
      <c r="AC123" s="338"/>
      <c r="AD123" s="338"/>
      <c r="AE123" s="338"/>
      <c r="AG123" s="376"/>
      <c r="AH123" s="376"/>
    </row>
    <row r="124" ht="13.2" customHeight="1" spans="1:34">
      <c r="A124" s="371"/>
      <c r="B124" s="335"/>
      <c r="C124" s="336"/>
      <c r="D124" s="337"/>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c r="AA124" s="338"/>
      <c r="AB124" s="338"/>
      <c r="AC124" s="338"/>
      <c r="AD124" s="338"/>
      <c r="AE124" s="338"/>
      <c r="AG124" s="376"/>
      <c r="AH124" s="376"/>
    </row>
    <row r="125" ht="13.2" customHeight="1" spans="1:34">
      <c r="A125" s="371"/>
      <c r="B125" s="335"/>
      <c r="C125" s="336"/>
      <c r="D125" s="337"/>
      <c r="E125" s="338"/>
      <c r="F125" s="338"/>
      <c r="G125" s="338"/>
      <c r="H125" s="338"/>
      <c r="I125" s="338"/>
      <c r="J125" s="338"/>
      <c r="K125" s="338"/>
      <c r="L125" s="338"/>
      <c r="M125" s="338"/>
      <c r="N125" s="338"/>
      <c r="O125" s="338"/>
      <c r="P125" s="338"/>
      <c r="Q125" s="338"/>
      <c r="R125" s="338"/>
      <c r="S125" s="338"/>
      <c r="T125" s="338"/>
      <c r="U125" s="338"/>
      <c r="V125" s="338"/>
      <c r="W125" s="338"/>
      <c r="X125" s="338"/>
      <c r="Y125" s="338"/>
      <c r="Z125" s="338"/>
      <c r="AA125" s="338"/>
      <c r="AB125" s="338"/>
      <c r="AC125" s="338"/>
      <c r="AD125" s="338"/>
      <c r="AE125" s="338"/>
      <c r="AG125" s="376"/>
      <c r="AH125" s="376"/>
    </row>
    <row r="126" ht="13.2" customHeight="1" spans="1:34">
      <c r="A126" s="371"/>
      <c r="B126" s="335"/>
      <c r="C126" s="336"/>
      <c r="D126" s="337"/>
      <c r="E126" s="338"/>
      <c r="F126" s="338"/>
      <c r="G126" s="338"/>
      <c r="H126" s="338"/>
      <c r="I126" s="338"/>
      <c r="J126" s="338"/>
      <c r="K126" s="338"/>
      <c r="L126" s="338"/>
      <c r="M126" s="338"/>
      <c r="N126" s="338"/>
      <c r="O126" s="338"/>
      <c r="P126" s="338"/>
      <c r="Q126" s="338"/>
      <c r="R126" s="338"/>
      <c r="S126" s="338"/>
      <c r="T126" s="338"/>
      <c r="U126" s="338"/>
      <c r="V126" s="338"/>
      <c r="W126" s="338"/>
      <c r="X126" s="338"/>
      <c r="Y126" s="338"/>
      <c r="Z126" s="338"/>
      <c r="AA126" s="338"/>
      <c r="AB126" s="338"/>
      <c r="AC126" s="338"/>
      <c r="AD126" s="338"/>
      <c r="AE126" s="338"/>
      <c r="AG126" s="376"/>
      <c r="AH126" s="376"/>
    </row>
    <row r="127" ht="13.2" customHeight="1" spans="1:34">
      <c r="A127" s="371"/>
      <c r="B127" s="335"/>
      <c r="C127" s="336"/>
      <c r="D127" s="337"/>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c r="AB127" s="338"/>
      <c r="AC127" s="338"/>
      <c r="AD127" s="338"/>
      <c r="AE127" s="338"/>
      <c r="AG127" s="376"/>
      <c r="AH127" s="376"/>
    </row>
    <row r="128" ht="13.2" customHeight="1" spans="1:34">
      <c r="A128" s="371"/>
      <c r="B128" s="335"/>
      <c r="C128" s="336"/>
      <c r="D128" s="337"/>
      <c r="E128" s="338"/>
      <c r="F128" s="338"/>
      <c r="G128" s="338"/>
      <c r="H128" s="338"/>
      <c r="I128" s="338"/>
      <c r="J128" s="338"/>
      <c r="K128" s="338"/>
      <c r="L128" s="338"/>
      <c r="M128" s="338"/>
      <c r="N128" s="338"/>
      <c r="O128" s="338"/>
      <c r="P128" s="338"/>
      <c r="Q128" s="338"/>
      <c r="R128" s="338"/>
      <c r="S128" s="338"/>
      <c r="T128" s="338"/>
      <c r="U128" s="338"/>
      <c r="V128" s="338"/>
      <c r="W128" s="338"/>
      <c r="X128" s="338"/>
      <c r="Y128" s="338"/>
      <c r="Z128" s="338"/>
      <c r="AA128" s="338"/>
      <c r="AB128" s="338"/>
      <c r="AC128" s="338"/>
      <c r="AD128" s="338"/>
      <c r="AE128" s="338"/>
      <c r="AG128" s="376"/>
      <c r="AH128" s="376"/>
    </row>
    <row r="129" ht="13.2" customHeight="1" spans="1:34">
      <c r="A129" s="371"/>
      <c r="B129" s="335"/>
      <c r="C129" s="336"/>
      <c r="D129" s="337"/>
      <c r="E129" s="338"/>
      <c r="F129" s="338"/>
      <c r="G129" s="338"/>
      <c r="H129" s="338"/>
      <c r="I129" s="338"/>
      <c r="J129" s="338"/>
      <c r="K129" s="338"/>
      <c r="L129" s="338"/>
      <c r="M129" s="338"/>
      <c r="N129" s="338"/>
      <c r="O129" s="338"/>
      <c r="P129" s="338"/>
      <c r="Q129" s="338"/>
      <c r="R129" s="338"/>
      <c r="S129" s="338"/>
      <c r="T129" s="338"/>
      <c r="U129" s="338"/>
      <c r="V129" s="338"/>
      <c r="W129" s="338"/>
      <c r="X129" s="338"/>
      <c r="Y129" s="338"/>
      <c r="Z129" s="338"/>
      <c r="AA129" s="338"/>
      <c r="AB129" s="338"/>
      <c r="AC129" s="338"/>
      <c r="AD129" s="338"/>
      <c r="AE129" s="338"/>
      <c r="AG129" s="376"/>
      <c r="AH129" s="376"/>
    </row>
    <row r="130" ht="13.2" customHeight="1" spans="1:34">
      <c r="A130" s="371"/>
      <c r="B130" s="335"/>
      <c r="C130" s="336"/>
      <c r="D130" s="337"/>
      <c r="E130" s="338"/>
      <c r="F130" s="338"/>
      <c r="G130" s="338"/>
      <c r="H130" s="338"/>
      <c r="I130" s="338"/>
      <c r="J130" s="338"/>
      <c r="K130" s="338"/>
      <c r="L130" s="338"/>
      <c r="M130" s="338"/>
      <c r="N130" s="338"/>
      <c r="O130" s="338"/>
      <c r="P130" s="338"/>
      <c r="Q130" s="338"/>
      <c r="R130" s="338"/>
      <c r="S130" s="338"/>
      <c r="T130" s="338"/>
      <c r="U130" s="338"/>
      <c r="V130" s="338"/>
      <c r="W130" s="338"/>
      <c r="X130" s="338"/>
      <c r="Y130" s="338"/>
      <c r="Z130" s="338"/>
      <c r="AA130" s="338"/>
      <c r="AB130" s="338"/>
      <c r="AC130" s="338"/>
      <c r="AD130" s="338"/>
      <c r="AE130" s="338"/>
      <c r="AG130" s="376"/>
      <c r="AH130" s="376"/>
    </row>
    <row r="131" ht="13.2" customHeight="1" spans="1:34">
      <c r="A131" s="371"/>
      <c r="B131" s="335"/>
      <c r="C131" s="336"/>
      <c r="D131" s="337"/>
      <c r="E131" s="338"/>
      <c r="F131" s="338"/>
      <c r="G131" s="338"/>
      <c r="H131" s="338"/>
      <c r="I131" s="338"/>
      <c r="J131" s="338"/>
      <c r="K131" s="338"/>
      <c r="L131" s="338"/>
      <c r="M131" s="338"/>
      <c r="N131" s="338"/>
      <c r="O131" s="338"/>
      <c r="P131" s="338"/>
      <c r="Q131" s="338"/>
      <c r="R131" s="338"/>
      <c r="S131" s="338"/>
      <c r="T131" s="338"/>
      <c r="U131" s="338"/>
      <c r="V131" s="338"/>
      <c r="W131" s="338"/>
      <c r="X131" s="338"/>
      <c r="Y131" s="338"/>
      <c r="Z131" s="338"/>
      <c r="AA131" s="338"/>
      <c r="AB131" s="338"/>
      <c r="AC131" s="338"/>
      <c r="AD131" s="338"/>
      <c r="AE131" s="338"/>
      <c r="AG131" s="376"/>
      <c r="AH131" s="376"/>
    </row>
    <row r="132" ht="13.2" customHeight="1" spans="1:34">
      <c r="A132" s="371"/>
      <c r="B132" s="335"/>
      <c r="C132" s="336"/>
      <c r="D132" s="337"/>
      <c r="E132" s="338"/>
      <c r="F132" s="338"/>
      <c r="G132" s="338"/>
      <c r="H132" s="338"/>
      <c r="I132" s="338"/>
      <c r="J132" s="338"/>
      <c r="K132" s="338"/>
      <c r="L132" s="338"/>
      <c r="M132" s="338"/>
      <c r="N132" s="338"/>
      <c r="O132" s="338"/>
      <c r="P132" s="338"/>
      <c r="Q132" s="338"/>
      <c r="R132" s="338"/>
      <c r="S132" s="338"/>
      <c r="T132" s="338"/>
      <c r="U132" s="338"/>
      <c r="V132" s="338"/>
      <c r="W132" s="338"/>
      <c r="X132" s="338"/>
      <c r="Y132" s="338"/>
      <c r="Z132" s="338"/>
      <c r="AA132" s="338"/>
      <c r="AB132" s="338"/>
      <c r="AC132" s="338"/>
      <c r="AD132" s="338"/>
      <c r="AE132" s="338"/>
      <c r="AG132" s="376"/>
      <c r="AH132" s="376"/>
    </row>
    <row r="133" ht="13.2" customHeight="1" spans="1:34">
      <c r="A133" s="371"/>
      <c r="B133" s="335"/>
      <c r="C133" s="336"/>
      <c r="D133" s="337"/>
      <c r="E133" s="338"/>
      <c r="F133" s="338"/>
      <c r="G133" s="338"/>
      <c r="H133" s="338"/>
      <c r="I133" s="338"/>
      <c r="J133" s="338"/>
      <c r="K133" s="338"/>
      <c r="L133" s="338"/>
      <c r="M133" s="338"/>
      <c r="N133" s="338"/>
      <c r="O133" s="338"/>
      <c r="P133" s="338"/>
      <c r="Q133" s="338"/>
      <c r="R133" s="338"/>
      <c r="S133" s="338"/>
      <c r="T133" s="338"/>
      <c r="U133" s="338"/>
      <c r="V133" s="338"/>
      <c r="W133" s="338"/>
      <c r="X133" s="338"/>
      <c r="Y133" s="338"/>
      <c r="Z133" s="338"/>
      <c r="AA133" s="338"/>
      <c r="AB133" s="338"/>
      <c r="AC133" s="338"/>
      <c r="AD133" s="338"/>
      <c r="AE133" s="338"/>
      <c r="AG133" s="376"/>
      <c r="AH133" s="376"/>
    </row>
    <row r="134" ht="13.2" customHeight="1" spans="1:34">
      <c r="A134" s="371"/>
      <c r="B134" s="335"/>
      <c r="C134" s="336"/>
      <c r="D134" s="337"/>
      <c r="E134" s="338"/>
      <c r="F134" s="338"/>
      <c r="G134" s="338"/>
      <c r="H134" s="338"/>
      <c r="I134" s="338"/>
      <c r="J134" s="338"/>
      <c r="K134" s="338"/>
      <c r="L134" s="338"/>
      <c r="M134" s="338"/>
      <c r="N134" s="338"/>
      <c r="O134" s="338"/>
      <c r="P134" s="338"/>
      <c r="Q134" s="338"/>
      <c r="R134" s="338"/>
      <c r="S134" s="338"/>
      <c r="T134" s="338"/>
      <c r="U134" s="338"/>
      <c r="V134" s="338"/>
      <c r="W134" s="338"/>
      <c r="X134" s="338"/>
      <c r="Y134" s="338"/>
      <c r="Z134" s="338"/>
      <c r="AA134" s="338"/>
      <c r="AB134" s="338"/>
      <c r="AC134" s="338"/>
      <c r="AD134" s="338"/>
      <c r="AF134" s="376"/>
      <c r="AG134" s="376"/>
    </row>
    <row r="135" ht="13.2" customHeight="1" spans="1:34">
      <c r="A135" s="371"/>
      <c r="B135" s="335"/>
      <c r="C135" s="336"/>
      <c r="D135" s="337"/>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c r="AA135" s="338"/>
      <c r="AB135" s="338"/>
      <c r="AC135" s="338"/>
      <c r="AD135" s="338"/>
      <c r="AF135" s="376"/>
      <c r="AG135" s="376"/>
    </row>
    <row r="136" ht="13.2" customHeight="1" spans="1:34">
      <c r="A136" s="371"/>
      <c r="B136" s="335"/>
      <c r="C136" s="336"/>
      <c r="D136" s="337"/>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c r="AA136" s="338"/>
      <c r="AB136" s="338"/>
      <c r="AC136" s="338"/>
      <c r="AD136" s="338"/>
      <c r="AF136" s="376"/>
      <c r="AG136" s="376"/>
    </row>
    <row r="137" ht="13.2" customHeight="1" spans="1:34">
      <c r="A137" s="371"/>
      <c r="B137" s="335"/>
      <c r="C137" s="336"/>
      <c r="D137" s="337"/>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c r="AA137" s="338"/>
      <c r="AB137" s="338"/>
      <c r="AC137" s="338"/>
      <c r="AD137" s="338"/>
      <c r="AF137" s="376"/>
      <c r="AG137" s="376"/>
    </row>
    <row r="138" ht="13.2" customHeight="1" spans="1:34">
      <c r="A138" s="371"/>
      <c r="B138" s="335"/>
      <c r="C138" s="336"/>
      <c r="D138" s="337"/>
      <c r="E138" s="338"/>
      <c r="F138" s="338"/>
      <c r="G138" s="338"/>
      <c r="H138" s="338"/>
      <c r="I138" s="338"/>
      <c r="J138" s="338"/>
      <c r="K138" s="338"/>
      <c r="L138" s="338"/>
      <c r="M138" s="338"/>
      <c r="N138" s="338"/>
      <c r="O138" s="338"/>
      <c r="P138" s="338"/>
      <c r="Q138" s="338"/>
      <c r="R138" s="338"/>
      <c r="S138" s="338"/>
      <c r="T138" s="338"/>
      <c r="U138" s="338"/>
      <c r="V138" s="338"/>
      <c r="W138" s="338"/>
      <c r="X138" s="338"/>
      <c r="Y138" s="338"/>
      <c r="Z138" s="338"/>
      <c r="AA138" s="338"/>
      <c r="AB138" s="338"/>
      <c r="AC138" s="338"/>
      <c r="AD138" s="338"/>
      <c r="AE138" s="338"/>
      <c r="AG138" s="376"/>
      <c r="AH138" s="376"/>
    </row>
    <row r="139" ht="13.2" customHeight="1" spans="1:34">
      <c r="A139" s="371"/>
      <c r="B139" s="335"/>
      <c r="C139" s="336"/>
      <c r="D139" s="337"/>
      <c r="E139" s="338"/>
      <c r="F139" s="338"/>
      <c r="G139" s="338"/>
      <c r="H139" s="338"/>
      <c r="I139" s="338"/>
      <c r="J139" s="338"/>
      <c r="K139" s="338"/>
      <c r="L139" s="338"/>
      <c r="M139" s="338"/>
      <c r="N139" s="338"/>
      <c r="O139" s="338"/>
      <c r="P139" s="338"/>
      <c r="Q139" s="338"/>
      <c r="R139" s="338"/>
      <c r="S139" s="338"/>
      <c r="T139" s="338"/>
      <c r="U139" s="338"/>
      <c r="V139" s="338"/>
      <c r="W139" s="338"/>
      <c r="X139" s="338"/>
      <c r="Y139" s="338"/>
      <c r="Z139" s="338"/>
      <c r="AA139" s="338"/>
      <c r="AB139" s="338"/>
      <c r="AC139" s="338"/>
      <c r="AD139" s="338"/>
      <c r="AE139" s="338"/>
      <c r="AG139" s="376"/>
      <c r="AH139" s="376"/>
    </row>
    <row r="140" ht="13.2" customHeight="1" spans="1:34">
      <c r="A140" s="371"/>
      <c r="B140" s="335"/>
      <c r="C140" s="336"/>
      <c r="D140" s="337"/>
      <c r="E140" s="338"/>
      <c r="F140" s="338"/>
      <c r="G140" s="338"/>
      <c r="H140" s="338"/>
      <c r="I140" s="338"/>
      <c r="J140" s="338"/>
      <c r="K140" s="338"/>
      <c r="L140" s="338"/>
      <c r="M140" s="338"/>
      <c r="N140" s="338"/>
      <c r="O140" s="338"/>
      <c r="P140" s="338"/>
      <c r="Q140" s="338"/>
      <c r="R140" s="338"/>
      <c r="S140" s="338"/>
      <c r="T140" s="338"/>
      <c r="U140" s="338"/>
      <c r="V140" s="338"/>
      <c r="W140" s="338"/>
      <c r="X140" s="338"/>
      <c r="Y140" s="338"/>
      <c r="Z140" s="338"/>
      <c r="AA140" s="338"/>
      <c r="AB140" s="338"/>
      <c r="AC140" s="338"/>
      <c r="AD140" s="338"/>
      <c r="AE140" s="338"/>
      <c r="AG140" s="376"/>
      <c r="AH140" s="376"/>
    </row>
    <row r="141" ht="13.2" customHeight="1" spans="1:34">
      <c r="A141" s="371"/>
      <c r="B141" s="335"/>
      <c r="C141" s="336"/>
      <c r="D141" s="337"/>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c r="AA141" s="338"/>
      <c r="AB141" s="338"/>
      <c r="AC141" s="338"/>
      <c r="AD141" s="338"/>
      <c r="AE141" s="338"/>
      <c r="AG141" s="376"/>
      <c r="AH141" s="376"/>
    </row>
    <row r="142" ht="13.2" customHeight="1" spans="1:34">
      <c r="A142" s="371"/>
      <c r="B142" s="335"/>
      <c r="C142" s="336"/>
      <c r="D142" s="337"/>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c r="AA142" s="338"/>
      <c r="AB142" s="338"/>
      <c r="AC142" s="338"/>
      <c r="AD142" s="338"/>
      <c r="AE142" s="338"/>
      <c r="AG142" s="376"/>
      <c r="AH142" s="376"/>
    </row>
    <row r="143" ht="13.2" customHeight="1" spans="1:34">
      <c r="A143" s="371"/>
      <c r="B143" s="335"/>
      <c r="C143" s="336"/>
      <c r="D143" s="337"/>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c r="AA143" s="338"/>
      <c r="AB143" s="338"/>
      <c r="AC143" s="338"/>
      <c r="AD143" s="338"/>
      <c r="AE143" s="338"/>
      <c r="AG143" s="376"/>
      <c r="AH143" s="376"/>
    </row>
    <row r="144" ht="13.2" customHeight="1" spans="1:34">
      <c r="A144" s="371"/>
      <c r="B144" s="335"/>
      <c r="C144" s="336"/>
      <c r="D144" s="337"/>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c r="AA144" s="338"/>
      <c r="AB144" s="338"/>
      <c r="AC144" s="338"/>
      <c r="AD144" s="338"/>
      <c r="AE144" s="338"/>
      <c r="AG144" s="376"/>
      <c r="AH144" s="376"/>
    </row>
    <row r="145" ht="13.2" customHeight="1" spans="1:34">
      <c r="A145" s="371"/>
      <c r="B145" s="335"/>
      <c r="C145" s="336"/>
      <c r="D145" s="337"/>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c r="AA145" s="338"/>
      <c r="AB145" s="338"/>
      <c r="AC145" s="338"/>
      <c r="AD145" s="338"/>
      <c r="AE145" s="338"/>
      <c r="AG145" s="376"/>
      <c r="AH145" s="376"/>
    </row>
    <row r="146" ht="13.2" customHeight="1" spans="1:34">
      <c r="A146" s="371"/>
      <c r="B146" s="335"/>
      <c r="C146" s="336"/>
      <c r="D146" s="337"/>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c r="AA146" s="338"/>
      <c r="AB146" s="338"/>
      <c r="AC146" s="338"/>
      <c r="AD146" s="338"/>
      <c r="AE146" s="338"/>
      <c r="AG146" s="376"/>
      <c r="AH146" s="376"/>
    </row>
    <row r="147" ht="13.2" customHeight="1" spans="1:34">
      <c r="A147" s="371"/>
      <c r="B147" s="335"/>
      <c r="C147" s="336"/>
      <c r="D147" s="337"/>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c r="AA147" s="338"/>
      <c r="AB147" s="338"/>
      <c r="AC147" s="338"/>
      <c r="AD147" s="338"/>
      <c r="AE147" s="338"/>
      <c r="AG147" s="376"/>
      <c r="AH147" s="376"/>
    </row>
    <row r="148" ht="13.2" customHeight="1" spans="1:34">
      <c r="A148" s="371"/>
      <c r="B148" s="335"/>
      <c r="C148" s="336"/>
      <c r="D148" s="337"/>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c r="AA148" s="338"/>
      <c r="AB148" s="338"/>
      <c r="AC148" s="338"/>
      <c r="AD148" s="338"/>
      <c r="AE148" s="338"/>
      <c r="AG148" s="376"/>
      <c r="AH148" s="376"/>
    </row>
    <row r="149" ht="13.2" customHeight="1" spans="1:34">
      <c r="A149" s="371"/>
      <c r="B149" s="335"/>
      <c r="C149" s="336"/>
      <c r="D149" s="337"/>
      <c r="E149" s="338"/>
      <c r="F149" s="338"/>
      <c r="G149" s="338"/>
      <c r="H149" s="338"/>
      <c r="I149" s="338"/>
      <c r="J149" s="338"/>
      <c r="K149" s="338"/>
      <c r="L149" s="338"/>
      <c r="M149" s="338"/>
      <c r="N149" s="338"/>
      <c r="O149" s="338"/>
      <c r="P149" s="338"/>
      <c r="Q149" s="338"/>
      <c r="R149" s="338"/>
      <c r="S149" s="338"/>
      <c r="T149" s="338"/>
      <c r="U149" s="338"/>
      <c r="V149" s="338"/>
      <c r="W149" s="338"/>
      <c r="X149" s="338"/>
      <c r="Y149" s="338"/>
      <c r="Z149" s="338"/>
      <c r="AA149" s="338"/>
      <c r="AB149" s="338"/>
      <c r="AC149" s="338"/>
      <c r="AD149" s="338"/>
      <c r="AE149" s="338"/>
      <c r="AG149" s="376"/>
      <c r="AH149" s="376"/>
    </row>
    <row r="150" ht="13.2" customHeight="1" spans="1:34">
      <c r="A150" s="371"/>
      <c r="B150" s="335"/>
      <c r="C150" s="336"/>
      <c r="D150" s="337"/>
      <c r="E150" s="338"/>
      <c r="F150" s="338"/>
      <c r="G150" s="338"/>
      <c r="H150" s="338"/>
      <c r="I150" s="338"/>
      <c r="J150" s="338"/>
      <c r="K150" s="338"/>
      <c r="L150" s="338"/>
      <c r="M150" s="338"/>
      <c r="N150" s="338"/>
      <c r="O150" s="338"/>
      <c r="P150" s="338"/>
      <c r="Q150" s="338"/>
      <c r="R150" s="338"/>
      <c r="S150" s="338"/>
      <c r="T150" s="338"/>
      <c r="U150" s="338"/>
      <c r="V150" s="338"/>
      <c r="W150" s="338"/>
      <c r="X150" s="338"/>
      <c r="Y150" s="338"/>
      <c r="Z150" s="338"/>
      <c r="AA150" s="338"/>
      <c r="AB150" s="338"/>
      <c r="AC150" s="338"/>
      <c r="AD150" s="338"/>
      <c r="AE150" s="338"/>
      <c r="AG150" s="376"/>
      <c r="AH150" s="376"/>
    </row>
    <row r="151" ht="13.2" customHeight="1" spans="1:34">
      <c r="A151" s="371"/>
      <c r="B151" s="335"/>
      <c r="C151" s="336"/>
      <c r="D151" s="337"/>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c r="AA151" s="338"/>
      <c r="AB151" s="338"/>
      <c r="AC151" s="338"/>
      <c r="AD151" s="338"/>
      <c r="AE151" s="338"/>
      <c r="AG151" s="376"/>
      <c r="AH151" s="376"/>
    </row>
    <row r="152" ht="13.2" customHeight="1" spans="1:34">
      <c r="A152" s="371"/>
      <c r="B152" s="335"/>
      <c r="C152" s="336"/>
      <c r="D152" s="337"/>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c r="AA152" s="338"/>
      <c r="AB152" s="338"/>
      <c r="AC152" s="338"/>
      <c r="AD152" s="338"/>
      <c r="AE152" s="338"/>
      <c r="AG152" s="376"/>
      <c r="AH152" s="376"/>
    </row>
    <row r="153" ht="13.2" customHeight="1" spans="1:34">
      <c r="A153" s="371"/>
      <c r="B153" s="335"/>
      <c r="C153" s="336"/>
      <c r="D153" s="337"/>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c r="AA153" s="338"/>
      <c r="AB153" s="338"/>
      <c r="AC153" s="338"/>
      <c r="AD153" s="338"/>
      <c r="AE153" s="338"/>
      <c r="AG153" s="376"/>
      <c r="AH153" s="376"/>
    </row>
    <row r="154" ht="13.2" customHeight="1" spans="1:34">
      <c r="A154" s="371"/>
      <c r="B154" s="335"/>
      <c r="C154" s="336"/>
      <c r="D154" s="337"/>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c r="AA154" s="338"/>
      <c r="AB154" s="338"/>
      <c r="AC154" s="338"/>
      <c r="AD154" s="338"/>
      <c r="AE154" s="338"/>
      <c r="AG154" s="376"/>
      <c r="AH154" s="376"/>
    </row>
    <row r="155" ht="13.2" customHeight="1" spans="1:34">
      <c r="A155" s="371"/>
      <c r="B155" s="335"/>
      <c r="C155" s="336"/>
      <c r="D155" s="337"/>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c r="AA155" s="338"/>
      <c r="AB155" s="338"/>
      <c r="AC155" s="338"/>
      <c r="AD155" s="338"/>
      <c r="AE155" s="338"/>
      <c r="AG155" s="376"/>
      <c r="AH155" s="376"/>
    </row>
    <row r="156" ht="13.2" customHeight="1" spans="1:34">
      <c r="A156" s="371"/>
      <c r="B156" s="335"/>
      <c r="C156" s="336"/>
      <c r="D156" s="337"/>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c r="AA156" s="338"/>
      <c r="AB156" s="338"/>
      <c r="AC156" s="338"/>
      <c r="AD156" s="338"/>
      <c r="AE156" s="338"/>
      <c r="AG156" s="376"/>
      <c r="AH156" s="376"/>
    </row>
    <row r="157" ht="13.2" customHeight="1" spans="1:34">
      <c r="A157" s="371"/>
      <c r="B157" s="335"/>
      <c r="C157" s="336"/>
      <c r="D157" s="337"/>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c r="AA157" s="338"/>
      <c r="AB157" s="338"/>
      <c r="AC157" s="338"/>
      <c r="AD157" s="338"/>
      <c r="AE157" s="338"/>
      <c r="AG157" s="376"/>
      <c r="AH157" s="376"/>
    </row>
    <row r="158" ht="13.2" customHeight="1" spans="1:34">
      <c r="A158" s="371"/>
      <c r="B158" s="335"/>
      <c r="C158" s="336"/>
      <c r="D158" s="337"/>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c r="AA158" s="338"/>
      <c r="AB158" s="338"/>
      <c r="AC158" s="338"/>
      <c r="AD158" s="338"/>
      <c r="AE158" s="338"/>
      <c r="AG158" s="376"/>
      <c r="AH158" s="376"/>
    </row>
    <row r="159" ht="13.2" customHeight="1" spans="1:34">
      <c r="A159" s="371"/>
      <c r="B159" s="335"/>
      <c r="C159" s="336"/>
      <c r="D159" s="337"/>
      <c r="E159" s="338"/>
      <c r="F159" s="338"/>
      <c r="G159" s="338"/>
      <c r="H159" s="338"/>
      <c r="I159" s="338"/>
      <c r="J159" s="338"/>
      <c r="K159" s="338"/>
      <c r="L159" s="338"/>
      <c r="M159" s="338"/>
      <c r="N159" s="338"/>
      <c r="O159" s="338"/>
      <c r="P159" s="338"/>
      <c r="Q159" s="338"/>
      <c r="R159" s="338"/>
      <c r="S159" s="338"/>
      <c r="T159" s="338"/>
      <c r="U159" s="338"/>
      <c r="V159" s="338"/>
      <c r="W159" s="338"/>
      <c r="X159" s="338"/>
      <c r="Y159" s="338"/>
      <c r="Z159" s="338"/>
      <c r="AA159" s="338"/>
      <c r="AB159" s="338"/>
      <c r="AC159" s="338"/>
      <c r="AD159" s="338"/>
      <c r="AE159" s="338"/>
      <c r="AG159" s="376"/>
      <c r="AH159" s="376"/>
    </row>
    <row r="160" ht="13.2" customHeight="1" spans="1:34">
      <c r="A160" s="371"/>
      <c r="B160" s="335"/>
      <c r="C160" s="336"/>
      <c r="D160" s="337"/>
      <c r="E160" s="338"/>
      <c r="F160" s="338"/>
      <c r="G160" s="338"/>
      <c r="H160" s="338"/>
      <c r="I160" s="338"/>
      <c r="J160" s="338"/>
      <c r="K160" s="338"/>
      <c r="L160" s="338"/>
      <c r="M160" s="338"/>
      <c r="N160" s="338"/>
      <c r="O160" s="338"/>
      <c r="P160" s="338"/>
      <c r="Q160" s="338"/>
      <c r="R160" s="338"/>
      <c r="S160" s="338"/>
      <c r="T160" s="338"/>
      <c r="U160" s="338"/>
      <c r="V160" s="338"/>
      <c r="W160" s="338"/>
      <c r="X160" s="338"/>
      <c r="Y160" s="338"/>
      <c r="Z160" s="338"/>
      <c r="AA160" s="338"/>
      <c r="AB160" s="338"/>
      <c r="AC160" s="338"/>
      <c r="AD160" s="338"/>
      <c r="AE160" s="338"/>
      <c r="AG160" s="376"/>
      <c r="AH160" s="376"/>
    </row>
    <row r="161" ht="13.2" customHeight="1" spans="1:34">
      <c r="A161" s="371"/>
      <c r="B161" s="335"/>
      <c r="C161" s="336"/>
      <c r="D161" s="337"/>
      <c r="E161" s="338"/>
      <c r="F161" s="338"/>
      <c r="G161" s="338"/>
      <c r="H161" s="338"/>
      <c r="I161" s="338"/>
      <c r="J161" s="338"/>
      <c r="K161" s="338"/>
      <c r="L161" s="338"/>
      <c r="M161" s="338"/>
      <c r="N161" s="338"/>
      <c r="O161" s="338"/>
      <c r="P161" s="338"/>
      <c r="Q161" s="338"/>
      <c r="R161" s="338"/>
      <c r="S161" s="338"/>
      <c r="T161" s="338"/>
      <c r="U161" s="338"/>
      <c r="V161" s="338"/>
      <c r="W161" s="338"/>
      <c r="X161" s="338"/>
      <c r="Y161" s="338"/>
      <c r="Z161" s="338"/>
      <c r="AA161" s="338"/>
      <c r="AB161" s="338"/>
      <c r="AC161" s="338"/>
      <c r="AD161" s="338"/>
      <c r="AE161" s="338"/>
      <c r="AG161" s="376"/>
      <c r="AH161" s="376"/>
    </row>
    <row r="162" ht="13.2" customHeight="1" spans="1:34">
      <c r="A162" s="371"/>
      <c r="B162" s="335"/>
      <c r="C162" s="336"/>
      <c r="D162" s="337"/>
      <c r="E162" s="338"/>
      <c r="F162" s="338"/>
      <c r="G162" s="338"/>
      <c r="H162" s="338"/>
      <c r="I162" s="338"/>
      <c r="J162" s="338"/>
      <c r="K162" s="338"/>
      <c r="L162" s="338"/>
      <c r="M162" s="338"/>
      <c r="N162" s="338"/>
      <c r="O162" s="338"/>
      <c r="P162" s="338"/>
      <c r="Q162" s="338"/>
      <c r="R162" s="338"/>
      <c r="S162" s="338"/>
      <c r="T162" s="338"/>
      <c r="U162" s="338"/>
      <c r="V162" s="338"/>
      <c r="W162" s="338"/>
      <c r="X162" s="338"/>
      <c r="Y162" s="338"/>
      <c r="Z162" s="338"/>
      <c r="AA162" s="338"/>
      <c r="AB162" s="338"/>
      <c r="AC162" s="338"/>
      <c r="AD162" s="338"/>
      <c r="AE162" s="338"/>
      <c r="AG162" s="376"/>
      <c r="AH162" s="376"/>
    </row>
    <row r="163" ht="13.2" customHeight="1" spans="1:34">
      <c r="A163" s="371"/>
      <c r="B163" s="335"/>
      <c r="C163" s="336"/>
      <c r="D163" s="337"/>
      <c r="E163" s="338"/>
      <c r="F163" s="338"/>
      <c r="G163" s="338"/>
      <c r="H163" s="338"/>
      <c r="I163" s="338"/>
      <c r="J163" s="338"/>
      <c r="K163" s="338"/>
      <c r="L163" s="338"/>
      <c r="M163" s="338"/>
      <c r="N163" s="338"/>
      <c r="O163" s="338"/>
      <c r="P163" s="338"/>
      <c r="Q163" s="338"/>
      <c r="R163" s="338"/>
      <c r="S163" s="338"/>
      <c r="T163" s="338"/>
      <c r="U163" s="338"/>
      <c r="V163" s="338"/>
      <c r="W163" s="338"/>
      <c r="X163" s="338"/>
      <c r="Y163" s="338"/>
      <c r="Z163" s="338"/>
      <c r="AA163" s="338"/>
      <c r="AB163" s="338"/>
      <c r="AC163" s="338"/>
      <c r="AD163" s="338"/>
      <c r="AE163" s="338"/>
      <c r="AG163" s="376"/>
      <c r="AH163" s="376"/>
    </row>
    <row r="164" ht="13.2" customHeight="1" spans="1:34">
      <c r="A164" s="371"/>
      <c r="B164" s="335"/>
      <c r="C164" s="336"/>
      <c r="D164" s="337"/>
      <c r="E164" s="338"/>
      <c r="F164" s="338"/>
      <c r="G164" s="338"/>
      <c r="H164" s="338"/>
      <c r="I164" s="338"/>
      <c r="J164" s="338"/>
      <c r="K164" s="338"/>
      <c r="L164" s="338"/>
      <c r="M164" s="338"/>
      <c r="N164" s="338"/>
      <c r="O164" s="338"/>
      <c r="P164" s="338"/>
      <c r="Q164" s="338"/>
      <c r="R164" s="338"/>
      <c r="S164" s="338"/>
      <c r="T164" s="338"/>
      <c r="U164" s="338"/>
      <c r="V164" s="338"/>
      <c r="W164" s="338"/>
      <c r="X164" s="338"/>
      <c r="Y164" s="338"/>
      <c r="Z164" s="338"/>
      <c r="AA164" s="338"/>
      <c r="AB164" s="338"/>
      <c r="AC164" s="338"/>
      <c r="AD164" s="338"/>
      <c r="AE164" s="338"/>
      <c r="AG164" s="376"/>
      <c r="AH164" s="376"/>
    </row>
    <row r="165" ht="13.2" customHeight="1" spans="1:34">
      <c r="A165" s="371"/>
      <c r="B165" s="335"/>
      <c r="C165" s="336"/>
      <c r="D165" s="337"/>
      <c r="E165" s="338"/>
      <c r="F165" s="338"/>
      <c r="G165" s="338"/>
      <c r="H165" s="338"/>
      <c r="I165" s="338"/>
      <c r="J165" s="338"/>
      <c r="K165" s="338"/>
      <c r="L165" s="338"/>
      <c r="M165" s="338"/>
      <c r="N165" s="338"/>
      <c r="O165" s="338"/>
      <c r="P165" s="338"/>
      <c r="Q165" s="338"/>
      <c r="R165" s="338"/>
      <c r="S165" s="338"/>
      <c r="T165" s="338"/>
      <c r="U165" s="338"/>
      <c r="V165" s="338"/>
      <c r="W165" s="338"/>
      <c r="X165" s="338"/>
      <c r="Y165" s="338"/>
      <c r="Z165" s="338"/>
      <c r="AA165" s="338"/>
      <c r="AB165" s="338"/>
      <c r="AC165" s="338"/>
      <c r="AD165" s="338"/>
      <c r="AE165" s="338"/>
      <c r="AG165" s="376"/>
      <c r="AH165" s="376"/>
    </row>
    <row r="166" ht="13.2" customHeight="1" spans="1:34">
      <c r="A166" s="371"/>
      <c r="B166" s="335"/>
      <c r="C166" s="336"/>
      <c r="D166" s="337"/>
      <c r="E166" s="338"/>
      <c r="F166" s="338"/>
      <c r="G166" s="338"/>
      <c r="H166" s="338"/>
      <c r="I166" s="338"/>
      <c r="J166" s="338"/>
      <c r="K166" s="338"/>
      <c r="L166" s="338"/>
      <c r="M166" s="338"/>
      <c r="N166" s="338"/>
      <c r="O166" s="338"/>
      <c r="P166" s="338"/>
      <c r="Q166" s="338"/>
      <c r="R166" s="338"/>
      <c r="S166" s="338"/>
      <c r="T166" s="338"/>
      <c r="U166" s="338"/>
      <c r="V166" s="338"/>
      <c r="W166" s="338"/>
      <c r="X166" s="338"/>
      <c r="Y166" s="338"/>
      <c r="Z166" s="338"/>
      <c r="AA166" s="338"/>
      <c r="AB166" s="338"/>
      <c r="AC166" s="338"/>
      <c r="AD166" s="338"/>
      <c r="AE166" s="338"/>
      <c r="AG166" s="376"/>
      <c r="AH166" s="376"/>
    </row>
    <row r="167" ht="13.2" customHeight="1" spans="1:34">
      <c r="A167" s="371"/>
      <c r="B167" s="335"/>
      <c r="C167" s="336"/>
      <c r="D167" s="337"/>
      <c r="E167" s="338"/>
      <c r="F167" s="338"/>
      <c r="G167" s="338"/>
      <c r="H167" s="338"/>
      <c r="I167" s="338"/>
      <c r="J167" s="338"/>
      <c r="K167" s="338"/>
      <c r="L167" s="338"/>
      <c r="M167" s="338"/>
      <c r="N167" s="338"/>
      <c r="O167" s="338"/>
      <c r="P167" s="338"/>
      <c r="Q167" s="338"/>
      <c r="R167" s="338"/>
      <c r="S167" s="338"/>
      <c r="T167" s="338"/>
      <c r="U167" s="338"/>
      <c r="V167" s="338"/>
      <c r="W167" s="338"/>
      <c r="X167" s="338"/>
      <c r="Y167" s="338"/>
      <c r="Z167" s="338"/>
      <c r="AA167" s="338"/>
      <c r="AB167" s="338"/>
      <c r="AC167" s="338"/>
      <c r="AD167" s="338"/>
      <c r="AE167" s="338"/>
      <c r="AG167" s="376"/>
      <c r="AH167" s="376"/>
    </row>
    <row r="168" ht="13.2" customHeight="1" spans="1:34">
      <c r="A168" s="371"/>
      <c r="B168" s="335"/>
      <c r="C168" s="336"/>
      <c r="D168" s="337"/>
      <c r="E168" s="338"/>
      <c r="F168" s="338"/>
      <c r="G168" s="338"/>
      <c r="H168" s="338"/>
      <c r="I168" s="338"/>
      <c r="J168" s="338"/>
      <c r="K168" s="338"/>
      <c r="L168" s="338"/>
      <c r="M168" s="338"/>
      <c r="N168" s="338"/>
      <c r="O168" s="338"/>
      <c r="P168" s="338"/>
      <c r="Q168" s="338"/>
      <c r="R168" s="338"/>
      <c r="S168" s="338"/>
      <c r="T168" s="338"/>
      <c r="U168" s="338"/>
      <c r="V168" s="338"/>
      <c r="W168" s="338"/>
      <c r="X168" s="338"/>
      <c r="Y168" s="338"/>
      <c r="Z168" s="338"/>
      <c r="AA168" s="338"/>
      <c r="AB168" s="338"/>
      <c r="AC168" s="338"/>
      <c r="AD168" s="338"/>
      <c r="AE168" s="338"/>
      <c r="AG168" s="376"/>
      <c r="AH168" s="376"/>
    </row>
    <row r="169" ht="13.2" customHeight="1" spans="1:34">
      <c r="A169" s="371"/>
      <c r="B169" s="335"/>
      <c r="C169" s="336"/>
      <c r="D169" s="337"/>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c r="AA169" s="338"/>
      <c r="AB169" s="338"/>
      <c r="AC169" s="338"/>
      <c r="AD169" s="338"/>
      <c r="AE169" s="338"/>
      <c r="AG169" s="376"/>
      <c r="AH169" s="376"/>
    </row>
    <row r="170" ht="13.2" customHeight="1" spans="1:34">
      <c r="A170" s="371"/>
      <c r="B170" s="335"/>
      <c r="C170" s="336"/>
      <c r="D170" s="337"/>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c r="AA170" s="338"/>
      <c r="AB170" s="338"/>
      <c r="AC170" s="338"/>
      <c r="AD170" s="338"/>
      <c r="AE170" s="338"/>
      <c r="AG170" s="376"/>
      <c r="AH170" s="376"/>
    </row>
    <row r="171" ht="13.2" customHeight="1" spans="1:34">
      <c r="A171" s="371"/>
      <c r="B171" s="335"/>
      <c r="C171" s="336"/>
      <c r="D171" s="337"/>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c r="AA171" s="338"/>
      <c r="AB171" s="338"/>
      <c r="AC171" s="338"/>
      <c r="AD171" s="338"/>
      <c r="AE171" s="338"/>
      <c r="AG171" s="376"/>
      <c r="AH171" s="376"/>
    </row>
    <row r="172" ht="13.2" customHeight="1" spans="1:34">
      <c r="A172" s="371"/>
      <c r="B172" s="335"/>
      <c r="C172" s="336"/>
      <c r="D172" s="337"/>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c r="AA172" s="338"/>
      <c r="AB172" s="338"/>
      <c r="AC172" s="338"/>
      <c r="AD172" s="338"/>
      <c r="AE172" s="338"/>
      <c r="AG172" s="376"/>
      <c r="AH172" s="376"/>
    </row>
    <row r="173" ht="13.2" customHeight="1" spans="1:34">
      <c r="A173" s="371"/>
      <c r="B173" s="335"/>
      <c r="C173" s="336"/>
      <c r="D173" s="337"/>
      <c r="E173" s="338"/>
      <c r="F173" s="338"/>
      <c r="G173" s="338"/>
      <c r="H173" s="338"/>
      <c r="I173" s="338"/>
      <c r="J173" s="338"/>
      <c r="K173" s="338"/>
      <c r="L173" s="338"/>
      <c r="M173" s="338"/>
      <c r="N173" s="338"/>
      <c r="O173" s="338"/>
      <c r="P173" s="338"/>
      <c r="Q173" s="338"/>
      <c r="R173" s="338"/>
      <c r="S173" s="338"/>
      <c r="T173" s="338"/>
      <c r="U173" s="338"/>
      <c r="V173" s="338"/>
      <c r="W173" s="338"/>
      <c r="X173" s="338"/>
      <c r="Y173" s="338"/>
      <c r="Z173" s="338"/>
      <c r="AA173" s="338"/>
      <c r="AB173" s="338"/>
      <c r="AC173" s="338"/>
      <c r="AD173" s="338"/>
      <c r="AE173" s="338"/>
      <c r="AG173" s="376"/>
      <c r="AH173" s="376"/>
    </row>
    <row r="174" ht="13.2" customHeight="1" spans="1:34">
      <c r="A174" s="371"/>
      <c r="B174" s="335"/>
      <c r="C174" s="336"/>
      <c r="D174" s="337"/>
      <c r="E174" s="338"/>
      <c r="F174" s="338"/>
      <c r="G174" s="338"/>
      <c r="H174" s="338"/>
      <c r="I174" s="338"/>
      <c r="J174" s="338"/>
      <c r="K174" s="338"/>
      <c r="L174" s="338"/>
      <c r="M174" s="338"/>
      <c r="N174" s="338"/>
      <c r="O174" s="338"/>
      <c r="P174" s="338"/>
      <c r="Q174" s="338"/>
      <c r="R174" s="338"/>
      <c r="S174" s="338"/>
      <c r="T174" s="338"/>
      <c r="U174" s="338"/>
      <c r="V174" s="338"/>
      <c r="W174" s="338"/>
      <c r="X174" s="338"/>
      <c r="Y174" s="338"/>
      <c r="Z174" s="338"/>
      <c r="AA174" s="338"/>
      <c r="AB174" s="338"/>
      <c r="AC174" s="338"/>
      <c r="AD174" s="338"/>
      <c r="AE174" s="338"/>
      <c r="AG174" s="376"/>
      <c r="AH174" s="376"/>
    </row>
    <row r="175" ht="13.2" customHeight="1" spans="1:34">
      <c r="A175" s="371"/>
      <c r="B175" s="335"/>
      <c r="C175" s="336"/>
      <c r="D175" s="337"/>
      <c r="E175" s="338"/>
      <c r="F175" s="338"/>
      <c r="G175" s="338"/>
      <c r="H175" s="338"/>
      <c r="I175" s="338"/>
      <c r="J175" s="338"/>
      <c r="K175" s="338"/>
      <c r="L175" s="338"/>
      <c r="M175" s="338"/>
      <c r="N175" s="338"/>
      <c r="O175" s="338"/>
      <c r="P175" s="338"/>
      <c r="Q175" s="338"/>
      <c r="R175" s="338"/>
      <c r="S175" s="338"/>
      <c r="T175" s="338"/>
      <c r="U175" s="338"/>
      <c r="V175" s="338"/>
      <c r="W175" s="338"/>
      <c r="X175" s="338"/>
      <c r="Y175" s="338"/>
      <c r="Z175" s="338"/>
      <c r="AA175" s="338"/>
      <c r="AB175" s="338"/>
      <c r="AC175" s="338"/>
      <c r="AD175" s="338"/>
      <c r="AE175" s="338"/>
      <c r="AG175" s="376"/>
      <c r="AH175" s="376"/>
    </row>
    <row r="176" ht="13.2" customHeight="1" spans="1:34">
      <c r="A176" s="371"/>
      <c r="B176" s="335"/>
      <c r="C176" s="336"/>
      <c r="D176" s="337"/>
      <c r="E176" s="338"/>
      <c r="F176" s="338"/>
      <c r="G176" s="338"/>
      <c r="H176" s="338"/>
      <c r="I176" s="338"/>
      <c r="J176" s="338"/>
      <c r="K176" s="338"/>
      <c r="L176" s="338"/>
      <c r="M176" s="338"/>
      <c r="N176" s="338"/>
      <c r="O176" s="338"/>
      <c r="P176" s="338"/>
      <c r="Q176" s="338"/>
      <c r="R176" s="338"/>
      <c r="S176" s="338"/>
      <c r="T176" s="338"/>
      <c r="U176" s="338"/>
      <c r="V176" s="338"/>
      <c r="W176" s="338"/>
      <c r="X176" s="338"/>
      <c r="Y176" s="338"/>
      <c r="Z176" s="338"/>
      <c r="AA176" s="338"/>
      <c r="AB176" s="338"/>
      <c r="AC176" s="338"/>
      <c r="AD176" s="338"/>
      <c r="AE176" s="338"/>
      <c r="AG176" s="376"/>
      <c r="AH176" s="376"/>
    </row>
    <row r="177" ht="13.2" customHeight="1" spans="1:35">
      <c r="A177" s="371"/>
      <c r="B177" s="335"/>
      <c r="C177" s="336"/>
      <c r="D177" s="337"/>
      <c r="E177" s="338"/>
      <c r="F177" s="338"/>
      <c r="G177" s="338"/>
      <c r="H177" s="338"/>
      <c r="I177" s="338"/>
      <c r="J177" s="338"/>
      <c r="K177" s="338"/>
      <c r="L177" s="338"/>
      <c r="M177" s="338"/>
      <c r="N177" s="338"/>
      <c r="O177" s="338"/>
      <c r="P177" s="338"/>
      <c r="Q177" s="338"/>
      <c r="R177" s="338"/>
      <c r="S177" s="338"/>
      <c r="T177" s="338"/>
      <c r="U177" s="338"/>
      <c r="V177" s="338"/>
      <c r="W177" s="338"/>
      <c r="X177" s="338"/>
      <c r="Y177" s="338"/>
      <c r="Z177" s="338"/>
      <c r="AA177" s="338"/>
      <c r="AB177" s="338"/>
      <c r="AC177" s="338"/>
      <c r="AD177" s="338"/>
      <c r="AE177" s="338"/>
      <c r="AG177" s="376"/>
      <c r="AH177" s="376"/>
    </row>
    <row r="178" ht="13.2" customHeight="1" spans="1:35">
      <c r="A178" s="371"/>
      <c r="B178" s="335"/>
      <c r="C178" s="336"/>
      <c r="D178" s="337"/>
      <c r="E178" s="338"/>
      <c r="F178" s="338"/>
      <c r="G178" s="338"/>
      <c r="H178" s="338"/>
      <c r="I178" s="338"/>
      <c r="J178" s="338"/>
      <c r="K178" s="338"/>
      <c r="L178" s="338"/>
      <c r="M178" s="338"/>
      <c r="N178" s="338"/>
      <c r="O178" s="338"/>
      <c r="P178" s="338"/>
      <c r="Q178" s="338"/>
      <c r="R178" s="338"/>
      <c r="S178" s="338"/>
      <c r="T178" s="338"/>
      <c r="U178" s="338"/>
      <c r="V178" s="338"/>
      <c r="W178" s="338"/>
      <c r="X178" s="338"/>
      <c r="Y178" s="338"/>
      <c r="Z178" s="338"/>
      <c r="AA178" s="338"/>
      <c r="AB178" s="338"/>
      <c r="AC178" s="338"/>
      <c r="AD178" s="338"/>
      <c r="AE178" s="338"/>
      <c r="AG178" s="376"/>
      <c r="AH178" s="376"/>
    </row>
    <row r="179" ht="13.2" customHeight="1" spans="1:35">
      <c r="A179" s="371"/>
      <c r="B179" s="335"/>
      <c r="C179" s="336"/>
      <c r="D179" s="337"/>
      <c r="E179" s="338"/>
      <c r="F179" s="338"/>
      <c r="G179" s="338"/>
      <c r="H179" s="338"/>
      <c r="I179" s="338"/>
      <c r="J179" s="338"/>
      <c r="K179" s="338"/>
      <c r="L179" s="338"/>
      <c r="M179" s="338"/>
      <c r="N179" s="338"/>
      <c r="O179" s="338"/>
      <c r="P179" s="338"/>
      <c r="Q179" s="338"/>
      <c r="R179" s="338"/>
      <c r="S179" s="338"/>
      <c r="T179" s="338"/>
      <c r="U179" s="338"/>
      <c r="V179" s="338"/>
      <c r="W179" s="338"/>
      <c r="X179" s="338"/>
      <c r="Y179" s="338"/>
      <c r="Z179" s="338"/>
      <c r="AA179" s="338"/>
      <c r="AB179" s="338"/>
      <c r="AC179" s="338"/>
      <c r="AD179" s="338"/>
      <c r="AE179" s="338"/>
      <c r="AG179" s="376"/>
      <c r="AH179" s="376"/>
    </row>
    <row r="180" ht="13.2" customHeight="1" spans="1:35">
      <c r="A180" s="371"/>
      <c r="B180" s="335"/>
      <c r="C180" s="336"/>
      <c r="D180" s="337"/>
      <c r="E180" s="338"/>
      <c r="F180" s="338"/>
      <c r="G180" s="338"/>
      <c r="H180" s="338"/>
      <c r="I180" s="338"/>
      <c r="J180" s="338"/>
      <c r="K180" s="338"/>
      <c r="L180" s="338"/>
      <c r="M180" s="338"/>
      <c r="N180" s="338"/>
      <c r="O180" s="338"/>
      <c r="P180" s="338"/>
      <c r="Q180" s="338"/>
      <c r="R180" s="338"/>
      <c r="S180" s="338"/>
      <c r="T180" s="338"/>
      <c r="U180" s="338"/>
      <c r="V180" s="338"/>
      <c r="W180" s="338"/>
      <c r="X180" s="338"/>
      <c r="Y180" s="338"/>
      <c r="Z180" s="338"/>
      <c r="AA180" s="338"/>
      <c r="AB180" s="338"/>
      <c r="AC180" s="338"/>
      <c r="AD180" s="338"/>
      <c r="AE180" s="338"/>
      <c r="AG180" s="376"/>
      <c r="AH180" s="376"/>
    </row>
    <row r="181" ht="13.2" customHeight="1" spans="1:35">
      <c r="A181" s="371"/>
      <c r="B181" s="335"/>
      <c r="C181" s="336"/>
      <c r="D181" s="337"/>
      <c r="E181" s="338"/>
      <c r="F181" s="338"/>
      <c r="G181" s="338"/>
      <c r="H181" s="338"/>
      <c r="I181" s="338"/>
      <c r="J181" s="338"/>
      <c r="K181" s="338"/>
      <c r="L181" s="338"/>
      <c r="M181" s="338"/>
      <c r="N181" s="338"/>
      <c r="O181" s="338"/>
      <c r="P181" s="338"/>
      <c r="Q181" s="338"/>
      <c r="R181" s="338"/>
      <c r="S181" s="338"/>
      <c r="T181" s="338"/>
      <c r="U181" s="338"/>
      <c r="V181" s="338"/>
      <c r="W181" s="338"/>
      <c r="X181" s="338"/>
      <c r="Y181" s="338"/>
      <c r="Z181" s="338"/>
      <c r="AA181" s="338"/>
      <c r="AB181" s="338"/>
      <c r="AC181" s="338"/>
      <c r="AD181" s="338"/>
      <c r="AE181" s="338"/>
      <c r="AG181" s="376"/>
      <c r="AH181" s="376"/>
    </row>
    <row r="182" ht="13.2" customHeight="1" spans="1:35">
      <c r="A182" s="371"/>
      <c r="B182" s="335"/>
      <c r="C182" s="336"/>
      <c r="D182" s="337"/>
      <c r="E182" s="338"/>
      <c r="F182" s="338"/>
      <c r="G182" s="338"/>
      <c r="H182" s="338"/>
      <c r="I182" s="338"/>
      <c r="J182" s="338"/>
      <c r="K182" s="338"/>
      <c r="L182" s="338"/>
      <c r="M182" s="338"/>
      <c r="N182" s="338"/>
      <c r="O182" s="338"/>
      <c r="P182" s="338"/>
      <c r="Q182" s="338"/>
      <c r="R182" s="338"/>
      <c r="S182" s="338"/>
      <c r="T182" s="338"/>
      <c r="U182" s="338"/>
      <c r="V182" s="338"/>
      <c r="W182" s="338"/>
      <c r="X182" s="338"/>
      <c r="Y182" s="338"/>
      <c r="Z182" s="338"/>
      <c r="AA182" s="338"/>
      <c r="AB182" s="338"/>
      <c r="AC182" s="338"/>
      <c r="AD182" s="338"/>
      <c r="AE182" s="338"/>
      <c r="AG182" s="376"/>
      <c r="AH182" s="376"/>
    </row>
    <row r="183" ht="13.2" customHeight="1" spans="1:35">
      <c r="A183" s="371"/>
      <c r="B183" s="335"/>
      <c r="C183" s="336"/>
      <c r="D183" s="337"/>
      <c r="E183" s="338"/>
      <c r="F183" s="338"/>
      <c r="G183" s="338"/>
      <c r="H183" s="338"/>
      <c r="I183" s="338"/>
      <c r="J183" s="338"/>
      <c r="K183" s="338"/>
      <c r="L183" s="338"/>
      <c r="M183" s="338"/>
      <c r="N183" s="338"/>
      <c r="O183" s="338"/>
      <c r="P183" s="338"/>
      <c r="Q183" s="338"/>
      <c r="R183" s="338"/>
      <c r="S183" s="338"/>
      <c r="T183" s="338"/>
      <c r="U183" s="338"/>
      <c r="V183" s="338"/>
      <c r="W183" s="338"/>
      <c r="X183" s="338"/>
      <c r="Y183" s="338"/>
      <c r="Z183" s="338"/>
      <c r="AA183" s="338"/>
      <c r="AB183" s="338"/>
      <c r="AC183" s="338"/>
      <c r="AD183" s="338"/>
      <c r="AE183" s="338"/>
      <c r="AG183" s="376"/>
      <c r="AH183" s="376"/>
    </row>
    <row r="184" ht="13.2" customHeight="1" spans="1:35">
      <c r="A184" s="371"/>
      <c r="B184" s="335"/>
      <c r="C184" s="336"/>
      <c r="D184" s="337"/>
      <c r="E184" s="338"/>
      <c r="F184" s="338"/>
      <c r="G184" s="338"/>
      <c r="H184" s="338"/>
      <c r="I184" s="338"/>
      <c r="J184" s="338"/>
      <c r="K184" s="338"/>
      <c r="L184" s="338"/>
      <c r="M184" s="338"/>
      <c r="N184" s="338"/>
      <c r="O184" s="338"/>
      <c r="P184" s="338"/>
      <c r="Q184" s="338"/>
      <c r="R184" s="338"/>
      <c r="S184" s="338"/>
      <c r="T184" s="338"/>
      <c r="U184" s="338"/>
      <c r="V184" s="338"/>
      <c r="W184" s="338"/>
      <c r="X184" s="338"/>
      <c r="Y184" s="338"/>
      <c r="Z184" s="338"/>
      <c r="AA184" s="338"/>
      <c r="AB184" s="338"/>
      <c r="AC184" s="338"/>
      <c r="AD184" s="338"/>
      <c r="AE184" s="338"/>
      <c r="AG184" s="376"/>
      <c r="AH184" s="376"/>
    </row>
    <row r="185" ht="13.2" customHeight="1" spans="1:35">
      <c r="A185" s="371"/>
      <c r="B185" s="335"/>
      <c r="C185" s="336"/>
      <c r="D185" s="337"/>
      <c r="E185" s="338"/>
      <c r="F185" s="338"/>
      <c r="G185" s="338"/>
      <c r="H185" s="338"/>
      <c r="I185" s="338"/>
      <c r="J185" s="338"/>
      <c r="K185" s="338"/>
      <c r="L185" s="338"/>
      <c r="M185" s="338"/>
      <c r="N185" s="338"/>
      <c r="O185" s="338"/>
      <c r="P185" s="338"/>
      <c r="Q185" s="338"/>
      <c r="R185" s="338"/>
      <c r="S185" s="338"/>
      <c r="T185" s="338"/>
      <c r="U185" s="338"/>
      <c r="V185" s="338"/>
      <c r="W185" s="338"/>
      <c r="X185" s="338"/>
      <c r="Y185" s="338"/>
      <c r="Z185" s="338"/>
      <c r="AA185" s="338"/>
      <c r="AB185" s="338"/>
      <c r="AC185" s="338"/>
      <c r="AD185" s="338"/>
      <c r="AE185" s="338"/>
      <c r="AG185" s="376"/>
      <c r="AH185" s="376"/>
    </row>
    <row r="186" ht="13.2" customHeight="1" spans="1:35">
      <c r="A186" s="371"/>
      <c r="B186" s="335"/>
      <c r="C186" s="336"/>
      <c r="D186" s="337"/>
      <c r="E186" s="338"/>
      <c r="F186" s="338"/>
      <c r="G186" s="338"/>
      <c r="H186" s="338"/>
      <c r="I186" s="338"/>
      <c r="J186" s="338"/>
      <c r="K186" s="338"/>
      <c r="L186" s="338"/>
      <c r="M186" s="338"/>
      <c r="N186" s="338"/>
      <c r="O186" s="338"/>
      <c r="P186" s="338"/>
      <c r="Q186" s="338"/>
      <c r="R186" s="338"/>
      <c r="S186" s="338"/>
      <c r="T186" s="338"/>
      <c r="U186" s="338"/>
      <c r="V186" s="338"/>
      <c r="W186" s="338"/>
      <c r="X186" s="338"/>
      <c r="Y186" s="338"/>
      <c r="Z186" s="338"/>
      <c r="AA186" s="338"/>
      <c r="AB186" s="338"/>
      <c r="AC186" s="338"/>
      <c r="AD186" s="338"/>
      <c r="AE186" s="338"/>
      <c r="AG186" s="376"/>
      <c r="AH186" s="376"/>
    </row>
    <row r="187" ht="13.2" customHeight="1" spans="1:35">
      <c r="A187" s="371"/>
      <c r="B187" s="335"/>
      <c r="C187" s="336"/>
      <c r="D187" s="337"/>
      <c r="E187" s="338"/>
      <c r="F187" s="338"/>
      <c r="G187" s="338"/>
      <c r="H187" s="338"/>
      <c r="I187" s="338"/>
      <c r="J187" s="338"/>
      <c r="K187" s="338"/>
      <c r="L187" s="338"/>
      <c r="M187" s="338"/>
      <c r="N187" s="338"/>
      <c r="O187" s="338"/>
      <c r="P187" s="338"/>
      <c r="Q187" s="338"/>
      <c r="R187" s="338"/>
      <c r="S187" s="338"/>
      <c r="T187" s="338"/>
      <c r="U187" s="338"/>
      <c r="V187" s="338"/>
      <c r="W187" s="338"/>
      <c r="X187" s="338"/>
      <c r="Y187" s="338"/>
      <c r="Z187" s="338"/>
      <c r="AA187" s="338"/>
      <c r="AB187" s="338"/>
      <c r="AC187" s="338"/>
      <c r="AD187" s="338"/>
      <c r="AE187" s="338"/>
      <c r="AF187" s="338"/>
      <c r="AH187" s="376"/>
      <c r="AI187" s="376"/>
    </row>
    <row r="188" ht="13.2" customHeight="1" spans="1:35">
      <c r="A188" s="371"/>
      <c r="B188" s="335"/>
      <c r="C188" s="336"/>
      <c r="D188" s="337"/>
      <c r="E188" s="338"/>
      <c r="F188" s="338"/>
      <c r="G188" s="338"/>
      <c r="H188" s="338"/>
      <c r="I188" s="338"/>
      <c r="J188" s="338"/>
      <c r="K188" s="338"/>
      <c r="L188" s="338"/>
      <c r="M188" s="338"/>
      <c r="N188" s="338"/>
      <c r="O188" s="338"/>
      <c r="P188" s="338"/>
      <c r="Q188" s="338"/>
      <c r="R188" s="338"/>
      <c r="S188" s="338"/>
      <c r="T188" s="338"/>
      <c r="U188" s="338"/>
      <c r="V188" s="338"/>
      <c r="W188" s="338"/>
      <c r="X188" s="338"/>
      <c r="Y188" s="338"/>
      <c r="Z188" s="338"/>
      <c r="AA188" s="338"/>
      <c r="AB188" s="338"/>
      <c r="AC188" s="338"/>
      <c r="AD188" s="338"/>
      <c r="AE188" s="338"/>
      <c r="AF188" s="338"/>
      <c r="AH188" s="376"/>
      <c r="AI188" s="376"/>
    </row>
    <row r="189" ht="13.2" customHeight="1" spans="1:35">
      <c r="A189" s="371"/>
      <c r="B189" s="335"/>
      <c r="C189" s="336"/>
      <c r="D189" s="337"/>
      <c r="E189" s="338"/>
      <c r="F189" s="338"/>
      <c r="G189" s="338"/>
      <c r="H189" s="338"/>
      <c r="I189" s="338"/>
      <c r="J189" s="338"/>
      <c r="K189" s="338"/>
      <c r="L189" s="338"/>
      <c r="M189" s="338"/>
      <c r="N189" s="338"/>
      <c r="O189" s="338"/>
      <c r="P189" s="338"/>
      <c r="Q189" s="338"/>
      <c r="R189" s="338"/>
      <c r="S189" s="338"/>
      <c r="T189" s="338"/>
      <c r="U189" s="338"/>
      <c r="V189" s="338"/>
      <c r="W189" s="338"/>
      <c r="X189" s="338"/>
      <c r="Y189" s="338"/>
      <c r="Z189" s="338"/>
      <c r="AA189" s="338"/>
      <c r="AB189" s="338"/>
      <c r="AC189" s="338"/>
      <c r="AD189" s="338"/>
      <c r="AE189" s="338"/>
      <c r="AF189" s="338"/>
      <c r="AH189" s="376"/>
      <c r="AI189" s="376"/>
    </row>
    <row r="190" ht="13.2" customHeight="1" spans="1:35">
      <c r="A190" s="371"/>
      <c r="B190" s="335"/>
      <c r="C190" s="336"/>
      <c r="D190" s="337"/>
      <c r="E190" s="338"/>
      <c r="F190" s="338"/>
      <c r="G190" s="338"/>
      <c r="H190" s="338"/>
      <c r="I190" s="338"/>
      <c r="J190" s="338"/>
      <c r="K190" s="338"/>
      <c r="L190" s="338"/>
      <c r="M190" s="338"/>
      <c r="N190" s="338"/>
      <c r="O190" s="338"/>
      <c r="P190" s="338"/>
      <c r="Q190" s="338"/>
      <c r="R190" s="338"/>
      <c r="S190" s="338"/>
      <c r="T190" s="338"/>
      <c r="U190" s="338"/>
      <c r="V190" s="338"/>
      <c r="W190" s="338"/>
      <c r="X190" s="338"/>
      <c r="Y190" s="338"/>
      <c r="Z190" s="338"/>
      <c r="AA190" s="338"/>
      <c r="AB190" s="338"/>
      <c r="AC190" s="338"/>
      <c r="AD190" s="338"/>
      <c r="AE190" s="338"/>
      <c r="AF190" s="338"/>
      <c r="AH190" s="376"/>
      <c r="AI190" s="376"/>
    </row>
    <row r="191" ht="13.2" customHeight="1" spans="1:35">
      <c r="A191" s="371"/>
      <c r="B191" s="335"/>
      <c r="C191" s="336"/>
      <c r="D191" s="337"/>
      <c r="E191" s="338"/>
      <c r="F191" s="338"/>
      <c r="G191" s="338"/>
      <c r="H191" s="338"/>
      <c r="I191" s="338"/>
      <c r="J191" s="338"/>
      <c r="K191" s="338"/>
      <c r="L191" s="338"/>
      <c r="M191" s="338"/>
      <c r="N191" s="338"/>
      <c r="O191" s="338"/>
      <c r="P191" s="338"/>
      <c r="Q191" s="338"/>
      <c r="R191" s="338"/>
      <c r="S191" s="338"/>
      <c r="T191" s="338"/>
      <c r="U191" s="338"/>
      <c r="V191" s="338"/>
      <c r="W191" s="338"/>
      <c r="X191" s="338"/>
      <c r="Y191" s="338"/>
      <c r="Z191" s="338"/>
      <c r="AA191" s="338"/>
      <c r="AB191" s="338"/>
      <c r="AC191" s="338"/>
      <c r="AD191" s="338"/>
      <c r="AE191" s="338"/>
      <c r="AF191" s="338"/>
      <c r="AH191" s="376"/>
      <c r="AI191" s="376"/>
    </row>
    <row r="192" ht="13.2" customHeight="1" spans="1:35">
      <c r="A192" s="371"/>
      <c r="B192" s="335"/>
      <c r="C192" s="336"/>
      <c r="D192" s="337"/>
      <c r="E192" s="338"/>
      <c r="F192" s="338"/>
      <c r="G192" s="338"/>
      <c r="H192" s="338"/>
      <c r="I192" s="338"/>
      <c r="J192" s="338"/>
      <c r="K192" s="338"/>
      <c r="L192" s="338"/>
      <c r="M192" s="338"/>
      <c r="N192" s="338"/>
      <c r="O192" s="338"/>
      <c r="P192" s="338"/>
      <c r="Q192" s="338"/>
      <c r="R192" s="338"/>
      <c r="S192" s="338"/>
      <c r="T192" s="338"/>
      <c r="U192" s="338"/>
      <c r="V192" s="338"/>
      <c r="W192" s="338"/>
      <c r="X192" s="338"/>
      <c r="Y192" s="338"/>
      <c r="Z192" s="338"/>
      <c r="AA192" s="338"/>
      <c r="AB192" s="338"/>
      <c r="AC192" s="338"/>
      <c r="AD192" s="338"/>
      <c r="AE192" s="338"/>
      <c r="AF192" s="338"/>
      <c r="AH192" s="376"/>
      <c r="AI192" s="376"/>
    </row>
    <row r="193" ht="13.2" customHeight="1" spans="1:35">
      <c r="A193" s="371"/>
      <c r="B193" s="335"/>
      <c r="C193" s="336"/>
      <c r="D193" s="337"/>
      <c r="E193" s="338"/>
      <c r="F193" s="338"/>
      <c r="G193" s="338"/>
      <c r="H193" s="338"/>
      <c r="I193" s="338"/>
      <c r="J193" s="338"/>
      <c r="K193" s="338"/>
      <c r="L193" s="338"/>
      <c r="M193" s="338"/>
      <c r="N193" s="338"/>
      <c r="O193" s="338"/>
      <c r="P193" s="338"/>
      <c r="Q193" s="338"/>
      <c r="R193" s="338"/>
      <c r="S193" s="338"/>
      <c r="T193" s="338"/>
      <c r="U193" s="338"/>
      <c r="V193" s="338"/>
      <c r="W193" s="338"/>
      <c r="X193" s="338"/>
      <c r="Y193" s="338"/>
      <c r="Z193" s="338"/>
      <c r="AA193" s="338"/>
      <c r="AB193" s="338"/>
      <c r="AC193" s="338"/>
      <c r="AD193" s="338"/>
      <c r="AE193" s="338"/>
      <c r="AF193" s="338"/>
      <c r="AH193" s="376"/>
      <c r="AI193" s="376"/>
    </row>
    <row r="194" ht="13.2" customHeight="1" spans="1:35">
      <c r="A194" s="371"/>
      <c r="B194" s="335"/>
      <c r="C194" s="336"/>
      <c r="D194" s="337"/>
      <c r="E194" s="338"/>
      <c r="F194" s="338"/>
      <c r="G194" s="338"/>
      <c r="H194" s="338"/>
      <c r="I194" s="338"/>
      <c r="J194" s="338"/>
      <c r="K194" s="338"/>
      <c r="L194" s="338"/>
      <c r="M194" s="338"/>
      <c r="N194" s="338"/>
      <c r="O194" s="338"/>
      <c r="P194" s="338"/>
      <c r="Q194" s="338"/>
      <c r="R194" s="338"/>
      <c r="S194" s="338"/>
      <c r="T194" s="338"/>
      <c r="U194" s="338"/>
      <c r="V194" s="338"/>
      <c r="W194" s="338"/>
      <c r="X194" s="338"/>
      <c r="Y194" s="338"/>
      <c r="Z194" s="338"/>
      <c r="AA194" s="338"/>
      <c r="AB194" s="338"/>
      <c r="AC194" s="338"/>
      <c r="AD194" s="338"/>
      <c r="AE194" s="338"/>
      <c r="AF194" s="338"/>
      <c r="AH194" s="376"/>
      <c r="AI194" s="376"/>
    </row>
    <row r="195" ht="13.2" customHeight="1" spans="1:35">
      <c r="A195" s="371"/>
      <c r="B195" s="335"/>
      <c r="C195" s="336"/>
      <c r="D195" s="337"/>
      <c r="E195" s="338"/>
      <c r="F195" s="338"/>
      <c r="G195" s="338"/>
      <c r="H195" s="338"/>
      <c r="I195" s="338"/>
      <c r="J195" s="338"/>
      <c r="K195" s="338"/>
      <c r="L195" s="338"/>
      <c r="M195" s="338"/>
      <c r="N195" s="338"/>
      <c r="O195" s="338"/>
      <c r="P195" s="338"/>
      <c r="Q195" s="338"/>
      <c r="R195" s="338"/>
      <c r="S195" s="338"/>
      <c r="T195" s="338"/>
      <c r="U195" s="338"/>
      <c r="V195" s="338"/>
      <c r="W195" s="338"/>
      <c r="X195" s="338"/>
      <c r="Y195" s="338"/>
      <c r="Z195" s="338"/>
      <c r="AA195" s="338"/>
      <c r="AB195" s="338"/>
      <c r="AC195" s="338"/>
      <c r="AD195" s="338"/>
      <c r="AE195" s="338"/>
      <c r="AF195" s="338"/>
      <c r="AH195" s="376"/>
      <c r="AI195" s="376"/>
    </row>
    <row r="196" ht="13.2" customHeight="1" spans="1:35">
      <c r="A196" s="371"/>
      <c r="B196" s="335"/>
      <c r="C196" s="336"/>
      <c r="D196" s="337"/>
      <c r="E196" s="338"/>
      <c r="F196" s="338"/>
      <c r="G196" s="338"/>
      <c r="H196" s="338"/>
      <c r="I196" s="338"/>
      <c r="J196" s="338"/>
      <c r="K196" s="338"/>
      <c r="L196" s="338"/>
      <c r="M196" s="338"/>
      <c r="N196" s="338"/>
      <c r="O196" s="338"/>
      <c r="P196" s="338"/>
      <c r="Q196" s="338"/>
      <c r="R196" s="338"/>
      <c r="S196" s="338"/>
      <c r="T196" s="338"/>
      <c r="U196" s="338"/>
      <c r="V196" s="338"/>
      <c r="W196" s="338"/>
      <c r="X196" s="338"/>
      <c r="Y196" s="338"/>
      <c r="Z196" s="338"/>
      <c r="AA196" s="338"/>
      <c r="AB196" s="338"/>
      <c r="AC196" s="338"/>
      <c r="AD196" s="338"/>
      <c r="AE196" s="338"/>
      <c r="AF196" s="338"/>
      <c r="AH196" s="376"/>
      <c r="AI196" s="376"/>
    </row>
    <row r="197" ht="13.2" customHeight="1" spans="1:35">
      <c r="A197" s="371"/>
      <c r="B197" s="335"/>
      <c r="C197" s="336"/>
      <c r="D197" s="337"/>
      <c r="E197" s="338"/>
      <c r="F197" s="338"/>
      <c r="G197" s="338"/>
      <c r="H197" s="338"/>
      <c r="I197" s="338"/>
      <c r="J197" s="338"/>
      <c r="K197" s="338"/>
      <c r="L197" s="338"/>
      <c r="M197" s="338"/>
      <c r="N197" s="338"/>
      <c r="O197" s="338"/>
      <c r="P197" s="338"/>
      <c r="Q197" s="338"/>
      <c r="R197" s="338"/>
      <c r="S197" s="338"/>
      <c r="T197" s="338"/>
      <c r="U197" s="338"/>
      <c r="V197" s="338"/>
      <c r="W197" s="338"/>
      <c r="X197" s="338"/>
      <c r="Y197" s="338"/>
      <c r="Z197" s="338"/>
      <c r="AA197" s="338"/>
      <c r="AB197" s="338"/>
      <c r="AC197" s="338"/>
      <c r="AD197" s="338"/>
      <c r="AE197" s="338"/>
      <c r="AF197" s="338"/>
      <c r="AH197" s="376"/>
      <c r="AI197" s="376"/>
    </row>
    <row r="198" ht="13.2" customHeight="1" spans="1:35">
      <c r="A198" s="371"/>
      <c r="B198" s="335"/>
      <c r="C198" s="336"/>
      <c r="D198" s="337"/>
      <c r="E198" s="338"/>
      <c r="F198" s="338"/>
      <c r="G198" s="338"/>
      <c r="H198" s="338"/>
      <c r="I198" s="338"/>
      <c r="J198" s="338"/>
      <c r="K198" s="338"/>
      <c r="L198" s="338"/>
      <c r="M198" s="338"/>
      <c r="N198" s="338"/>
      <c r="O198" s="338"/>
      <c r="P198" s="338"/>
      <c r="Q198" s="338"/>
      <c r="R198" s="338"/>
      <c r="S198" s="338"/>
      <c r="T198" s="338"/>
      <c r="U198" s="338"/>
      <c r="V198" s="338"/>
      <c r="W198" s="338"/>
      <c r="X198" s="338"/>
      <c r="Y198" s="338"/>
      <c r="Z198" s="338"/>
      <c r="AA198" s="338"/>
      <c r="AB198" s="338"/>
      <c r="AC198" s="338"/>
      <c r="AD198" s="338"/>
      <c r="AE198" s="338"/>
      <c r="AF198" s="338"/>
      <c r="AH198" s="376"/>
      <c r="AI198" s="376"/>
    </row>
    <row r="199" ht="13.2" customHeight="1" spans="1:35">
      <c r="A199" s="371"/>
      <c r="B199" s="335"/>
      <c r="C199" s="336"/>
      <c r="D199" s="337"/>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c r="AA199" s="338"/>
      <c r="AB199" s="338"/>
      <c r="AC199" s="338"/>
      <c r="AD199" s="338"/>
      <c r="AE199" s="338"/>
      <c r="AF199" s="338"/>
      <c r="AH199" s="376"/>
      <c r="AI199" s="376"/>
    </row>
    <row r="200" ht="13.2" customHeight="1" spans="1:35">
      <c r="A200" s="371"/>
      <c r="B200" s="335"/>
      <c r="C200" s="336"/>
      <c r="D200" s="337"/>
      <c r="E200" s="338"/>
      <c r="F200" s="338"/>
      <c r="G200" s="338"/>
      <c r="H200" s="338"/>
      <c r="I200" s="338"/>
      <c r="J200" s="338"/>
      <c r="K200" s="338"/>
      <c r="L200" s="338"/>
      <c r="M200" s="338"/>
      <c r="N200" s="338"/>
      <c r="O200" s="338"/>
      <c r="P200" s="338"/>
      <c r="Q200" s="338"/>
      <c r="R200" s="338"/>
      <c r="S200" s="338"/>
      <c r="T200" s="338"/>
      <c r="U200" s="338"/>
      <c r="V200" s="338"/>
      <c r="W200" s="338"/>
      <c r="X200" s="338"/>
      <c r="Y200" s="338"/>
      <c r="Z200" s="338"/>
      <c r="AA200" s="338"/>
      <c r="AB200" s="338"/>
      <c r="AC200" s="338"/>
      <c r="AD200" s="338"/>
      <c r="AE200" s="338"/>
      <c r="AF200" s="338"/>
      <c r="AH200" s="376"/>
      <c r="AI200" s="376"/>
    </row>
    <row r="201" ht="13.2" customHeight="1" spans="1:35">
      <c r="A201" s="371"/>
      <c r="B201" s="335"/>
      <c r="C201" s="336"/>
      <c r="D201" s="337"/>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c r="AA201" s="338"/>
      <c r="AB201" s="338"/>
      <c r="AC201" s="338"/>
      <c r="AD201" s="338"/>
      <c r="AE201" s="338"/>
      <c r="AF201" s="338"/>
      <c r="AH201" s="376"/>
      <c r="AI201" s="376"/>
    </row>
    <row r="202" ht="13.2" customHeight="1" spans="1:35">
      <c r="A202" s="371"/>
      <c r="B202" s="335"/>
      <c r="C202" s="336"/>
      <c r="D202" s="337"/>
      <c r="E202" s="338"/>
      <c r="F202" s="338"/>
      <c r="G202" s="338"/>
      <c r="H202" s="338"/>
      <c r="I202" s="338"/>
      <c r="J202" s="338"/>
      <c r="K202" s="338"/>
      <c r="L202" s="338"/>
      <c r="M202" s="338"/>
      <c r="N202" s="338"/>
      <c r="O202" s="338"/>
      <c r="P202" s="338"/>
      <c r="Q202" s="338"/>
      <c r="R202" s="338"/>
      <c r="S202" s="338"/>
      <c r="T202" s="338"/>
      <c r="U202" s="338"/>
      <c r="V202" s="338"/>
      <c r="W202" s="338"/>
      <c r="X202" s="338"/>
      <c r="Y202" s="338"/>
      <c r="Z202" s="338"/>
      <c r="AA202" s="338"/>
      <c r="AB202" s="338"/>
      <c r="AC202" s="338"/>
      <c r="AD202" s="338"/>
      <c r="AE202" s="338"/>
      <c r="AF202" s="338"/>
      <c r="AH202" s="376"/>
      <c r="AI202" s="376"/>
    </row>
    <row r="203" ht="13.2" customHeight="1" spans="1:35">
      <c r="A203" s="371"/>
      <c r="B203" s="335"/>
      <c r="C203" s="336"/>
      <c r="D203" s="337"/>
      <c r="E203" s="338"/>
      <c r="F203" s="338"/>
      <c r="G203" s="338"/>
      <c r="H203" s="338"/>
      <c r="I203" s="338"/>
      <c r="J203" s="338"/>
      <c r="K203" s="338"/>
      <c r="L203" s="338"/>
      <c r="M203" s="338"/>
      <c r="N203" s="338"/>
      <c r="O203" s="338"/>
      <c r="P203" s="338"/>
      <c r="Q203" s="338"/>
      <c r="R203" s="338"/>
      <c r="S203" s="338"/>
      <c r="T203" s="338"/>
      <c r="U203" s="338"/>
      <c r="V203" s="338"/>
      <c r="W203" s="338"/>
      <c r="X203" s="338"/>
      <c r="Y203" s="338"/>
      <c r="Z203" s="338"/>
      <c r="AA203" s="338"/>
      <c r="AB203" s="338"/>
      <c r="AC203" s="338"/>
      <c r="AD203" s="338"/>
      <c r="AE203" s="338"/>
      <c r="AF203" s="338"/>
      <c r="AH203" s="376"/>
      <c r="AI203" s="376"/>
    </row>
    <row r="204" ht="13.2" customHeight="1" spans="1:35">
      <c r="A204" s="371"/>
      <c r="B204" s="335"/>
      <c r="C204" s="336"/>
      <c r="D204" s="337"/>
      <c r="E204" s="338"/>
      <c r="F204" s="338"/>
      <c r="G204" s="338"/>
      <c r="H204" s="338"/>
      <c r="I204" s="338"/>
      <c r="J204" s="338"/>
      <c r="K204" s="338"/>
      <c r="L204" s="338"/>
      <c r="M204" s="338"/>
      <c r="N204" s="338"/>
      <c r="O204" s="338"/>
      <c r="P204" s="338"/>
      <c r="Q204" s="338"/>
      <c r="R204" s="338"/>
      <c r="S204" s="338"/>
      <c r="T204" s="338"/>
      <c r="U204" s="338"/>
      <c r="V204" s="338"/>
      <c r="W204" s="338"/>
      <c r="X204" s="338"/>
      <c r="Y204" s="338"/>
      <c r="Z204" s="338"/>
      <c r="AA204" s="338"/>
      <c r="AB204" s="338"/>
      <c r="AC204" s="338"/>
      <c r="AD204" s="338"/>
      <c r="AE204" s="338"/>
      <c r="AF204" s="338"/>
      <c r="AH204" s="376"/>
      <c r="AI204" s="376"/>
    </row>
    <row r="205" ht="13.2" customHeight="1" spans="1:35">
      <c r="A205" s="371"/>
      <c r="B205" s="335"/>
      <c r="C205" s="336"/>
      <c r="D205" s="337"/>
      <c r="E205" s="338"/>
      <c r="F205" s="338"/>
      <c r="G205" s="338"/>
      <c r="H205" s="338"/>
      <c r="I205" s="338"/>
      <c r="J205" s="338"/>
      <c r="K205" s="338"/>
      <c r="L205" s="338"/>
      <c r="M205" s="338"/>
      <c r="N205" s="338"/>
      <c r="O205" s="338"/>
      <c r="P205" s="338"/>
      <c r="Q205" s="338"/>
      <c r="R205" s="338"/>
      <c r="S205" s="338"/>
      <c r="T205" s="338"/>
      <c r="U205" s="338"/>
      <c r="V205" s="338"/>
      <c r="W205" s="338"/>
      <c r="X205" s="338"/>
      <c r="Y205" s="338"/>
      <c r="Z205" s="338"/>
      <c r="AA205" s="338"/>
      <c r="AB205" s="338"/>
      <c r="AC205" s="338"/>
      <c r="AD205" s="338"/>
      <c r="AE205" s="338"/>
      <c r="AF205" s="338"/>
      <c r="AH205" s="376"/>
      <c r="AI205" s="376"/>
    </row>
    <row r="206" ht="13.2" customHeight="1" spans="1:35">
      <c r="A206" s="371"/>
      <c r="B206" s="335"/>
      <c r="C206" s="336"/>
      <c r="D206" s="337"/>
      <c r="E206" s="338"/>
      <c r="F206" s="338"/>
      <c r="G206" s="338"/>
      <c r="H206" s="338"/>
      <c r="I206" s="338"/>
      <c r="J206" s="338"/>
      <c r="K206" s="338"/>
      <c r="L206" s="338"/>
      <c r="M206" s="338"/>
      <c r="N206" s="338"/>
      <c r="O206" s="338"/>
      <c r="P206" s="338"/>
      <c r="Q206" s="338"/>
      <c r="R206" s="338"/>
      <c r="S206" s="338"/>
      <c r="T206" s="338"/>
      <c r="U206" s="338"/>
      <c r="V206" s="338"/>
      <c r="W206" s="338"/>
      <c r="X206" s="338"/>
      <c r="Y206" s="338"/>
      <c r="Z206" s="338"/>
      <c r="AA206" s="338"/>
      <c r="AB206" s="338"/>
      <c r="AC206" s="338"/>
      <c r="AD206" s="338"/>
      <c r="AE206" s="338"/>
      <c r="AF206" s="338"/>
      <c r="AH206" s="376"/>
      <c r="AI206" s="376"/>
    </row>
    <row r="207" ht="13.2" customHeight="1" spans="1:35">
      <c r="A207" s="371"/>
      <c r="B207" s="335"/>
      <c r="C207" s="336"/>
      <c r="D207" s="337"/>
      <c r="E207" s="338"/>
      <c r="F207" s="338"/>
      <c r="G207" s="338"/>
      <c r="H207" s="338"/>
      <c r="I207" s="338"/>
      <c r="J207" s="338"/>
      <c r="K207" s="338"/>
      <c r="L207" s="338"/>
      <c r="M207" s="338"/>
      <c r="N207" s="338"/>
      <c r="O207" s="338"/>
      <c r="P207" s="338"/>
      <c r="Q207" s="338"/>
      <c r="R207" s="338"/>
      <c r="S207" s="338"/>
      <c r="T207" s="338"/>
      <c r="U207" s="338"/>
      <c r="V207" s="338"/>
      <c r="W207" s="338"/>
      <c r="X207" s="338"/>
      <c r="Y207" s="338"/>
      <c r="Z207" s="338"/>
      <c r="AA207" s="338"/>
      <c r="AB207" s="338"/>
      <c r="AC207" s="338"/>
      <c r="AD207" s="338"/>
      <c r="AE207" s="338"/>
      <c r="AF207" s="338"/>
      <c r="AH207" s="376"/>
      <c r="AI207" s="376"/>
    </row>
    <row r="208" ht="13.2" customHeight="1" spans="1:35">
      <c r="A208" s="371"/>
      <c r="B208" s="335"/>
      <c r="C208" s="336"/>
      <c r="D208" s="337"/>
      <c r="E208" s="338"/>
      <c r="F208" s="338"/>
      <c r="G208" s="338"/>
      <c r="H208" s="338"/>
      <c r="I208" s="338"/>
      <c r="J208" s="338"/>
      <c r="K208" s="338"/>
      <c r="L208" s="338"/>
      <c r="M208" s="338"/>
      <c r="N208" s="338"/>
      <c r="O208" s="338"/>
      <c r="P208" s="338"/>
      <c r="Q208" s="338"/>
      <c r="R208" s="338"/>
      <c r="S208" s="338"/>
      <c r="T208" s="338"/>
      <c r="U208" s="338"/>
      <c r="V208" s="338"/>
      <c r="W208" s="338"/>
      <c r="X208" s="338"/>
      <c r="Y208" s="338"/>
      <c r="Z208" s="338"/>
      <c r="AA208" s="338"/>
      <c r="AB208" s="338"/>
      <c r="AC208" s="338"/>
      <c r="AD208" s="338"/>
      <c r="AE208" s="338"/>
      <c r="AF208" s="338"/>
      <c r="AH208" s="376"/>
      <c r="AI208" s="376"/>
    </row>
    <row r="209" ht="13.2" customHeight="1" spans="1:35">
      <c r="A209" s="371"/>
      <c r="B209" s="335"/>
      <c r="C209" s="336"/>
      <c r="D209" s="337"/>
      <c r="E209" s="338"/>
      <c r="F209" s="338"/>
      <c r="G209" s="338"/>
      <c r="H209" s="338"/>
      <c r="I209" s="338"/>
      <c r="J209" s="338"/>
      <c r="K209" s="338"/>
      <c r="L209" s="338"/>
      <c r="M209" s="338"/>
      <c r="N209" s="338"/>
      <c r="O209" s="338"/>
      <c r="P209" s="338"/>
      <c r="Q209" s="338"/>
      <c r="R209" s="338"/>
      <c r="S209" s="338"/>
      <c r="T209" s="338"/>
      <c r="U209" s="338"/>
      <c r="V209" s="338"/>
      <c r="W209" s="338"/>
      <c r="X209" s="338"/>
      <c r="Y209" s="338"/>
      <c r="Z209" s="338"/>
      <c r="AA209" s="338"/>
      <c r="AB209" s="338"/>
      <c r="AC209" s="338"/>
      <c r="AD209" s="338"/>
      <c r="AE209" s="338"/>
      <c r="AF209" s="338"/>
      <c r="AH209" s="376"/>
      <c r="AI209" s="376"/>
    </row>
    <row r="210" ht="13.2" customHeight="1" spans="1:35">
      <c r="A210" s="371"/>
      <c r="B210" s="335"/>
      <c r="C210" s="336"/>
      <c r="D210" s="337"/>
      <c r="E210" s="338"/>
      <c r="F210" s="338"/>
      <c r="G210" s="338"/>
      <c r="H210" s="338"/>
      <c r="I210" s="338"/>
      <c r="J210" s="338"/>
      <c r="K210" s="338"/>
      <c r="L210" s="338"/>
      <c r="M210" s="338"/>
      <c r="N210" s="338"/>
      <c r="O210" s="338"/>
      <c r="P210" s="338"/>
      <c r="Q210" s="338"/>
      <c r="R210" s="338"/>
      <c r="S210" s="338"/>
      <c r="T210" s="338"/>
      <c r="U210" s="338"/>
      <c r="V210" s="338"/>
      <c r="W210" s="338"/>
      <c r="X210" s="338"/>
      <c r="Y210" s="338"/>
      <c r="Z210" s="338"/>
      <c r="AA210" s="338"/>
      <c r="AB210" s="338"/>
      <c r="AC210" s="338"/>
      <c r="AD210" s="338"/>
      <c r="AE210" s="338"/>
      <c r="AF210" s="338"/>
      <c r="AH210" s="376"/>
      <c r="AI210" s="376"/>
    </row>
    <row r="211" ht="13.2" customHeight="1" spans="1:35">
      <c r="A211" s="371"/>
      <c r="B211" s="335"/>
      <c r="C211" s="336"/>
      <c r="D211" s="337"/>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c r="AA211" s="338"/>
      <c r="AB211" s="338"/>
      <c r="AC211" s="338"/>
      <c r="AD211" s="338"/>
      <c r="AE211" s="338"/>
      <c r="AF211" s="338"/>
      <c r="AH211" s="376"/>
      <c r="AI211" s="376"/>
    </row>
    <row r="212" ht="13.2" customHeight="1" spans="1:35">
      <c r="A212" s="371"/>
      <c r="B212" s="335"/>
      <c r="C212" s="336"/>
      <c r="D212" s="337"/>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c r="AA212" s="338"/>
      <c r="AB212" s="338"/>
      <c r="AC212" s="338"/>
      <c r="AD212" s="338"/>
      <c r="AE212" s="338"/>
      <c r="AF212" s="338"/>
      <c r="AH212" s="376"/>
      <c r="AI212" s="376"/>
    </row>
    <row r="213" ht="13.2" customHeight="1" spans="1:35">
      <c r="A213" s="371"/>
      <c r="B213" s="335"/>
      <c r="C213" s="336"/>
      <c r="D213" s="337"/>
      <c r="E213" s="338"/>
      <c r="F213" s="338"/>
      <c r="G213" s="338"/>
      <c r="H213" s="338"/>
      <c r="I213" s="338"/>
      <c r="J213" s="338"/>
      <c r="K213" s="338"/>
      <c r="L213" s="338"/>
      <c r="M213" s="338"/>
      <c r="N213" s="338"/>
      <c r="O213" s="338"/>
      <c r="P213" s="338"/>
      <c r="Q213" s="338"/>
      <c r="R213" s="338"/>
      <c r="S213" s="338"/>
      <c r="T213" s="338"/>
      <c r="U213" s="338"/>
      <c r="V213" s="338"/>
      <c r="W213" s="338"/>
      <c r="X213" s="338"/>
      <c r="Y213" s="338"/>
      <c r="Z213" s="338"/>
      <c r="AA213" s="338"/>
      <c r="AB213" s="338"/>
      <c r="AC213" s="338"/>
      <c r="AD213" s="338"/>
      <c r="AE213" s="338"/>
      <c r="AF213" s="338"/>
      <c r="AH213" s="376"/>
      <c r="AI213" s="376"/>
    </row>
    <row r="214" ht="13.2" customHeight="1" spans="1:35">
      <c r="A214" s="371"/>
      <c r="B214" s="335"/>
      <c r="C214" s="336"/>
      <c r="D214" s="337"/>
      <c r="E214" s="338"/>
      <c r="F214" s="338"/>
      <c r="G214" s="338"/>
      <c r="H214" s="338"/>
      <c r="I214" s="338"/>
      <c r="J214" s="338"/>
      <c r="K214" s="338"/>
      <c r="L214" s="338"/>
      <c r="M214" s="338"/>
      <c r="N214" s="338"/>
      <c r="O214" s="338"/>
      <c r="P214" s="338"/>
      <c r="Q214" s="338"/>
      <c r="R214" s="338"/>
      <c r="S214" s="338"/>
      <c r="T214" s="338"/>
      <c r="U214" s="338"/>
      <c r="V214" s="338"/>
      <c r="W214" s="338"/>
      <c r="X214" s="338"/>
      <c r="Y214" s="338"/>
      <c r="Z214" s="338"/>
      <c r="AA214" s="338"/>
      <c r="AB214" s="338"/>
      <c r="AC214" s="338"/>
      <c r="AD214" s="338"/>
      <c r="AE214" s="338"/>
      <c r="AF214" s="338"/>
      <c r="AH214" s="376"/>
      <c r="AI214" s="376"/>
    </row>
    <row r="215" ht="13.2" customHeight="1" spans="1:35">
      <c r="A215" s="371"/>
      <c r="B215" s="335"/>
      <c r="C215" s="336"/>
      <c r="D215" s="337"/>
      <c r="E215" s="338"/>
      <c r="F215" s="338"/>
      <c r="G215" s="338"/>
      <c r="H215" s="338"/>
      <c r="I215" s="338"/>
      <c r="J215" s="338"/>
      <c r="K215" s="338"/>
      <c r="L215" s="338"/>
      <c r="M215" s="338"/>
      <c r="N215" s="338"/>
      <c r="O215" s="338"/>
      <c r="P215" s="338"/>
      <c r="Q215" s="338"/>
      <c r="R215" s="338"/>
      <c r="S215" s="338"/>
      <c r="T215" s="338"/>
      <c r="U215" s="338"/>
      <c r="V215" s="338"/>
      <c r="W215" s="338"/>
      <c r="X215" s="338"/>
      <c r="Y215" s="338"/>
      <c r="Z215" s="338"/>
      <c r="AA215" s="338"/>
      <c r="AB215" s="338"/>
      <c r="AC215" s="338"/>
      <c r="AD215" s="338"/>
      <c r="AE215" s="338"/>
      <c r="AF215" s="338"/>
      <c r="AH215" s="376"/>
      <c r="AI215" s="376"/>
    </row>
    <row r="216" ht="13.2" customHeight="1" spans="1:35">
      <c r="A216" s="371"/>
      <c r="B216" s="335"/>
      <c r="C216" s="336"/>
      <c r="D216" s="337"/>
      <c r="E216" s="338"/>
      <c r="F216" s="338"/>
      <c r="G216" s="338"/>
      <c r="H216" s="338"/>
      <c r="I216" s="338"/>
      <c r="J216" s="338"/>
      <c r="K216" s="338"/>
      <c r="L216" s="338"/>
      <c r="M216" s="338"/>
      <c r="N216" s="338"/>
      <c r="O216" s="338"/>
      <c r="P216" s="338"/>
      <c r="Q216" s="338"/>
      <c r="R216" s="338"/>
      <c r="S216" s="338"/>
      <c r="T216" s="338"/>
      <c r="U216" s="338"/>
      <c r="V216" s="338"/>
      <c r="W216" s="338"/>
      <c r="X216" s="338"/>
      <c r="Y216" s="338"/>
      <c r="Z216" s="338"/>
      <c r="AA216" s="338"/>
      <c r="AB216" s="338"/>
      <c r="AC216" s="338"/>
      <c r="AD216" s="338"/>
      <c r="AE216" s="338"/>
      <c r="AF216" s="338"/>
      <c r="AH216" s="376"/>
      <c r="AI216" s="376"/>
    </row>
    <row r="217" ht="13.2" customHeight="1" spans="1:35">
      <c r="A217" s="371"/>
      <c r="B217" s="335"/>
      <c r="C217" s="336"/>
      <c r="D217" s="337"/>
      <c r="E217" s="338"/>
      <c r="F217" s="338"/>
      <c r="G217" s="338"/>
      <c r="H217" s="338"/>
      <c r="I217" s="338"/>
      <c r="J217" s="338"/>
      <c r="K217" s="338"/>
      <c r="L217" s="338"/>
      <c r="M217" s="338"/>
      <c r="N217" s="338"/>
      <c r="O217" s="338"/>
      <c r="P217" s="338"/>
      <c r="Q217" s="338"/>
      <c r="R217" s="338"/>
      <c r="S217" s="338"/>
      <c r="T217" s="338"/>
      <c r="U217" s="338"/>
      <c r="V217" s="338"/>
      <c r="W217" s="338"/>
      <c r="X217" s="338"/>
      <c r="Y217" s="338"/>
      <c r="Z217" s="338"/>
      <c r="AA217" s="338"/>
      <c r="AB217" s="338"/>
      <c r="AC217" s="338"/>
      <c r="AD217" s="338"/>
      <c r="AE217" s="338"/>
      <c r="AF217" s="338"/>
      <c r="AH217" s="376"/>
      <c r="AI217" s="376"/>
    </row>
    <row r="218" ht="13.2" customHeight="1" spans="1:35">
      <c r="A218" s="371"/>
      <c r="B218" s="335"/>
      <c r="C218" s="336"/>
      <c r="D218" s="337"/>
      <c r="E218" s="338"/>
      <c r="F218" s="338"/>
      <c r="G218" s="338"/>
      <c r="H218" s="338"/>
      <c r="I218" s="338"/>
      <c r="J218" s="338"/>
      <c r="K218" s="338"/>
      <c r="L218" s="338"/>
      <c r="M218" s="338"/>
      <c r="N218" s="338"/>
      <c r="O218" s="338"/>
      <c r="P218" s="338"/>
      <c r="Q218" s="338"/>
      <c r="R218" s="338"/>
      <c r="S218" s="338"/>
      <c r="T218" s="338"/>
      <c r="U218" s="338"/>
      <c r="V218" s="338"/>
      <c r="W218" s="338"/>
      <c r="X218" s="338"/>
      <c r="Y218" s="338"/>
      <c r="Z218" s="338"/>
      <c r="AA218" s="338"/>
      <c r="AB218" s="338"/>
      <c r="AC218" s="338"/>
      <c r="AD218" s="338"/>
      <c r="AE218" s="338"/>
      <c r="AF218" s="338"/>
      <c r="AH218" s="376"/>
      <c r="AI218" s="376"/>
    </row>
    <row r="219" ht="13.2" customHeight="1" spans="1:35">
      <c r="A219" s="371"/>
      <c r="B219" s="335"/>
      <c r="C219" s="336"/>
      <c r="D219" s="337"/>
      <c r="E219" s="338"/>
      <c r="F219" s="338"/>
      <c r="G219" s="338"/>
      <c r="H219" s="338"/>
      <c r="I219" s="338"/>
      <c r="J219" s="338"/>
      <c r="K219" s="338"/>
      <c r="L219" s="338"/>
      <c r="M219" s="338"/>
      <c r="N219" s="338"/>
      <c r="O219" s="338"/>
      <c r="P219" s="338"/>
      <c r="Q219" s="338"/>
      <c r="R219" s="338"/>
      <c r="S219" s="338"/>
      <c r="T219" s="338"/>
      <c r="U219" s="338"/>
      <c r="V219" s="338"/>
      <c r="W219" s="338"/>
      <c r="X219" s="338"/>
      <c r="Y219" s="338"/>
      <c r="Z219" s="338"/>
      <c r="AA219" s="338"/>
      <c r="AB219" s="338"/>
      <c r="AC219" s="338"/>
      <c r="AD219" s="338"/>
      <c r="AE219" s="338"/>
      <c r="AF219" s="338"/>
      <c r="AH219" s="376"/>
      <c r="AI219" s="376"/>
    </row>
    <row r="220" ht="13.2" customHeight="1" spans="1:35">
      <c r="A220" s="371"/>
      <c r="B220" s="335"/>
      <c r="C220" s="336"/>
      <c r="D220" s="337"/>
      <c r="E220" s="338"/>
      <c r="F220" s="338"/>
      <c r="G220" s="338"/>
      <c r="H220" s="338"/>
      <c r="I220" s="338"/>
      <c r="J220" s="338"/>
      <c r="K220" s="338"/>
      <c r="L220" s="338"/>
      <c r="M220" s="338"/>
      <c r="N220" s="338"/>
      <c r="O220" s="338"/>
      <c r="P220" s="338"/>
      <c r="Q220" s="338"/>
      <c r="R220" s="338"/>
      <c r="S220" s="338"/>
      <c r="T220" s="338"/>
      <c r="U220" s="338"/>
      <c r="V220" s="338"/>
      <c r="W220" s="338"/>
      <c r="X220" s="338"/>
      <c r="Y220" s="338"/>
      <c r="Z220" s="338"/>
      <c r="AA220" s="338"/>
      <c r="AB220" s="338"/>
      <c r="AC220" s="338"/>
      <c r="AD220" s="338"/>
      <c r="AE220" s="338"/>
      <c r="AF220" s="338"/>
      <c r="AH220" s="376"/>
      <c r="AI220" s="376"/>
    </row>
    <row r="221" ht="13.2" customHeight="1" spans="1:35">
      <c r="A221" s="371"/>
      <c r="B221" s="335"/>
      <c r="C221" s="336"/>
      <c r="D221" s="337"/>
      <c r="E221" s="338"/>
      <c r="F221" s="338"/>
      <c r="G221" s="338"/>
      <c r="H221" s="338"/>
      <c r="I221" s="338"/>
      <c r="J221" s="338"/>
      <c r="K221" s="338"/>
      <c r="L221" s="338"/>
      <c r="M221" s="338"/>
      <c r="N221" s="338"/>
      <c r="O221" s="338"/>
      <c r="P221" s="338"/>
      <c r="Q221" s="338"/>
      <c r="R221" s="338"/>
      <c r="S221" s="338"/>
      <c r="T221" s="338"/>
      <c r="U221" s="338"/>
      <c r="V221" s="338"/>
      <c r="W221" s="338"/>
      <c r="X221" s="338"/>
      <c r="Y221" s="338"/>
      <c r="Z221" s="338"/>
      <c r="AA221" s="338"/>
      <c r="AB221" s="338"/>
      <c r="AC221" s="338"/>
      <c r="AD221" s="338"/>
      <c r="AE221" s="338"/>
      <c r="AF221" s="338"/>
      <c r="AH221" s="376"/>
      <c r="AI221" s="376"/>
    </row>
    <row r="222" ht="13.2" customHeight="1" spans="1:35">
      <c r="A222" s="371"/>
      <c r="B222" s="335"/>
      <c r="C222" s="336"/>
      <c r="D222" s="337"/>
      <c r="E222" s="338"/>
      <c r="F222" s="338"/>
      <c r="G222" s="338"/>
      <c r="H222" s="338"/>
      <c r="I222" s="338"/>
      <c r="J222" s="338"/>
      <c r="K222" s="338"/>
      <c r="L222" s="338"/>
      <c r="M222" s="338"/>
      <c r="N222" s="338"/>
      <c r="O222" s="338"/>
      <c r="P222" s="338"/>
      <c r="Q222" s="338"/>
      <c r="R222" s="338"/>
      <c r="S222" s="338"/>
      <c r="T222" s="338"/>
      <c r="U222" s="338"/>
      <c r="V222" s="338"/>
      <c r="W222" s="338"/>
      <c r="X222" s="338"/>
      <c r="Y222" s="338"/>
      <c r="Z222" s="338"/>
      <c r="AA222" s="338"/>
      <c r="AB222" s="338"/>
      <c r="AC222" s="338"/>
      <c r="AD222" s="338"/>
      <c r="AE222" s="338"/>
      <c r="AF222" s="338"/>
      <c r="AH222" s="376"/>
      <c r="AI222" s="376"/>
    </row>
    <row r="223" ht="13.2" customHeight="1" spans="1:35">
      <c r="A223" s="371"/>
      <c r="B223" s="335"/>
      <c r="C223" s="336"/>
      <c r="D223" s="337"/>
      <c r="E223" s="338"/>
      <c r="F223" s="338"/>
      <c r="G223" s="338"/>
      <c r="H223" s="338"/>
      <c r="I223" s="338"/>
      <c r="J223" s="338"/>
      <c r="K223" s="338"/>
      <c r="L223" s="338"/>
      <c r="M223" s="338"/>
      <c r="N223" s="338"/>
      <c r="O223" s="338"/>
      <c r="P223" s="338"/>
      <c r="Q223" s="338"/>
      <c r="R223" s="338"/>
      <c r="S223" s="338"/>
      <c r="T223" s="338"/>
      <c r="U223" s="338"/>
      <c r="V223" s="338"/>
      <c r="W223" s="338"/>
      <c r="X223" s="338"/>
      <c r="Y223" s="338"/>
      <c r="Z223" s="338"/>
      <c r="AA223" s="338"/>
      <c r="AB223" s="338"/>
      <c r="AC223" s="338"/>
      <c r="AD223" s="338"/>
      <c r="AE223" s="338"/>
      <c r="AF223" s="338"/>
      <c r="AH223" s="376"/>
      <c r="AI223" s="376"/>
    </row>
    <row r="224" ht="13.2" customHeight="1" spans="1:35">
      <c r="A224" s="371"/>
      <c r="B224" s="335"/>
      <c r="C224" s="336"/>
      <c r="D224" s="337"/>
      <c r="E224" s="338"/>
      <c r="F224" s="338"/>
      <c r="G224" s="338"/>
      <c r="H224" s="338"/>
      <c r="I224" s="338"/>
      <c r="J224" s="338"/>
      <c r="K224" s="338"/>
      <c r="L224" s="338"/>
      <c r="M224" s="338"/>
      <c r="N224" s="338"/>
      <c r="O224" s="338"/>
      <c r="P224" s="338"/>
      <c r="Q224" s="338"/>
      <c r="R224" s="338"/>
      <c r="S224" s="338"/>
      <c r="T224" s="338"/>
      <c r="U224" s="338"/>
      <c r="V224" s="338"/>
      <c r="W224" s="338"/>
      <c r="X224" s="338"/>
      <c r="Y224" s="338"/>
      <c r="Z224" s="338"/>
      <c r="AA224" s="338"/>
      <c r="AB224" s="338"/>
      <c r="AC224" s="338"/>
      <c r="AD224" s="338"/>
      <c r="AE224" s="338"/>
      <c r="AF224" s="338"/>
      <c r="AH224" s="376"/>
      <c r="AI224" s="376"/>
    </row>
    <row r="225" ht="13.2" customHeight="1" spans="1:35">
      <c r="A225" s="371"/>
      <c r="B225" s="335"/>
      <c r="C225" s="336"/>
      <c r="D225" s="337"/>
      <c r="E225" s="338"/>
      <c r="F225" s="338"/>
      <c r="G225" s="338"/>
      <c r="H225" s="338"/>
      <c r="I225" s="338"/>
      <c r="J225" s="338"/>
      <c r="K225" s="338"/>
      <c r="L225" s="338"/>
      <c r="M225" s="338"/>
      <c r="N225" s="338"/>
      <c r="O225" s="338"/>
      <c r="P225" s="338"/>
      <c r="Q225" s="338"/>
      <c r="R225" s="338"/>
      <c r="S225" s="338"/>
      <c r="T225" s="338"/>
      <c r="U225" s="338"/>
      <c r="V225" s="338"/>
      <c r="W225" s="338"/>
      <c r="X225" s="338"/>
      <c r="Y225" s="338"/>
      <c r="Z225" s="338"/>
      <c r="AA225" s="338"/>
      <c r="AB225" s="338"/>
      <c r="AC225" s="338"/>
      <c r="AD225" s="338"/>
      <c r="AE225" s="338"/>
      <c r="AF225" s="338"/>
      <c r="AH225" s="376"/>
      <c r="AI225" s="376"/>
    </row>
    <row r="226" ht="13.2" customHeight="1" spans="1:35">
      <c r="A226" s="371"/>
      <c r="B226" s="335"/>
      <c r="C226" s="336"/>
      <c r="D226" s="337"/>
      <c r="E226" s="338"/>
      <c r="F226" s="338"/>
      <c r="G226" s="338"/>
      <c r="H226" s="338"/>
      <c r="I226" s="338"/>
      <c r="J226" s="338"/>
      <c r="K226" s="338"/>
      <c r="L226" s="338"/>
      <c r="M226" s="338"/>
      <c r="N226" s="338"/>
      <c r="O226" s="338"/>
      <c r="P226" s="338"/>
      <c r="Q226" s="338"/>
      <c r="R226" s="338"/>
      <c r="S226" s="338"/>
      <c r="T226" s="338"/>
      <c r="U226" s="338"/>
      <c r="V226" s="338"/>
      <c r="W226" s="338"/>
      <c r="X226" s="338"/>
      <c r="Y226" s="338"/>
      <c r="Z226" s="338"/>
      <c r="AA226" s="338"/>
      <c r="AB226" s="338"/>
      <c r="AC226" s="338"/>
      <c r="AD226" s="338"/>
      <c r="AE226" s="338"/>
      <c r="AF226" s="338"/>
      <c r="AH226" s="376"/>
      <c r="AI226" s="376"/>
    </row>
    <row r="227" ht="13.2" customHeight="1" spans="1:35">
      <c r="A227" s="371"/>
      <c r="B227" s="335"/>
      <c r="C227" s="336"/>
      <c r="D227" s="337"/>
      <c r="E227" s="338"/>
      <c r="F227" s="338"/>
      <c r="G227" s="338"/>
      <c r="H227" s="338"/>
      <c r="I227" s="338"/>
      <c r="J227" s="338"/>
      <c r="K227" s="338"/>
      <c r="L227" s="338"/>
      <c r="M227" s="338"/>
      <c r="N227" s="338"/>
      <c r="O227" s="338"/>
      <c r="P227" s="338"/>
      <c r="Q227" s="338"/>
      <c r="R227" s="338"/>
      <c r="S227" s="338"/>
      <c r="T227" s="338"/>
      <c r="U227" s="338"/>
      <c r="V227" s="338"/>
      <c r="W227" s="338"/>
      <c r="X227" s="338"/>
      <c r="Y227" s="338"/>
      <c r="Z227" s="338"/>
      <c r="AA227" s="338"/>
      <c r="AB227" s="338"/>
      <c r="AC227" s="338"/>
      <c r="AD227" s="338"/>
      <c r="AE227" s="338"/>
      <c r="AF227" s="338"/>
      <c r="AH227" s="376"/>
      <c r="AI227" s="376"/>
    </row>
    <row r="228" ht="13.2" customHeight="1" spans="1:35">
      <c r="A228" s="371"/>
      <c r="B228" s="335"/>
      <c r="C228" s="336"/>
      <c r="D228" s="337"/>
      <c r="E228" s="338"/>
      <c r="F228" s="338"/>
      <c r="G228" s="338"/>
      <c r="H228" s="338"/>
      <c r="I228" s="338"/>
      <c r="J228" s="338"/>
      <c r="K228" s="338"/>
      <c r="L228" s="338"/>
      <c r="M228" s="338"/>
      <c r="N228" s="338"/>
      <c r="O228" s="338"/>
      <c r="P228" s="338"/>
      <c r="Q228" s="338"/>
      <c r="R228" s="338"/>
      <c r="S228" s="338"/>
      <c r="T228" s="338"/>
      <c r="U228" s="338"/>
      <c r="V228" s="338"/>
      <c r="W228" s="338"/>
      <c r="X228" s="338"/>
      <c r="Y228" s="338"/>
      <c r="Z228" s="338"/>
      <c r="AA228" s="338"/>
      <c r="AB228" s="338"/>
      <c r="AC228" s="338"/>
      <c r="AD228" s="338"/>
      <c r="AE228" s="338"/>
      <c r="AF228" s="338"/>
      <c r="AH228" s="376"/>
      <c r="AI228" s="376"/>
    </row>
    <row r="229" ht="13.2" customHeight="1" spans="1:35">
      <c r="A229" s="371"/>
      <c r="B229" s="335"/>
      <c r="C229" s="336"/>
      <c r="D229" s="337"/>
      <c r="E229" s="338"/>
      <c r="F229" s="338"/>
      <c r="G229" s="338"/>
      <c r="H229" s="338"/>
      <c r="I229" s="338"/>
      <c r="J229" s="338"/>
      <c r="K229" s="338"/>
      <c r="L229" s="338"/>
      <c r="M229" s="338"/>
      <c r="N229" s="338"/>
      <c r="O229" s="338"/>
      <c r="P229" s="338"/>
      <c r="Q229" s="338"/>
      <c r="R229" s="338"/>
      <c r="S229" s="338"/>
      <c r="T229" s="338"/>
      <c r="U229" s="338"/>
      <c r="V229" s="338"/>
      <c r="W229" s="338"/>
      <c r="X229" s="338"/>
      <c r="Y229" s="338"/>
      <c r="Z229" s="338"/>
      <c r="AA229" s="338"/>
      <c r="AB229" s="338"/>
      <c r="AC229" s="338"/>
      <c r="AD229" s="338"/>
      <c r="AE229" s="338"/>
      <c r="AF229" s="338"/>
      <c r="AH229" s="376"/>
      <c r="AI229" s="376"/>
    </row>
    <row r="230" ht="13.2" customHeight="1" spans="1:35">
      <c r="A230" s="371"/>
      <c r="B230" s="335"/>
      <c r="C230" s="336"/>
      <c r="D230" s="337"/>
      <c r="E230" s="338"/>
      <c r="F230" s="338"/>
      <c r="G230" s="338"/>
      <c r="H230" s="338"/>
      <c r="I230" s="338"/>
      <c r="J230" s="338"/>
      <c r="K230" s="338"/>
      <c r="L230" s="338"/>
      <c r="M230" s="338"/>
      <c r="N230" s="338"/>
      <c r="O230" s="338"/>
      <c r="P230" s="338"/>
      <c r="Q230" s="338"/>
      <c r="R230" s="338"/>
      <c r="S230" s="338"/>
      <c r="T230" s="338"/>
      <c r="U230" s="338"/>
      <c r="V230" s="338"/>
      <c r="W230" s="338"/>
      <c r="X230" s="338"/>
      <c r="Y230" s="338"/>
      <c r="Z230" s="338"/>
      <c r="AA230" s="338"/>
      <c r="AB230" s="338"/>
      <c r="AC230" s="338"/>
      <c r="AD230" s="338"/>
      <c r="AE230" s="338"/>
      <c r="AF230" s="338"/>
      <c r="AH230" s="376"/>
      <c r="AI230" s="376"/>
    </row>
    <row r="231" ht="13.2" customHeight="1" spans="1:35">
      <c r="A231" s="371"/>
      <c r="B231" s="335"/>
      <c r="C231" s="336"/>
      <c r="D231" s="337"/>
      <c r="E231" s="338"/>
      <c r="F231" s="338"/>
      <c r="G231" s="338"/>
      <c r="H231" s="338"/>
      <c r="I231" s="338"/>
      <c r="J231" s="338"/>
      <c r="K231" s="338"/>
      <c r="L231" s="338"/>
      <c r="M231" s="338"/>
      <c r="N231" s="338"/>
      <c r="O231" s="338"/>
      <c r="P231" s="338"/>
      <c r="Q231" s="338"/>
      <c r="R231" s="338"/>
      <c r="S231" s="338"/>
      <c r="T231" s="338"/>
      <c r="U231" s="338"/>
      <c r="V231" s="338"/>
      <c r="W231" s="338"/>
      <c r="X231" s="338"/>
      <c r="Y231" s="338"/>
      <c r="Z231" s="338"/>
      <c r="AA231" s="338"/>
      <c r="AB231" s="338"/>
      <c r="AC231" s="338"/>
      <c r="AD231" s="338"/>
      <c r="AE231" s="338"/>
      <c r="AF231" s="338"/>
      <c r="AH231" s="376"/>
      <c r="AI231" s="376"/>
    </row>
    <row r="232" ht="13.2" customHeight="1" spans="1:35">
      <c r="A232" s="371"/>
      <c r="B232" s="335"/>
      <c r="C232" s="336"/>
      <c r="D232" s="337"/>
      <c r="E232" s="338"/>
      <c r="F232" s="338"/>
      <c r="G232" s="338"/>
      <c r="H232" s="338"/>
      <c r="I232" s="338"/>
      <c r="J232" s="338"/>
      <c r="K232" s="338"/>
      <c r="L232" s="338"/>
      <c r="M232" s="338"/>
      <c r="N232" s="338"/>
      <c r="O232" s="338"/>
      <c r="P232" s="338"/>
      <c r="Q232" s="338"/>
      <c r="R232" s="338"/>
      <c r="S232" s="338"/>
      <c r="T232" s="338"/>
      <c r="U232" s="338"/>
      <c r="V232" s="338"/>
      <c r="W232" s="338"/>
      <c r="X232" s="338"/>
      <c r="Y232" s="338"/>
      <c r="Z232" s="338"/>
      <c r="AA232" s="338"/>
      <c r="AB232" s="338"/>
      <c r="AC232" s="338"/>
      <c r="AD232" s="338"/>
      <c r="AE232" s="338"/>
      <c r="AF232" s="338"/>
      <c r="AH232" s="376"/>
      <c r="AI232" s="376"/>
    </row>
    <row r="233" ht="13.2" customHeight="1" spans="1:35">
      <c r="A233" s="371"/>
      <c r="B233" s="335"/>
      <c r="C233" s="336"/>
      <c r="D233" s="337"/>
      <c r="E233" s="338"/>
      <c r="F233" s="338"/>
      <c r="G233" s="338"/>
      <c r="H233" s="338"/>
      <c r="I233" s="338"/>
      <c r="J233" s="338"/>
      <c r="K233" s="338"/>
      <c r="L233" s="338"/>
      <c r="M233" s="338"/>
      <c r="N233" s="338"/>
      <c r="O233" s="338"/>
      <c r="P233" s="338"/>
      <c r="Q233" s="338"/>
      <c r="R233" s="338"/>
      <c r="S233" s="338"/>
      <c r="T233" s="338"/>
      <c r="U233" s="338"/>
      <c r="V233" s="338"/>
      <c r="W233" s="338"/>
      <c r="X233" s="338"/>
      <c r="Y233" s="338"/>
      <c r="Z233" s="338"/>
      <c r="AA233" s="338"/>
      <c r="AB233" s="338"/>
      <c r="AC233" s="338"/>
      <c r="AD233" s="338"/>
      <c r="AE233" s="338"/>
      <c r="AF233" s="338"/>
      <c r="AH233" s="376"/>
      <c r="AI233" s="376"/>
    </row>
    <row r="234" ht="13.2" customHeight="1" spans="1:35">
      <c r="A234" s="371"/>
      <c r="B234" s="335"/>
      <c r="C234" s="336"/>
      <c r="D234" s="337"/>
      <c r="E234" s="338"/>
      <c r="F234" s="338"/>
      <c r="G234" s="338"/>
      <c r="H234" s="338"/>
      <c r="I234" s="338"/>
      <c r="J234" s="338"/>
      <c r="K234" s="338"/>
      <c r="L234" s="338"/>
      <c r="M234" s="338"/>
      <c r="N234" s="338"/>
      <c r="O234" s="338"/>
      <c r="P234" s="338"/>
      <c r="Q234" s="338"/>
      <c r="R234" s="338"/>
      <c r="S234" s="338"/>
      <c r="T234" s="338"/>
      <c r="U234" s="338"/>
      <c r="V234" s="338"/>
      <c r="W234" s="338"/>
      <c r="X234" s="338"/>
      <c r="Y234" s="338"/>
      <c r="Z234" s="338"/>
      <c r="AA234" s="338"/>
      <c r="AB234" s="338"/>
      <c r="AC234" s="338"/>
      <c r="AD234" s="338"/>
      <c r="AE234" s="338"/>
      <c r="AF234" s="338"/>
      <c r="AH234" s="376"/>
      <c r="AI234" s="376"/>
    </row>
    <row r="235" ht="13.2" customHeight="1" spans="1:35">
      <c r="A235" s="371"/>
      <c r="B235" s="335"/>
      <c r="C235" s="336"/>
      <c r="D235" s="337"/>
      <c r="E235" s="338"/>
      <c r="F235" s="338"/>
      <c r="G235" s="338"/>
      <c r="H235" s="338"/>
      <c r="I235" s="338"/>
      <c r="J235" s="338"/>
      <c r="K235" s="338"/>
      <c r="L235" s="338"/>
      <c r="M235" s="338"/>
      <c r="N235" s="338"/>
      <c r="O235" s="338"/>
      <c r="P235" s="338"/>
      <c r="Q235" s="338"/>
      <c r="R235" s="338"/>
      <c r="S235" s="338"/>
      <c r="T235" s="338"/>
      <c r="U235" s="338"/>
      <c r="V235" s="338"/>
      <c r="W235" s="338"/>
      <c r="X235" s="338"/>
      <c r="Y235" s="338"/>
      <c r="Z235" s="338"/>
      <c r="AA235" s="338"/>
      <c r="AB235" s="338"/>
      <c r="AC235" s="338"/>
      <c r="AD235" s="338"/>
      <c r="AE235" s="338"/>
      <c r="AF235" s="338"/>
      <c r="AH235" s="376"/>
      <c r="AI235" s="376"/>
    </row>
    <row r="236" ht="13.2" customHeight="1" spans="1:35">
      <c r="A236" s="371"/>
      <c r="B236" s="335"/>
      <c r="C236" s="336"/>
      <c r="D236" s="337"/>
      <c r="E236" s="338"/>
      <c r="F236" s="338"/>
      <c r="G236" s="338"/>
      <c r="H236" s="338"/>
      <c r="I236" s="338"/>
      <c r="J236" s="338"/>
      <c r="K236" s="338"/>
      <c r="L236" s="338"/>
      <c r="M236" s="338"/>
      <c r="N236" s="338"/>
      <c r="O236" s="338"/>
      <c r="P236" s="338"/>
      <c r="Q236" s="338"/>
      <c r="R236" s="338"/>
      <c r="S236" s="338"/>
      <c r="T236" s="338"/>
      <c r="U236" s="338"/>
      <c r="V236" s="338"/>
      <c r="W236" s="338"/>
      <c r="X236" s="338"/>
      <c r="Y236" s="338"/>
      <c r="Z236" s="338"/>
      <c r="AA236" s="338"/>
      <c r="AB236" s="338"/>
      <c r="AC236" s="338"/>
      <c r="AD236" s="338"/>
      <c r="AE236" s="338"/>
      <c r="AF236" s="338"/>
      <c r="AH236" s="376"/>
      <c r="AI236" s="376"/>
    </row>
    <row r="237" ht="13.2" customHeight="1" spans="1:35">
      <c r="A237" s="371"/>
      <c r="B237" s="335"/>
      <c r="C237" s="336"/>
      <c r="D237" s="337"/>
      <c r="E237" s="338"/>
      <c r="F237" s="338"/>
      <c r="G237" s="338"/>
      <c r="H237" s="338"/>
      <c r="I237" s="338"/>
      <c r="J237" s="338"/>
      <c r="K237" s="338"/>
      <c r="L237" s="338"/>
      <c r="M237" s="338"/>
      <c r="N237" s="338"/>
      <c r="O237" s="338"/>
      <c r="P237" s="338"/>
      <c r="Q237" s="338"/>
      <c r="R237" s="338"/>
      <c r="S237" s="338"/>
      <c r="T237" s="338"/>
      <c r="U237" s="338"/>
      <c r="V237" s="338"/>
      <c r="W237" s="338"/>
      <c r="X237" s="338"/>
      <c r="Y237" s="338"/>
      <c r="Z237" s="338"/>
      <c r="AA237" s="338"/>
      <c r="AB237" s="338"/>
      <c r="AC237" s="338"/>
      <c r="AD237" s="338"/>
      <c r="AE237" s="338"/>
      <c r="AF237" s="338"/>
      <c r="AH237" s="376"/>
      <c r="AI237" s="376"/>
    </row>
    <row r="238" ht="13.2" customHeight="1" spans="1:35">
      <c r="A238" s="371"/>
      <c r="B238" s="335"/>
      <c r="C238" s="336"/>
      <c r="D238" s="337"/>
      <c r="E238" s="338"/>
      <c r="F238" s="338"/>
      <c r="G238" s="338"/>
      <c r="H238" s="338"/>
      <c r="I238" s="338"/>
      <c r="J238" s="338"/>
      <c r="K238" s="338"/>
      <c r="L238" s="338"/>
      <c r="M238" s="338"/>
      <c r="N238" s="338"/>
      <c r="O238" s="338"/>
      <c r="P238" s="338"/>
      <c r="Q238" s="338"/>
      <c r="R238" s="338"/>
      <c r="S238" s="338"/>
      <c r="T238" s="338"/>
      <c r="U238" s="338"/>
      <c r="V238" s="338"/>
      <c r="W238" s="338"/>
      <c r="X238" s="338"/>
      <c r="Y238" s="338"/>
      <c r="Z238" s="338"/>
      <c r="AA238" s="338"/>
      <c r="AB238" s="338"/>
      <c r="AC238" s="338"/>
      <c r="AD238" s="338"/>
      <c r="AE238" s="338"/>
      <c r="AF238" s="338"/>
      <c r="AH238" s="376"/>
      <c r="AI238" s="376"/>
    </row>
    <row r="239" ht="13.2" customHeight="1" spans="1:35">
      <c r="A239" s="371"/>
      <c r="B239" s="335"/>
      <c r="C239" s="336"/>
      <c r="D239" s="337"/>
      <c r="E239" s="338"/>
      <c r="F239" s="338"/>
      <c r="G239" s="338"/>
      <c r="H239" s="338"/>
      <c r="I239" s="338"/>
      <c r="J239" s="338"/>
      <c r="K239" s="338"/>
      <c r="L239" s="338"/>
      <c r="M239" s="338"/>
      <c r="N239" s="338"/>
      <c r="O239" s="338"/>
      <c r="P239" s="338"/>
      <c r="Q239" s="338"/>
      <c r="R239" s="338"/>
      <c r="S239" s="338"/>
      <c r="T239" s="338"/>
      <c r="U239" s="338"/>
      <c r="V239" s="338"/>
      <c r="W239" s="338"/>
      <c r="X239" s="338"/>
      <c r="Y239" s="338"/>
      <c r="Z239" s="338"/>
      <c r="AA239" s="338"/>
      <c r="AB239" s="338"/>
      <c r="AC239" s="338"/>
      <c r="AD239" s="338"/>
      <c r="AE239" s="338"/>
      <c r="AF239" s="338"/>
      <c r="AH239" s="376"/>
      <c r="AI239" s="376"/>
    </row>
    <row r="240" ht="13.2" customHeight="1" spans="1:35">
      <c r="A240" s="371"/>
      <c r="B240" s="335"/>
      <c r="C240" s="336"/>
      <c r="D240" s="337"/>
      <c r="E240" s="338"/>
      <c r="F240" s="338"/>
      <c r="G240" s="338"/>
      <c r="H240" s="338"/>
      <c r="I240" s="338"/>
      <c r="J240" s="338"/>
      <c r="K240" s="338"/>
      <c r="L240" s="338"/>
      <c r="M240" s="338"/>
      <c r="N240" s="338"/>
      <c r="O240" s="338"/>
      <c r="P240" s="338"/>
      <c r="Q240" s="338"/>
      <c r="R240" s="338"/>
      <c r="S240" s="338"/>
      <c r="T240" s="338"/>
      <c r="U240" s="338"/>
      <c r="V240" s="338"/>
      <c r="W240" s="338"/>
      <c r="X240" s="338"/>
      <c r="Y240" s="338"/>
      <c r="Z240" s="338"/>
      <c r="AA240" s="338"/>
      <c r="AB240" s="338"/>
      <c r="AC240" s="338"/>
      <c r="AD240" s="338"/>
      <c r="AE240" s="338"/>
      <c r="AF240" s="338"/>
      <c r="AH240" s="376"/>
      <c r="AI240" s="376"/>
    </row>
    <row r="241" ht="13.2" customHeight="1" spans="1:36">
      <c r="A241" s="371"/>
      <c r="B241" s="335"/>
      <c r="C241" s="336"/>
      <c r="D241" s="337"/>
      <c r="E241" s="338"/>
      <c r="F241" s="338"/>
      <c r="G241" s="338"/>
      <c r="H241" s="338"/>
      <c r="I241" s="338"/>
      <c r="J241" s="338"/>
      <c r="K241" s="338"/>
      <c r="L241" s="338"/>
      <c r="M241" s="338"/>
      <c r="N241" s="338"/>
      <c r="O241" s="338"/>
      <c r="P241" s="338"/>
      <c r="Q241" s="338"/>
      <c r="R241" s="338"/>
      <c r="S241" s="338"/>
      <c r="T241" s="338"/>
      <c r="U241" s="338"/>
      <c r="V241" s="338"/>
      <c r="W241" s="338"/>
      <c r="X241" s="338"/>
      <c r="Y241" s="338"/>
      <c r="Z241" s="338"/>
      <c r="AA241" s="338"/>
      <c r="AB241" s="338"/>
      <c r="AC241" s="338"/>
      <c r="AD241" s="338"/>
      <c r="AE241" s="338"/>
      <c r="AF241" s="338"/>
      <c r="AH241" s="376"/>
      <c r="AI241" s="376"/>
    </row>
    <row r="242" ht="13.2" customHeight="1" spans="1:36">
      <c r="A242" s="371"/>
      <c r="B242" s="335"/>
      <c r="C242" s="336"/>
      <c r="D242" s="337"/>
      <c r="E242" s="338"/>
      <c r="F242" s="338"/>
      <c r="G242" s="338"/>
      <c r="H242" s="338"/>
      <c r="I242" s="338"/>
      <c r="J242" s="338"/>
      <c r="K242" s="338"/>
      <c r="L242" s="338"/>
      <c r="M242" s="338"/>
      <c r="N242" s="338"/>
      <c r="O242" s="338"/>
      <c r="P242" s="338"/>
      <c r="Q242" s="338"/>
      <c r="R242" s="338"/>
      <c r="S242" s="338"/>
      <c r="T242" s="338"/>
      <c r="U242" s="338"/>
      <c r="V242" s="338"/>
      <c r="W242" s="338"/>
      <c r="X242" s="338"/>
      <c r="Y242" s="338"/>
      <c r="Z242" s="338"/>
      <c r="AA242" s="338"/>
      <c r="AB242" s="338"/>
      <c r="AC242" s="338"/>
      <c r="AD242" s="338"/>
      <c r="AE242" s="338"/>
      <c r="AF242" s="338"/>
      <c r="AH242" s="376"/>
      <c r="AI242" s="376"/>
    </row>
    <row r="243" ht="13.2" customHeight="1" spans="1:36">
      <c r="A243" s="371"/>
      <c r="B243" s="335"/>
      <c r="C243" s="336"/>
      <c r="D243" s="337"/>
      <c r="E243" s="338"/>
      <c r="F243" s="338"/>
      <c r="G243" s="338"/>
      <c r="H243" s="338"/>
      <c r="I243" s="338"/>
      <c r="J243" s="338"/>
      <c r="K243" s="338"/>
      <c r="L243" s="338"/>
      <c r="M243" s="338"/>
      <c r="N243" s="338"/>
      <c r="O243" s="338"/>
      <c r="P243" s="338"/>
      <c r="Q243" s="338"/>
      <c r="R243" s="338"/>
      <c r="S243" s="338"/>
      <c r="T243" s="338"/>
      <c r="U243" s="338"/>
      <c r="V243" s="338"/>
      <c r="W243" s="338"/>
      <c r="X243" s="338"/>
      <c r="Y243" s="338"/>
      <c r="Z243" s="338"/>
      <c r="AA243" s="338"/>
      <c r="AB243" s="338"/>
      <c r="AC243" s="338"/>
      <c r="AD243" s="338"/>
      <c r="AE243" s="338"/>
      <c r="AF243" s="338"/>
      <c r="AH243" s="376"/>
      <c r="AI243" s="376"/>
    </row>
    <row r="244" ht="13.2" customHeight="1" spans="1:36">
      <c r="A244" s="371"/>
      <c r="B244" s="335"/>
      <c r="C244" s="336"/>
      <c r="D244" s="337"/>
      <c r="E244" s="335"/>
      <c r="F244" s="338"/>
      <c r="G244" s="338"/>
      <c r="H244" s="338"/>
      <c r="I244" s="338"/>
      <c r="J244" s="338"/>
      <c r="K244" s="338"/>
      <c r="L244" s="338"/>
      <c r="M244" s="338"/>
      <c r="N244" s="338"/>
      <c r="O244" s="338"/>
      <c r="P244" s="338"/>
      <c r="Q244" s="338"/>
      <c r="R244" s="338"/>
      <c r="S244" s="338"/>
      <c r="T244" s="338"/>
      <c r="U244" s="338"/>
      <c r="V244" s="338"/>
      <c r="W244" s="338"/>
      <c r="X244" s="338"/>
      <c r="Y244" s="338"/>
      <c r="Z244" s="338"/>
      <c r="AA244" s="338"/>
      <c r="AB244" s="338"/>
      <c r="AC244" s="338"/>
      <c r="AD244" s="338"/>
      <c r="AE244" s="338"/>
      <c r="AF244" s="338"/>
      <c r="AG244" s="338"/>
      <c r="AI244" s="376"/>
      <c r="AJ244" s="376"/>
    </row>
    <row r="245" ht="13.2" customHeight="1" spans="1:36">
      <c r="A245" s="371"/>
      <c r="B245" s="335"/>
      <c r="C245" s="336"/>
      <c r="D245" s="337"/>
      <c r="E245" s="335"/>
      <c r="F245" s="338"/>
      <c r="G245" s="338"/>
      <c r="H245" s="338"/>
      <c r="I245" s="338"/>
      <c r="J245" s="338"/>
      <c r="K245" s="338"/>
      <c r="L245" s="338"/>
      <c r="M245" s="338"/>
      <c r="N245" s="338"/>
      <c r="O245" s="338"/>
      <c r="P245" s="338"/>
      <c r="Q245" s="338"/>
      <c r="R245" s="338"/>
      <c r="S245" s="338"/>
      <c r="T245" s="338"/>
      <c r="U245" s="338"/>
      <c r="V245" s="338"/>
      <c r="W245" s="338"/>
      <c r="X245" s="338"/>
      <c r="Y245" s="338"/>
      <c r="Z245" s="338"/>
      <c r="AA245" s="338"/>
      <c r="AB245" s="338"/>
      <c r="AC245" s="338"/>
      <c r="AD245" s="338"/>
      <c r="AE245" s="338"/>
      <c r="AF245" s="338"/>
      <c r="AG245" s="338"/>
      <c r="AI245" s="376"/>
      <c r="AJ245" s="376"/>
    </row>
    <row r="246" ht="13.2" customHeight="1" spans="1:36">
      <c r="A246" s="371"/>
      <c r="B246" s="335"/>
      <c r="C246" s="336"/>
      <c r="D246" s="337"/>
      <c r="E246" s="335"/>
      <c r="F246" s="338"/>
      <c r="G246" s="338"/>
      <c r="H246" s="338"/>
      <c r="I246" s="338"/>
      <c r="J246" s="338"/>
      <c r="K246" s="338"/>
      <c r="L246" s="338"/>
      <c r="M246" s="338"/>
      <c r="N246" s="338"/>
      <c r="O246" s="338"/>
      <c r="P246" s="338"/>
      <c r="Q246" s="338"/>
      <c r="R246" s="338"/>
      <c r="S246" s="338"/>
      <c r="T246" s="338"/>
      <c r="U246" s="338"/>
      <c r="V246" s="338"/>
      <c r="W246" s="338"/>
      <c r="X246" s="338"/>
      <c r="Y246" s="338"/>
      <c r="Z246" s="338"/>
      <c r="AA246" s="338"/>
      <c r="AB246" s="338"/>
      <c r="AC246" s="338"/>
      <c r="AD246" s="338"/>
      <c r="AE246" s="338"/>
      <c r="AF246" s="338"/>
      <c r="AG246" s="338"/>
      <c r="AI246" s="376"/>
      <c r="AJ246" s="376"/>
    </row>
    <row r="247" ht="13.2" customHeight="1" spans="1:36">
      <c r="A247" s="371"/>
      <c r="B247" s="335"/>
      <c r="C247" s="336"/>
      <c r="D247" s="337"/>
      <c r="E247" s="335"/>
      <c r="F247" s="338"/>
      <c r="G247" s="338"/>
      <c r="H247" s="338"/>
      <c r="I247" s="338"/>
      <c r="J247" s="338"/>
      <c r="K247" s="338"/>
      <c r="L247" s="338"/>
      <c r="M247" s="338"/>
      <c r="N247" s="338"/>
      <c r="O247" s="338"/>
      <c r="P247" s="338"/>
      <c r="Q247" s="338"/>
      <c r="R247" s="338"/>
      <c r="S247" s="338"/>
      <c r="T247" s="338"/>
      <c r="U247" s="338"/>
      <c r="V247" s="338"/>
      <c r="W247" s="338"/>
      <c r="X247" s="338"/>
      <c r="Y247" s="338"/>
      <c r="Z247" s="338"/>
      <c r="AA247" s="338"/>
      <c r="AB247" s="338"/>
      <c r="AC247" s="338"/>
      <c r="AD247" s="338"/>
      <c r="AE247" s="338"/>
      <c r="AF247" s="338"/>
      <c r="AG247" s="338"/>
      <c r="AI247" s="376"/>
      <c r="AJ247" s="376"/>
    </row>
    <row r="248" ht="13.2" customHeight="1" spans="1:36">
      <c r="A248" s="371"/>
      <c r="B248" s="335"/>
      <c r="C248" s="336"/>
      <c r="D248" s="337"/>
      <c r="E248" s="335"/>
      <c r="F248" s="338"/>
      <c r="G248" s="338"/>
      <c r="H248" s="338"/>
      <c r="I248" s="338"/>
      <c r="J248" s="338"/>
      <c r="K248" s="338"/>
      <c r="L248" s="338"/>
      <c r="M248" s="338"/>
      <c r="N248" s="338"/>
      <c r="O248" s="338"/>
      <c r="P248" s="338"/>
      <c r="Q248" s="338"/>
      <c r="R248" s="338"/>
      <c r="S248" s="338"/>
      <c r="T248" s="338"/>
      <c r="U248" s="338"/>
      <c r="V248" s="338"/>
      <c r="W248" s="338"/>
      <c r="X248" s="338"/>
      <c r="Y248" s="338"/>
      <c r="Z248" s="338"/>
      <c r="AA248" s="338"/>
      <c r="AB248" s="338"/>
      <c r="AC248" s="338"/>
      <c r="AD248" s="338"/>
      <c r="AE248" s="338"/>
      <c r="AF248" s="338"/>
      <c r="AG248" s="338"/>
      <c r="AI248" s="376"/>
      <c r="AJ248" s="376"/>
    </row>
    <row r="249" ht="13.2" customHeight="1" spans="1:36">
      <c r="A249" s="371"/>
      <c r="B249" s="335"/>
      <c r="C249" s="336"/>
      <c r="D249" s="337"/>
      <c r="E249" s="335"/>
      <c r="F249" s="338"/>
      <c r="G249" s="338"/>
      <c r="H249" s="338"/>
      <c r="I249" s="338"/>
      <c r="J249" s="338"/>
      <c r="K249" s="338"/>
      <c r="L249" s="338"/>
      <c r="M249" s="338"/>
      <c r="N249" s="338"/>
      <c r="O249" s="338"/>
      <c r="P249" s="338"/>
      <c r="Q249" s="338"/>
      <c r="R249" s="338"/>
      <c r="S249" s="338"/>
      <c r="T249" s="338"/>
      <c r="U249" s="338"/>
      <c r="V249" s="338"/>
      <c r="W249" s="338"/>
      <c r="X249" s="338"/>
      <c r="Y249" s="338"/>
      <c r="Z249" s="338"/>
      <c r="AA249" s="338"/>
      <c r="AB249" s="338"/>
      <c r="AC249" s="338"/>
      <c r="AD249" s="338"/>
      <c r="AE249" s="338"/>
      <c r="AF249" s="338"/>
      <c r="AG249" s="338"/>
      <c r="AI249" s="376"/>
      <c r="AJ249" s="376"/>
    </row>
    <row r="250" ht="13.2" customHeight="1" spans="1:36">
      <c r="A250" s="371"/>
      <c r="B250" s="335"/>
      <c r="C250" s="336"/>
      <c r="D250" s="337"/>
      <c r="E250" s="335"/>
      <c r="F250" s="338"/>
      <c r="G250" s="338"/>
      <c r="H250" s="338"/>
      <c r="I250" s="338"/>
      <c r="J250" s="338"/>
      <c r="K250" s="338"/>
      <c r="L250" s="338"/>
      <c r="M250" s="338"/>
      <c r="N250" s="338"/>
      <c r="O250" s="338"/>
      <c r="P250" s="338"/>
      <c r="Q250" s="338"/>
      <c r="R250" s="338"/>
      <c r="S250" s="338"/>
      <c r="T250" s="338"/>
      <c r="U250" s="338"/>
      <c r="V250" s="338"/>
      <c r="W250" s="338"/>
      <c r="X250" s="338"/>
      <c r="Y250" s="338"/>
      <c r="Z250" s="338"/>
      <c r="AA250" s="338"/>
      <c r="AB250" s="338"/>
      <c r="AC250" s="338"/>
      <c r="AD250" s="338"/>
      <c r="AE250" s="338"/>
      <c r="AF250" s="338"/>
      <c r="AG250" s="338"/>
      <c r="AI250" s="376"/>
      <c r="AJ250" s="376"/>
    </row>
    <row r="251" ht="13.2" customHeight="1" spans="1:36">
      <c r="A251" s="371"/>
      <c r="B251" s="335"/>
      <c r="C251" s="336"/>
      <c r="D251" s="337"/>
      <c r="E251" s="335"/>
      <c r="F251" s="338"/>
      <c r="G251" s="338"/>
      <c r="H251" s="338"/>
      <c r="I251" s="338"/>
      <c r="J251" s="338"/>
      <c r="K251" s="338"/>
      <c r="L251" s="338"/>
      <c r="M251" s="338"/>
      <c r="N251" s="338"/>
      <c r="O251" s="338"/>
      <c r="P251" s="338"/>
      <c r="Q251" s="338"/>
      <c r="R251" s="338"/>
      <c r="S251" s="338"/>
      <c r="T251" s="338"/>
      <c r="U251" s="338"/>
      <c r="V251" s="338"/>
      <c r="W251" s="338"/>
      <c r="X251" s="338"/>
      <c r="Y251" s="338"/>
      <c r="Z251" s="338"/>
      <c r="AA251" s="338"/>
      <c r="AB251" s="338"/>
      <c r="AC251" s="338"/>
      <c r="AD251" s="338"/>
      <c r="AE251" s="338"/>
      <c r="AF251" s="338"/>
      <c r="AG251" s="338"/>
      <c r="AI251" s="376"/>
      <c r="AJ251" s="376"/>
    </row>
    <row r="252" ht="13.2" customHeight="1" spans="1:36">
      <c r="A252" s="371"/>
      <c r="B252" s="335"/>
      <c r="C252" s="336"/>
      <c r="D252" s="337"/>
      <c r="E252" s="335"/>
      <c r="F252" s="338"/>
      <c r="G252" s="338"/>
      <c r="H252" s="338"/>
      <c r="I252" s="338"/>
      <c r="J252" s="338"/>
      <c r="K252" s="338"/>
      <c r="L252" s="338"/>
      <c r="M252" s="338"/>
      <c r="N252" s="338"/>
      <c r="O252" s="338"/>
      <c r="P252" s="338"/>
      <c r="Q252" s="338"/>
      <c r="R252" s="338"/>
      <c r="S252" s="338"/>
      <c r="T252" s="338"/>
      <c r="U252" s="338"/>
      <c r="V252" s="338"/>
      <c r="W252" s="338"/>
      <c r="X252" s="338"/>
      <c r="Y252" s="338"/>
      <c r="Z252" s="338"/>
      <c r="AA252" s="338"/>
      <c r="AB252" s="338"/>
      <c r="AC252" s="338"/>
      <c r="AD252" s="338"/>
      <c r="AE252" s="338"/>
      <c r="AF252" s="338"/>
      <c r="AG252" s="338"/>
      <c r="AI252" s="376"/>
      <c r="AJ252" s="376"/>
    </row>
    <row r="253" ht="13.2" customHeight="1" spans="1:36">
      <c r="A253" s="371"/>
      <c r="B253" s="335"/>
      <c r="C253" s="336"/>
      <c r="D253" s="337"/>
      <c r="E253" s="335"/>
      <c r="F253" s="338"/>
      <c r="G253" s="338"/>
      <c r="H253" s="338"/>
      <c r="I253" s="338"/>
      <c r="J253" s="338"/>
      <c r="K253" s="338"/>
      <c r="L253" s="338"/>
      <c r="M253" s="338"/>
      <c r="N253" s="338"/>
      <c r="O253" s="338"/>
      <c r="P253" s="338"/>
      <c r="Q253" s="338"/>
      <c r="R253" s="338"/>
      <c r="S253" s="338"/>
      <c r="T253" s="338"/>
      <c r="U253" s="338"/>
      <c r="V253" s="338"/>
      <c r="W253" s="338"/>
      <c r="X253" s="338"/>
      <c r="Y253" s="338"/>
      <c r="Z253" s="338"/>
      <c r="AA253" s="338"/>
      <c r="AB253" s="338"/>
      <c r="AC253" s="338"/>
      <c r="AD253" s="338"/>
      <c r="AE253" s="338"/>
      <c r="AF253" s="338"/>
      <c r="AG253" s="338"/>
      <c r="AI253" s="376"/>
      <c r="AJ253" s="376"/>
    </row>
    <row r="254" ht="13.2" customHeight="1" spans="1:36">
      <c r="A254" s="371"/>
      <c r="B254" s="335"/>
      <c r="C254" s="336"/>
      <c r="D254" s="337"/>
      <c r="E254" s="335"/>
      <c r="F254" s="338"/>
      <c r="G254" s="338"/>
      <c r="H254" s="338"/>
      <c r="I254" s="338"/>
      <c r="J254" s="338"/>
      <c r="K254" s="338"/>
      <c r="L254" s="338"/>
      <c r="M254" s="338"/>
      <c r="N254" s="338"/>
      <c r="O254" s="338"/>
      <c r="P254" s="338"/>
      <c r="Q254" s="338"/>
      <c r="R254" s="338"/>
      <c r="S254" s="338"/>
      <c r="T254" s="338"/>
      <c r="U254" s="338"/>
      <c r="V254" s="338"/>
      <c r="W254" s="338"/>
      <c r="X254" s="338"/>
      <c r="Y254" s="338"/>
      <c r="Z254" s="338"/>
      <c r="AA254" s="338"/>
      <c r="AB254" s="338"/>
      <c r="AC254" s="338"/>
      <c r="AD254" s="338"/>
      <c r="AE254" s="338"/>
      <c r="AF254" s="338"/>
      <c r="AG254" s="338"/>
      <c r="AI254" s="376"/>
      <c r="AJ254" s="376"/>
    </row>
    <row r="255" ht="13.2" customHeight="1" spans="1:36">
      <c r="A255" s="371"/>
      <c r="B255" s="335"/>
      <c r="C255" s="336"/>
      <c r="D255" s="337"/>
      <c r="E255" s="335"/>
      <c r="F255" s="338"/>
      <c r="G255" s="338"/>
      <c r="H255" s="338"/>
      <c r="I255" s="338"/>
      <c r="J255" s="338"/>
      <c r="K255" s="338"/>
      <c r="L255" s="338"/>
      <c r="M255" s="338"/>
      <c r="N255" s="338"/>
      <c r="O255" s="338"/>
      <c r="P255" s="338"/>
      <c r="Q255" s="338"/>
      <c r="R255" s="338"/>
      <c r="S255" s="338"/>
      <c r="T255" s="338"/>
      <c r="U255" s="338"/>
      <c r="V255" s="338"/>
      <c r="W255" s="338"/>
      <c r="X255" s="338"/>
      <c r="Y255" s="338"/>
      <c r="Z255" s="338"/>
      <c r="AA255" s="338"/>
      <c r="AB255" s="338"/>
      <c r="AC255" s="338"/>
      <c r="AD255" s="338"/>
      <c r="AE255" s="338"/>
      <c r="AF255" s="338"/>
      <c r="AG255" s="338"/>
      <c r="AI255" s="376"/>
      <c r="AJ255" s="376"/>
    </row>
    <row r="256" ht="13.2" customHeight="1" spans="1:36">
      <c r="A256" s="371"/>
      <c r="B256" s="335"/>
      <c r="C256" s="336"/>
      <c r="D256" s="337"/>
      <c r="E256" s="335"/>
      <c r="F256" s="338"/>
      <c r="G256" s="338"/>
      <c r="H256" s="338"/>
      <c r="I256" s="338"/>
      <c r="J256" s="338"/>
      <c r="K256" s="338"/>
      <c r="L256" s="338"/>
      <c r="M256" s="338"/>
      <c r="N256" s="338"/>
      <c r="O256" s="338"/>
      <c r="P256" s="338"/>
      <c r="Q256" s="338"/>
      <c r="R256" s="338"/>
      <c r="S256" s="338"/>
      <c r="T256" s="338"/>
      <c r="U256" s="338"/>
      <c r="V256" s="338"/>
      <c r="W256" s="338"/>
      <c r="X256" s="338"/>
      <c r="Y256" s="338"/>
      <c r="Z256" s="338"/>
      <c r="AA256" s="338"/>
      <c r="AB256" s="338"/>
      <c r="AC256" s="338"/>
      <c r="AD256" s="338"/>
      <c r="AE256" s="338"/>
      <c r="AF256" s="338"/>
      <c r="AG256" s="338"/>
      <c r="AI256" s="376"/>
      <c r="AJ256" s="376"/>
    </row>
    <row r="257" ht="13.2" customHeight="1" spans="1:36">
      <c r="A257" s="371"/>
      <c r="B257" s="335"/>
      <c r="C257" s="336"/>
      <c r="D257" s="337"/>
      <c r="E257" s="335"/>
      <c r="F257" s="338"/>
      <c r="G257" s="338"/>
      <c r="H257" s="338"/>
      <c r="I257" s="338"/>
      <c r="J257" s="338"/>
      <c r="K257" s="338"/>
      <c r="L257" s="338"/>
      <c r="M257" s="338"/>
      <c r="N257" s="338"/>
      <c r="O257" s="338"/>
      <c r="P257" s="338"/>
      <c r="Q257" s="338"/>
      <c r="R257" s="338"/>
      <c r="S257" s="338"/>
      <c r="T257" s="338"/>
      <c r="U257" s="338"/>
      <c r="V257" s="338"/>
      <c r="W257" s="338"/>
      <c r="X257" s="338"/>
      <c r="Y257" s="338"/>
      <c r="Z257" s="338"/>
      <c r="AA257" s="338"/>
      <c r="AB257" s="338"/>
      <c r="AC257" s="338"/>
      <c r="AD257" s="338"/>
      <c r="AE257" s="338"/>
      <c r="AF257" s="338"/>
      <c r="AG257" s="338"/>
      <c r="AI257" s="376"/>
      <c r="AJ257" s="376"/>
    </row>
    <row r="258" ht="13.2" customHeight="1" spans="1:36">
      <c r="A258" s="371"/>
      <c r="B258" s="335"/>
      <c r="C258" s="336"/>
      <c r="D258" s="337"/>
      <c r="E258" s="335"/>
      <c r="F258" s="338"/>
      <c r="G258" s="338"/>
      <c r="H258" s="338"/>
      <c r="I258" s="338"/>
      <c r="J258" s="338"/>
      <c r="K258" s="338"/>
      <c r="L258" s="338"/>
      <c r="M258" s="338"/>
      <c r="N258" s="338"/>
      <c r="O258" s="338"/>
      <c r="P258" s="338"/>
      <c r="Q258" s="338"/>
      <c r="R258" s="338"/>
      <c r="S258" s="338"/>
      <c r="T258" s="338"/>
      <c r="U258" s="338"/>
      <c r="V258" s="338"/>
      <c r="W258" s="338"/>
      <c r="X258" s="338"/>
      <c r="Y258" s="338"/>
      <c r="Z258" s="338"/>
      <c r="AA258" s="338"/>
      <c r="AB258" s="338"/>
      <c r="AC258" s="338"/>
      <c r="AD258" s="338"/>
      <c r="AE258" s="338"/>
      <c r="AF258" s="338"/>
      <c r="AG258" s="338"/>
      <c r="AI258" s="376"/>
      <c r="AJ258" s="376"/>
    </row>
    <row r="259" ht="13.2" customHeight="1" spans="1:36">
      <c r="A259" s="371"/>
      <c r="B259" s="335"/>
      <c r="C259" s="336"/>
      <c r="D259" s="337"/>
      <c r="E259" s="335"/>
      <c r="F259" s="338"/>
      <c r="G259" s="338"/>
      <c r="H259" s="338"/>
      <c r="I259" s="338"/>
      <c r="J259" s="338"/>
      <c r="K259" s="338"/>
      <c r="L259" s="338"/>
      <c r="M259" s="338"/>
      <c r="N259" s="338"/>
      <c r="O259" s="338"/>
      <c r="P259" s="338"/>
      <c r="Q259" s="338"/>
      <c r="R259" s="338"/>
      <c r="S259" s="338"/>
      <c r="T259" s="338"/>
      <c r="U259" s="338"/>
      <c r="V259" s="338"/>
      <c r="W259" s="338"/>
      <c r="X259" s="338"/>
      <c r="Y259" s="338"/>
      <c r="Z259" s="338"/>
      <c r="AA259" s="338"/>
      <c r="AB259" s="338"/>
      <c r="AC259" s="338"/>
      <c r="AD259" s="338"/>
      <c r="AE259" s="338"/>
      <c r="AF259" s="338"/>
      <c r="AG259" s="338"/>
      <c r="AI259" s="376"/>
      <c r="AJ259" s="376"/>
    </row>
    <row r="260" ht="13.2" customHeight="1" spans="1:36">
      <c r="A260" s="371"/>
      <c r="B260" s="335"/>
      <c r="C260" s="336"/>
      <c r="D260" s="337"/>
      <c r="E260" s="335"/>
      <c r="F260" s="338"/>
      <c r="G260" s="338"/>
      <c r="H260" s="338"/>
      <c r="I260" s="338"/>
      <c r="J260" s="338"/>
      <c r="K260" s="338"/>
      <c r="L260" s="338"/>
      <c r="M260" s="338"/>
      <c r="N260" s="338"/>
      <c r="O260" s="338"/>
      <c r="P260" s="338"/>
      <c r="Q260" s="338"/>
      <c r="R260" s="338"/>
      <c r="S260" s="338"/>
      <c r="T260" s="338"/>
      <c r="U260" s="338"/>
      <c r="V260" s="338"/>
      <c r="W260" s="338"/>
      <c r="X260" s="338"/>
      <c r="Y260" s="338"/>
      <c r="Z260" s="338"/>
      <c r="AA260" s="338"/>
      <c r="AB260" s="338"/>
      <c r="AC260" s="338"/>
      <c r="AD260" s="338"/>
      <c r="AE260" s="338"/>
      <c r="AF260" s="338"/>
      <c r="AG260" s="338"/>
      <c r="AI260" s="376"/>
      <c r="AJ260" s="376"/>
    </row>
    <row r="261" ht="13.2" customHeight="1" spans="1:36">
      <c r="A261" s="371"/>
      <c r="B261" s="335"/>
      <c r="C261" s="336"/>
      <c r="D261" s="337"/>
      <c r="E261" s="335"/>
      <c r="F261" s="338"/>
      <c r="G261" s="338"/>
      <c r="H261" s="338"/>
      <c r="I261" s="338"/>
      <c r="J261" s="338"/>
      <c r="K261" s="338"/>
      <c r="L261" s="338"/>
      <c r="M261" s="338"/>
      <c r="N261" s="338"/>
      <c r="O261" s="338"/>
      <c r="P261" s="338"/>
      <c r="Q261" s="338"/>
      <c r="R261" s="338"/>
      <c r="S261" s="338"/>
      <c r="T261" s="338"/>
      <c r="U261" s="338"/>
      <c r="V261" s="338"/>
      <c r="W261" s="338"/>
      <c r="X261" s="338"/>
      <c r="Y261" s="338"/>
      <c r="Z261" s="338"/>
      <c r="AA261" s="338"/>
      <c r="AB261" s="338"/>
      <c r="AC261" s="338"/>
      <c r="AD261" s="338"/>
      <c r="AE261" s="338"/>
      <c r="AF261" s="338"/>
      <c r="AG261" s="338"/>
      <c r="AI261" s="376"/>
      <c r="AJ261" s="376"/>
    </row>
    <row r="262" ht="13.2" customHeight="1" spans="1:36">
      <c r="A262" s="371"/>
      <c r="B262" s="335"/>
      <c r="C262" s="336"/>
      <c r="D262" s="337"/>
      <c r="E262" s="335"/>
      <c r="F262" s="338"/>
      <c r="G262" s="338"/>
      <c r="H262" s="338"/>
      <c r="I262" s="338"/>
      <c r="J262" s="338"/>
      <c r="K262" s="338"/>
      <c r="L262" s="338"/>
      <c r="M262" s="338"/>
      <c r="N262" s="338"/>
      <c r="O262" s="338"/>
      <c r="P262" s="338"/>
      <c r="Q262" s="338"/>
      <c r="R262" s="338"/>
      <c r="S262" s="338"/>
      <c r="T262" s="338"/>
      <c r="U262" s="338"/>
      <c r="V262" s="338"/>
      <c r="W262" s="338"/>
      <c r="X262" s="338"/>
      <c r="Y262" s="338"/>
      <c r="Z262" s="338"/>
      <c r="AA262" s="338"/>
      <c r="AB262" s="338"/>
      <c r="AC262" s="338"/>
      <c r="AD262" s="338"/>
      <c r="AE262" s="338"/>
      <c r="AF262" s="338"/>
      <c r="AG262" s="338"/>
      <c r="AI262" s="376"/>
      <c r="AJ262" s="376"/>
    </row>
    <row r="263" ht="13.2" customHeight="1" spans="1:36">
      <c r="A263" s="371"/>
      <c r="B263" s="335"/>
      <c r="C263" s="336"/>
      <c r="D263" s="337"/>
      <c r="E263" s="335"/>
      <c r="F263" s="338"/>
      <c r="G263" s="338"/>
      <c r="H263" s="338"/>
      <c r="I263" s="338"/>
      <c r="J263" s="338"/>
      <c r="K263" s="338"/>
      <c r="L263" s="338"/>
      <c r="M263" s="338"/>
      <c r="N263" s="338"/>
      <c r="O263" s="338"/>
      <c r="P263" s="338"/>
      <c r="Q263" s="338"/>
      <c r="R263" s="338"/>
      <c r="S263" s="338"/>
      <c r="T263" s="338"/>
      <c r="U263" s="338"/>
      <c r="V263" s="338"/>
      <c r="W263" s="338"/>
      <c r="X263" s="338"/>
      <c r="Y263" s="338"/>
      <c r="Z263" s="338"/>
      <c r="AA263" s="338"/>
      <c r="AB263" s="338"/>
      <c r="AC263" s="338"/>
      <c r="AD263" s="338"/>
      <c r="AE263" s="338"/>
      <c r="AF263" s="338"/>
      <c r="AG263" s="338"/>
      <c r="AI263" s="376"/>
      <c r="AJ263" s="376"/>
    </row>
    <row r="264" ht="13.2" customHeight="1" spans="1:36">
      <c r="A264" s="371"/>
      <c r="B264" s="335"/>
      <c r="C264" s="336"/>
      <c r="D264" s="337"/>
      <c r="E264" s="335"/>
      <c r="F264" s="338"/>
      <c r="G264" s="338"/>
      <c r="H264" s="338"/>
      <c r="I264" s="338"/>
      <c r="J264" s="338"/>
      <c r="K264" s="338"/>
      <c r="L264" s="338"/>
      <c r="M264" s="338"/>
      <c r="N264" s="338"/>
      <c r="O264" s="338"/>
      <c r="P264" s="338"/>
      <c r="Q264" s="338"/>
      <c r="R264" s="338"/>
      <c r="S264" s="338"/>
      <c r="T264" s="338"/>
      <c r="U264" s="338"/>
      <c r="V264" s="338"/>
      <c r="W264" s="338"/>
      <c r="X264" s="338"/>
      <c r="Y264" s="338"/>
      <c r="Z264" s="338"/>
      <c r="AA264" s="338"/>
      <c r="AB264" s="338"/>
      <c r="AC264" s="338"/>
      <c r="AD264" s="338"/>
      <c r="AE264" s="338"/>
      <c r="AF264" s="338"/>
      <c r="AG264" s="338"/>
      <c r="AI264" s="376"/>
      <c r="AJ264" s="376"/>
    </row>
    <row r="265" ht="13.2" customHeight="1" spans="1:36">
      <c r="A265" s="371"/>
      <c r="B265" s="335"/>
      <c r="C265" s="336"/>
      <c r="D265" s="337"/>
      <c r="E265" s="335"/>
      <c r="F265" s="338"/>
      <c r="G265" s="338"/>
      <c r="H265" s="338"/>
      <c r="I265" s="338"/>
      <c r="J265" s="338"/>
      <c r="K265" s="338"/>
      <c r="L265" s="338"/>
      <c r="M265" s="338"/>
      <c r="N265" s="338"/>
      <c r="O265" s="338"/>
      <c r="P265" s="338"/>
      <c r="Q265" s="338"/>
      <c r="R265" s="338"/>
      <c r="S265" s="338"/>
      <c r="T265" s="338"/>
      <c r="U265" s="338"/>
      <c r="V265" s="338"/>
      <c r="W265" s="338"/>
      <c r="X265" s="338"/>
      <c r="Y265" s="338"/>
      <c r="Z265" s="338"/>
      <c r="AA265" s="338"/>
      <c r="AB265" s="338"/>
      <c r="AC265" s="338"/>
      <c r="AD265" s="338"/>
      <c r="AE265" s="338"/>
      <c r="AF265" s="338"/>
      <c r="AG265" s="338"/>
      <c r="AI265" s="376"/>
      <c r="AJ265" s="376"/>
    </row>
    <row r="266" ht="13.2" customHeight="1" spans="1:36">
      <c r="A266" s="371"/>
      <c r="B266" s="335"/>
      <c r="C266" s="336"/>
      <c r="D266" s="337"/>
      <c r="E266" s="335"/>
      <c r="F266" s="338"/>
      <c r="G266" s="338"/>
      <c r="H266" s="338"/>
      <c r="I266" s="338"/>
      <c r="J266" s="338"/>
      <c r="K266" s="338"/>
      <c r="L266" s="338"/>
      <c r="M266" s="338"/>
      <c r="N266" s="338"/>
      <c r="O266" s="338"/>
      <c r="P266" s="338"/>
      <c r="Q266" s="338"/>
      <c r="R266" s="338"/>
      <c r="S266" s="338"/>
      <c r="T266" s="338"/>
      <c r="U266" s="338"/>
      <c r="V266" s="338"/>
      <c r="W266" s="338"/>
      <c r="X266" s="338"/>
      <c r="Y266" s="338"/>
      <c r="Z266" s="338"/>
      <c r="AA266" s="338"/>
      <c r="AB266" s="338"/>
      <c r="AC266" s="338"/>
      <c r="AD266" s="338"/>
      <c r="AE266" s="338"/>
      <c r="AF266" s="338"/>
      <c r="AG266" s="338"/>
      <c r="AI266" s="376"/>
      <c r="AJ266" s="376"/>
    </row>
    <row r="267" ht="13.2" customHeight="1" spans="1:36">
      <c r="A267" s="371"/>
      <c r="B267" s="335"/>
      <c r="C267" s="336"/>
      <c r="D267" s="337"/>
      <c r="E267" s="335"/>
      <c r="F267" s="338"/>
      <c r="G267" s="338"/>
      <c r="H267" s="338"/>
      <c r="I267" s="338"/>
      <c r="J267" s="338"/>
      <c r="K267" s="338"/>
      <c r="L267" s="338"/>
      <c r="M267" s="338"/>
      <c r="N267" s="338"/>
      <c r="O267" s="338"/>
      <c r="P267" s="338"/>
      <c r="Q267" s="338"/>
      <c r="R267" s="338"/>
      <c r="S267" s="338"/>
      <c r="T267" s="338"/>
      <c r="U267" s="338"/>
      <c r="V267" s="338"/>
      <c r="W267" s="338"/>
      <c r="X267" s="338"/>
      <c r="Y267" s="338"/>
      <c r="Z267" s="338"/>
      <c r="AA267" s="338"/>
      <c r="AB267" s="338"/>
      <c r="AC267" s="338"/>
      <c r="AD267" s="338"/>
      <c r="AE267" s="338"/>
      <c r="AF267" s="338"/>
      <c r="AG267" s="338"/>
      <c r="AI267" s="376"/>
      <c r="AJ267" s="376"/>
    </row>
    <row r="268" ht="13.2" customHeight="1" spans="1:36">
      <c r="A268" s="371"/>
      <c r="B268" s="335"/>
      <c r="C268" s="336"/>
      <c r="D268" s="337"/>
      <c r="E268" s="335"/>
      <c r="F268" s="338"/>
      <c r="G268" s="338"/>
      <c r="H268" s="338"/>
      <c r="I268" s="338"/>
      <c r="J268" s="338"/>
      <c r="K268" s="338"/>
      <c r="L268" s="338"/>
      <c r="M268" s="338"/>
      <c r="N268" s="338"/>
      <c r="O268" s="338"/>
      <c r="P268" s="338"/>
      <c r="Q268" s="338"/>
      <c r="R268" s="338"/>
      <c r="S268" s="338"/>
      <c r="T268" s="338"/>
      <c r="U268" s="338"/>
      <c r="V268" s="338"/>
      <c r="W268" s="338"/>
      <c r="X268" s="338"/>
      <c r="Y268" s="338"/>
      <c r="Z268" s="338"/>
      <c r="AA268" s="338"/>
      <c r="AB268" s="338"/>
      <c r="AC268" s="338"/>
      <c r="AD268" s="338"/>
      <c r="AE268" s="338"/>
      <c r="AF268" s="338"/>
      <c r="AG268" s="338"/>
      <c r="AI268" s="376"/>
      <c r="AJ268" s="376"/>
    </row>
    <row r="269" ht="13.2" customHeight="1" spans="1:36">
      <c r="A269" s="371"/>
      <c r="B269" s="335"/>
      <c r="C269" s="336"/>
      <c r="D269" s="337"/>
      <c r="E269" s="335"/>
      <c r="F269" s="338"/>
      <c r="G269" s="338"/>
      <c r="H269" s="338"/>
      <c r="I269" s="338"/>
      <c r="J269" s="338"/>
      <c r="K269" s="338"/>
      <c r="L269" s="338"/>
      <c r="M269" s="338"/>
      <c r="N269" s="338"/>
      <c r="O269" s="338"/>
      <c r="P269" s="338"/>
      <c r="Q269" s="338"/>
      <c r="R269" s="338"/>
      <c r="S269" s="338"/>
      <c r="T269" s="338"/>
      <c r="U269" s="338"/>
      <c r="V269" s="338"/>
      <c r="W269" s="338"/>
      <c r="X269" s="338"/>
      <c r="Y269" s="338"/>
      <c r="Z269" s="338"/>
      <c r="AA269" s="338"/>
      <c r="AB269" s="338"/>
      <c r="AC269" s="338"/>
      <c r="AD269" s="338"/>
      <c r="AE269" s="338"/>
      <c r="AF269" s="338"/>
      <c r="AG269" s="338"/>
      <c r="AI269" s="376"/>
      <c r="AJ269" s="376"/>
    </row>
    <row r="270" ht="13.2" customHeight="1" spans="1:36">
      <c r="A270" s="371"/>
      <c r="B270" s="335"/>
      <c r="C270" s="336"/>
      <c r="D270" s="337"/>
      <c r="E270" s="335"/>
      <c r="F270" s="338"/>
      <c r="G270" s="338"/>
      <c r="H270" s="338"/>
      <c r="I270" s="338"/>
      <c r="J270" s="338"/>
      <c r="K270" s="338"/>
      <c r="L270" s="338"/>
      <c r="M270" s="338"/>
      <c r="N270" s="338"/>
      <c r="O270" s="338"/>
      <c r="P270" s="338"/>
      <c r="Q270" s="338"/>
      <c r="R270" s="338"/>
      <c r="S270" s="338"/>
      <c r="T270" s="338"/>
      <c r="U270" s="338"/>
      <c r="V270" s="338"/>
      <c r="W270" s="338"/>
      <c r="X270" s="338"/>
      <c r="Y270" s="338"/>
      <c r="Z270" s="338"/>
      <c r="AA270" s="338"/>
      <c r="AB270" s="338"/>
      <c r="AC270" s="338"/>
      <c r="AD270" s="338"/>
      <c r="AE270" s="338"/>
      <c r="AF270" s="338"/>
      <c r="AG270" s="338"/>
      <c r="AI270" s="376"/>
      <c r="AJ270" s="376"/>
    </row>
    <row r="271" ht="13.2" customHeight="1" spans="1:36">
      <c r="A271" s="371"/>
      <c r="B271" s="335"/>
      <c r="C271" s="336"/>
      <c r="D271" s="337"/>
      <c r="E271" s="335"/>
      <c r="F271" s="338"/>
      <c r="G271" s="338"/>
      <c r="H271" s="338"/>
      <c r="I271" s="338"/>
      <c r="J271" s="338"/>
      <c r="K271" s="338"/>
      <c r="L271" s="338"/>
      <c r="M271" s="338"/>
      <c r="N271" s="338"/>
      <c r="O271" s="338"/>
      <c r="P271" s="338"/>
      <c r="Q271" s="338"/>
      <c r="R271" s="338"/>
      <c r="S271" s="338"/>
      <c r="T271" s="338"/>
      <c r="U271" s="338"/>
      <c r="V271" s="338"/>
      <c r="W271" s="338"/>
      <c r="X271" s="338"/>
      <c r="Y271" s="338"/>
      <c r="Z271" s="338"/>
      <c r="AA271" s="338"/>
      <c r="AB271" s="338"/>
      <c r="AC271" s="338"/>
      <c r="AD271" s="338"/>
      <c r="AE271" s="338"/>
      <c r="AF271" s="338"/>
      <c r="AG271" s="338"/>
      <c r="AI271" s="376"/>
      <c r="AJ271" s="376"/>
    </row>
    <row r="272" ht="13.2" customHeight="1" spans="1:36">
      <c r="A272" s="371"/>
      <c r="B272" s="335"/>
      <c r="C272" s="336"/>
      <c r="D272" s="337"/>
      <c r="E272" s="335"/>
      <c r="F272" s="338"/>
      <c r="G272" s="338"/>
      <c r="H272" s="338"/>
      <c r="I272" s="338"/>
      <c r="J272" s="338"/>
      <c r="K272" s="338"/>
      <c r="L272" s="338"/>
      <c r="M272" s="338"/>
      <c r="N272" s="338"/>
      <c r="O272" s="338"/>
      <c r="P272" s="338"/>
      <c r="Q272" s="338"/>
      <c r="R272" s="338"/>
      <c r="S272" s="338"/>
      <c r="T272" s="338"/>
      <c r="U272" s="338"/>
      <c r="V272" s="338"/>
      <c r="W272" s="338"/>
      <c r="X272" s="338"/>
      <c r="Y272" s="338"/>
      <c r="Z272" s="338"/>
      <c r="AA272" s="338"/>
      <c r="AB272" s="338"/>
      <c r="AC272" s="338"/>
      <c r="AD272" s="338"/>
      <c r="AE272" s="338"/>
      <c r="AF272" s="338"/>
      <c r="AG272" s="338"/>
      <c r="AI272" s="376"/>
      <c r="AJ272" s="376"/>
    </row>
    <row r="273" ht="13.2" customHeight="1" spans="1:36">
      <c r="A273" s="371"/>
      <c r="B273" s="335"/>
      <c r="C273" s="336"/>
      <c r="D273" s="337"/>
      <c r="E273" s="335"/>
      <c r="F273" s="338"/>
      <c r="G273" s="338"/>
      <c r="H273" s="338"/>
      <c r="I273" s="338"/>
      <c r="J273" s="338"/>
      <c r="K273" s="338"/>
      <c r="L273" s="338"/>
      <c r="M273" s="338"/>
      <c r="N273" s="338"/>
      <c r="O273" s="338"/>
      <c r="P273" s="338"/>
      <c r="Q273" s="338"/>
      <c r="R273" s="338"/>
      <c r="S273" s="338"/>
      <c r="T273" s="338"/>
      <c r="U273" s="338"/>
      <c r="V273" s="338"/>
      <c r="W273" s="338"/>
      <c r="X273" s="338"/>
      <c r="Y273" s="338"/>
      <c r="Z273" s="338"/>
      <c r="AA273" s="338"/>
      <c r="AB273" s="338"/>
      <c r="AC273" s="338"/>
      <c r="AD273" s="338"/>
      <c r="AE273" s="338"/>
      <c r="AF273" s="338"/>
      <c r="AG273" s="338"/>
      <c r="AI273" s="376"/>
      <c r="AJ273" s="376"/>
    </row>
    <row r="274" ht="13.2" customHeight="1" spans="1:36">
      <c r="A274" s="371"/>
      <c r="B274" s="335"/>
      <c r="C274" s="336"/>
      <c r="D274" s="337"/>
      <c r="E274" s="335"/>
      <c r="F274" s="338"/>
      <c r="G274" s="338"/>
      <c r="H274" s="338"/>
      <c r="I274" s="338"/>
      <c r="J274" s="338"/>
      <c r="K274" s="338"/>
      <c r="L274" s="338"/>
      <c r="M274" s="338"/>
      <c r="N274" s="338"/>
      <c r="O274" s="338"/>
      <c r="P274" s="338"/>
      <c r="Q274" s="338"/>
      <c r="R274" s="338"/>
      <c r="S274" s="338"/>
      <c r="T274" s="338"/>
      <c r="U274" s="338"/>
      <c r="V274" s="338"/>
      <c r="W274" s="338"/>
      <c r="X274" s="338"/>
      <c r="Y274" s="338"/>
      <c r="Z274" s="338"/>
      <c r="AA274" s="338"/>
      <c r="AB274" s="338"/>
      <c r="AC274" s="338"/>
      <c r="AD274" s="338"/>
      <c r="AE274" s="338"/>
      <c r="AF274" s="338"/>
      <c r="AG274" s="338"/>
      <c r="AI274" s="376"/>
      <c r="AJ274" s="376"/>
    </row>
    <row r="275" ht="13.2" customHeight="1" spans="1:36">
      <c r="A275" s="371"/>
      <c r="B275" s="335"/>
      <c r="C275" s="336"/>
      <c r="D275" s="337"/>
      <c r="E275" s="335"/>
      <c r="F275" s="338"/>
      <c r="G275" s="338"/>
      <c r="H275" s="338"/>
      <c r="I275" s="338"/>
      <c r="J275" s="338"/>
      <c r="K275" s="338"/>
      <c r="L275" s="338"/>
      <c r="M275" s="338"/>
      <c r="N275" s="338"/>
      <c r="O275" s="338"/>
      <c r="P275" s="338"/>
      <c r="Q275" s="338"/>
      <c r="R275" s="338"/>
      <c r="S275" s="338"/>
      <c r="T275" s="338"/>
      <c r="U275" s="338"/>
      <c r="V275" s="338"/>
      <c r="W275" s="338"/>
      <c r="X275" s="338"/>
      <c r="Y275" s="338"/>
      <c r="Z275" s="338"/>
      <c r="AA275" s="338"/>
      <c r="AB275" s="338"/>
      <c r="AC275" s="338"/>
      <c r="AD275" s="338"/>
      <c r="AE275" s="338"/>
      <c r="AF275" s="338"/>
      <c r="AG275" s="338"/>
      <c r="AI275" s="376"/>
      <c r="AJ275" s="376"/>
    </row>
    <row r="276" ht="13.2" customHeight="1" spans="1:36">
      <c r="A276" s="371"/>
      <c r="B276" s="335"/>
      <c r="C276" s="336"/>
      <c r="D276" s="337"/>
      <c r="E276" s="335"/>
      <c r="F276" s="338"/>
      <c r="G276" s="338"/>
      <c r="H276" s="338"/>
      <c r="I276" s="338"/>
      <c r="J276" s="338"/>
      <c r="K276" s="338"/>
      <c r="L276" s="338"/>
      <c r="M276" s="338"/>
      <c r="N276" s="338"/>
      <c r="O276" s="338"/>
      <c r="P276" s="338"/>
      <c r="Q276" s="338"/>
      <c r="R276" s="338"/>
      <c r="S276" s="338"/>
      <c r="T276" s="338"/>
      <c r="U276" s="338"/>
      <c r="V276" s="338"/>
      <c r="W276" s="338"/>
      <c r="X276" s="338"/>
      <c r="Y276" s="338"/>
      <c r="Z276" s="338"/>
      <c r="AA276" s="338"/>
      <c r="AB276" s="338"/>
      <c r="AC276" s="338"/>
      <c r="AD276" s="338"/>
      <c r="AE276" s="338"/>
      <c r="AF276" s="338"/>
      <c r="AG276" s="338"/>
      <c r="AI276" s="376"/>
      <c r="AJ276" s="376"/>
    </row>
    <row r="277" ht="13.2" customHeight="1" spans="1:36">
      <c r="A277" s="371"/>
      <c r="B277" s="335"/>
      <c r="C277" s="336"/>
      <c r="D277" s="337"/>
      <c r="E277" s="335"/>
      <c r="F277" s="338"/>
      <c r="G277" s="338"/>
      <c r="H277" s="338"/>
      <c r="I277" s="338"/>
      <c r="J277" s="338"/>
      <c r="K277" s="338"/>
      <c r="L277" s="338"/>
      <c r="M277" s="338"/>
      <c r="N277" s="338"/>
      <c r="O277" s="338"/>
      <c r="P277" s="338"/>
      <c r="Q277" s="338"/>
      <c r="R277" s="338"/>
      <c r="S277" s="338"/>
      <c r="T277" s="338"/>
      <c r="U277" s="338"/>
      <c r="V277" s="338"/>
      <c r="W277" s="338"/>
      <c r="X277" s="338"/>
      <c r="Y277" s="338"/>
      <c r="Z277" s="338"/>
      <c r="AA277" s="338"/>
      <c r="AB277" s="338"/>
      <c r="AC277" s="338"/>
      <c r="AD277" s="338"/>
      <c r="AE277" s="338"/>
      <c r="AF277" s="338"/>
      <c r="AG277" s="338"/>
      <c r="AI277" s="376"/>
      <c r="AJ277" s="376"/>
    </row>
    <row r="278" ht="13.2" customHeight="1" spans="1:36">
      <c r="A278" s="371"/>
      <c r="B278" s="335"/>
      <c r="C278" s="336"/>
      <c r="D278" s="337"/>
      <c r="E278" s="335"/>
      <c r="F278" s="338"/>
      <c r="G278" s="338"/>
      <c r="H278" s="338"/>
      <c r="I278" s="338"/>
      <c r="J278" s="338"/>
      <c r="K278" s="338"/>
      <c r="L278" s="338"/>
      <c r="M278" s="338"/>
      <c r="N278" s="338"/>
      <c r="O278" s="338"/>
      <c r="P278" s="338"/>
      <c r="Q278" s="338"/>
      <c r="R278" s="338"/>
      <c r="S278" s="338"/>
      <c r="T278" s="338"/>
      <c r="U278" s="338"/>
      <c r="V278" s="338"/>
      <c r="W278" s="338"/>
      <c r="X278" s="338"/>
      <c r="Y278" s="338"/>
      <c r="Z278" s="338"/>
      <c r="AA278" s="338"/>
      <c r="AB278" s="338"/>
      <c r="AC278" s="338"/>
      <c r="AD278" s="338"/>
      <c r="AE278" s="338"/>
      <c r="AF278" s="338"/>
      <c r="AG278" s="338"/>
      <c r="AI278" s="376"/>
      <c r="AJ278" s="376"/>
    </row>
    <row r="279" ht="13.2" customHeight="1" spans="1:36">
      <c r="A279" s="371"/>
      <c r="B279" s="335"/>
      <c r="C279" s="336"/>
      <c r="D279" s="337"/>
      <c r="E279" s="335"/>
      <c r="F279" s="338"/>
      <c r="G279" s="338"/>
      <c r="H279" s="338"/>
      <c r="I279" s="338"/>
      <c r="J279" s="338"/>
      <c r="K279" s="338"/>
      <c r="L279" s="338"/>
      <c r="M279" s="338"/>
      <c r="N279" s="338"/>
      <c r="O279" s="338"/>
      <c r="P279" s="338"/>
      <c r="Q279" s="338"/>
      <c r="R279" s="338"/>
      <c r="S279" s="338"/>
      <c r="T279" s="338"/>
      <c r="U279" s="338"/>
      <c r="V279" s="338"/>
      <c r="W279" s="338"/>
      <c r="X279" s="338"/>
      <c r="Y279" s="338"/>
      <c r="Z279" s="338"/>
      <c r="AA279" s="338"/>
      <c r="AB279" s="338"/>
      <c r="AC279" s="338"/>
      <c r="AD279" s="338"/>
      <c r="AE279" s="338"/>
      <c r="AF279" s="338"/>
      <c r="AG279" s="338"/>
      <c r="AI279" s="376"/>
      <c r="AJ279" s="376"/>
    </row>
    <row r="280" ht="13.2" customHeight="1" spans="1:36">
      <c r="A280" s="371"/>
      <c r="B280" s="335"/>
      <c r="C280" s="336"/>
      <c r="D280" s="337"/>
      <c r="E280" s="335"/>
      <c r="F280" s="338"/>
      <c r="G280" s="338"/>
      <c r="H280" s="338"/>
      <c r="I280" s="338"/>
      <c r="J280" s="338"/>
      <c r="K280" s="338"/>
      <c r="L280" s="338"/>
      <c r="M280" s="338"/>
      <c r="N280" s="338"/>
      <c r="O280" s="338"/>
      <c r="P280" s="338"/>
      <c r="Q280" s="338"/>
      <c r="R280" s="338"/>
      <c r="S280" s="338"/>
      <c r="T280" s="338"/>
      <c r="U280" s="338"/>
      <c r="V280" s="338"/>
      <c r="W280" s="338"/>
      <c r="X280" s="338"/>
      <c r="Y280" s="338"/>
      <c r="Z280" s="338"/>
      <c r="AA280" s="338"/>
      <c r="AB280" s="338"/>
      <c r="AC280" s="338"/>
      <c r="AD280" s="338"/>
      <c r="AE280" s="338"/>
      <c r="AF280" s="338"/>
      <c r="AG280" s="338"/>
      <c r="AI280" s="376"/>
      <c r="AJ280" s="376"/>
    </row>
    <row r="281" ht="13.2" customHeight="1" spans="1:36">
      <c r="A281" s="371"/>
      <c r="B281" s="335"/>
      <c r="C281" s="336"/>
      <c r="D281" s="337"/>
      <c r="E281" s="335"/>
      <c r="F281" s="338"/>
      <c r="G281" s="338"/>
      <c r="H281" s="338"/>
      <c r="I281" s="338"/>
      <c r="J281" s="338"/>
      <c r="K281" s="338"/>
      <c r="L281" s="338"/>
      <c r="M281" s="338"/>
      <c r="N281" s="338"/>
      <c r="O281" s="338"/>
      <c r="P281" s="338"/>
      <c r="Q281" s="338"/>
      <c r="R281" s="338"/>
      <c r="S281" s="338"/>
      <c r="T281" s="338"/>
      <c r="U281" s="338"/>
      <c r="V281" s="338"/>
      <c r="W281" s="338"/>
      <c r="X281" s="338"/>
      <c r="Y281" s="338"/>
      <c r="Z281" s="338"/>
      <c r="AA281" s="338"/>
      <c r="AB281" s="338"/>
      <c r="AC281" s="338"/>
      <c r="AD281" s="338"/>
      <c r="AE281" s="338"/>
      <c r="AF281" s="338"/>
      <c r="AG281" s="338"/>
      <c r="AI281" s="376"/>
      <c r="AJ281" s="376"/>
    </row>
    <row r="282" ht="13.2" customHeight="1" spans="1:36">
      <c r="A282" s="371"/>
      <c r="B282" s="335"/>
      <c r="C282" s="336"/>
      <c r="D282" s="337"/>
      <c r="E282" s="335"/>
      <c r="F282" s="338"/>
      <c r="G282" s="338"/>
      <c r="H282" s="338"/>
      <c r="I282" s="338"/>
      <c r="J282" s="338"/>
      <c r="K282" s="338"/>
      <c r="L282" s="338"/>
      <c r="M282" s="338"/>
      <c r="N282" s="338"/>
      <c r="O282" s="338"/>
      <c r="P282" s="338"/>
      <c r="Q282" s="338"/>
      <c r="R282" s="338"/>
      <c r="S282" s="338"/>
      <c r="T282" s="338"/>
      <c r="U282" s="338"/>
      <c r="V282" s="338"/>
      <c r="W282" s="338"/>
      <c r="X282" s="338"/>
      <c r="Y282" s="338"/>
      <c r="Z282" s="338"/>
      <c r="AA282" s="338"/>
      <c r="AB282" s="338"/>
      <c r="AC282" s="338"/>
      <c r="AD282" s="338"/>
      <c r="AE282" s="338"/>
      <c r="AF282" s="338"/>
      <c r="AG282" s="338"/>
      <c r="AI282" s="376"/>
      <c r="AJ282" s="376"/>
    </row>
    <row r="283" ht="13.2" customHeight="1" spans="1:36">
      <c r="A283" s="371"/>
      <c r="B283" s="335"/>
      <c r="C283" s="336"/>
      <c r="D283" s="337"/>
      <c r="E283" s="335"/>
      <c r="F283" s="338"/>
      <c r="G283" s="338"/>
      <c r="H283" s="338"/>
      <c r="I283" s="338"/>
      <c r="J283" s="338"/>
      <c r="K283" s="338"/>
      <c r="L283" s="338"/>
      <c r="M283" s="338"/>
      <c r="N283" s="338"/>
      <c r="O283" s="338"/>
      <c r="P283" s="338"/>
      <c r="Q283" s="338"/>
      <c r="R283" s="338"/>
      <c r="S283" s="338"/>
      <c r="T283" s="338"/>
      <c r="U283" s="338"/>
      <c r="V283" s="338"/>
      <c r="W283" s="338"/>
      <c r="X283" s="338"/>
      <c r="Y283" s="338"/>
      <c r="Z283" s="338"/>
      <c r="AA283" s="338"/>
      <c r="AB283" s="338"/>
      <c r="AC283" s="338"/>
      <c r="AD283" s="338"/>
      <c r="AE283" s="338"/>
      <c r="AF283" s="338"/>
      <c r="AG283" s="338"/>
      <c r="AI283" s="376"/>
      <c r="AJ283" s="376"/>
    </row>
    <row r="284" ht="13.2" customHeight="1" spans="1:36">
      <c r="A284" s="371"/>
      <c r="B284" s="335"/>
      <c r="C284" s="336"/>
      <c r="D284" s="337"/>
      <c r="E284" s="335"/>
      <c r="F284" s="338"/>
      <c r="G284" s="338"/>
      <c r="H284" s="338"/>
      <c r="I284" s="338"/>
      <c r="J284" s="338"/>
      <c r="K284" s="338"/>
      <c r="L284" s="338"/>
      <c r="M284" s="338"/>
      <c r="N284" s="338"/>
      <c r="O284" s="338"/>
      <c r="P284" s="338"/>
      <c r="Q284" s="338"/>
      <c r="R284" s="338"/>
      <c r="S284" s="338"/>
      <c r="T284" s="338"/>
      <c r="U284" s="338"/>
      <c r="V284" s="338"/>
      <c r="W284" s="338"/>
      <c r="X284" s="338"/>
      <c r="Y284" s="338"/>
      <c r="Z284" s="338"/>
      <c r="AA284" s="338"/>
      <c r="AB284" s="338"/>
      <c r="AC284" s="338"/>
      <c r="AD284" s="338"/>
      <c r="AE284" s="338"/>
      <c r="AF284" s="338"/>
      <c r="AG284" s="338"/>
      <c r="AI284" s="376"/>
      <c r="AJ284" s="376"/>
    </row>
    <row r="285" ht="13.2" customHeight="1" spans="1:36">
      <c r="A285" s="371"/>
      <c r="B285" s="335"/>
      <c r="C285" s="336"/>
      <c r="D285" s="337"/>
      <c r="E285" s="335"/>
      <c r="F285" s="338"/>
      <c r="G285" s="338"/>
      <c r="H285" s="338"/>
      <c r="I285" s="338"/>
      <c r="J285" s="338"/>
      <c r="K285" s="338"/>
      <c r="L285" s="338"/>
      <c r="M285" s="338"/>
      <c r="N285" s="338"/>
      <c r="O285" s="338"/>
      <c r="P285" s="338"/>
      <c r="Q285" s="338"/>
      <c r="R285" s="338"/>
      <c r="S285" s="338"/>
      <c r="T285" s="338"/>
      <c r="U285" s="338"/>
      <c r="V285" s="338"/>
      <c r="W285" s="338"/>
      <c r="X285" s="338"/>
      <c r="Y285" s="338"/>
      <c r="Z285" s="338"/>
      <c r="AA285" s="338"/>
      <c r="AB285" s="338"/>
      <c r="AC285" s="338"/>
      <c r="AD285" s="338"/>
      <c r="AE285" s="338"/>
      <c r="AF285" s="338"/>
      <c r="AG285" s="338"/>
      <c r="AI285" s="376"/>
      <c r="AJ285" s="376"/>
    </row>
    <row r="286" ht="13.2" customHeight="1" spans="1:36">
      <c r="A286" s="371"/>
      <c r="B286" s="335"/>
      <c r="C286" s="336"/>
      <c r="D286" s="337"/>
      <c r="E286" s="335"/>
      <c r="F286" s="338"/>
      <c r="G286" s="338"/>
      <c r="H286" s="338"/>
      <c r="I286" s="338"/>
      <c r="J286" s="338"/>
      <c r="K286" s="338"/>
      <c r="L286" s="338"/>
      <c r="M286" s="338"/>
      <c r="N286" s="338"/>
      <c r="O286" s="338"/>
      <c r="P286" s="338"/>
      <c r="Q286" s="338"/>
      <c r="R286" s="338"/>
      <c r="S286" s="338"/>
      <c r="T286" s="338"/>
      <c r="U286" s="338"/>
      <c r="V286" s="338"/>
      <c r="W286" s="338"/>
      <c r="X286" s="338"/>
      <c r="Y286" s="338"/>
      <c r="Z286" s="338"/>
      <c r="AA286" s="338"/>
      <c r="AB286" s="338"/>
      <c r="AC286" s="338"/>
      <c r="AD286" s="338"/>
      <c r="AE286" s="338"/>
      <c r="AF286" s="338"/>
      <c r="AG286" s="338"/>
      <c r="AI286" s="376"/>
      <c r="AJ286" s="376"/>
    </row>
    <row r="287" ht="13.2" customHeight="1" spans="1:36">
      <c r="A287" s="371"/>
      <c r="B287" s="335"/>
      <c r="C287" s="336"/>
      <c r="D287" s="337"/>
      <c r="E287" s="335"/>
      <c r="F287" s="338"/>
      <c r="G287" s="338"/>
      <c r="H287" s="338"/>
      <c r="I287" s="338"/>
      <c r="J287" s="338"/>
      <c r="K287" s="338"/>
      <c r="L287" s="338"/>
      <c r="M287" s="338"/>
      <c r="N287" s="338"/>
      <c r="O287" s="338"/>
      <c r="P287" s="338"/>
      <c r="Q287" s="338"/>
      <c r="R287" s="338"/>
      <c r="S287" s="338"/>
      <c r="T287" s="338"/>
      <c r="U287" s="338"/>
      <c r="V287" s="338"/>
      <c r="W287" s="338"/>
      <c r="X287" s="338"/>
      <c r="Y287" s="338"/>
      <c r="Z287" s="338"/>
      <c r="AA287" s="338"/>
      <c r="AB287" s="338"/>
      <c r="AC287" s="338"/>
      <c r="AD287" s="338"/>
      <c r="AE287" s="338"/>
      <c r="AF287" s="338"/>
      <c r="AG287" s="338"/>
      <c r="AI287" s="376"/>
      <c r="AJ287" s="376"/>
    </row>
    <row r="288" ht="13.2" customHeight="1" spans="1:36">
      <c r="A288" s="371"/>
      <c r="B288" s="335"/>
      <c r="C288" s="336"/>
      <c r="D288" s="337"/>
      <c r="E288" s="335"/>
      <c r="F288" s="338"/>
      <c r="G288" s="338"/>
      <c r="H288" s="338"/>
      <c r="I288" s="338"/>
      <c r="J288" s="338"/>
      <c r="K288" s="338"/>
      <c r="L288" s="338"/>
      <c r="M288" s="338"/>
      <c r="N288" s="338"/>
      <c r="O288" s="338"/>
      <c r="P288" s="338"/>
      <c r="Q288" s="338"/>
      <c r="R288" s="338"/>
      <c r="S288" s="338"/>
      <c r="T288" s="338"/>
      <c r="U288" s="338"/>
      <c r="V288" s="338"/>
      <c r="W288" s="338"/>
      <c r="X288" s="338"/>
      <c r="Y288" s="338"/>
      <c r="Z288" s="338"/>
      <c r="AA288" s="338"/>
      <c r="AB288" s="338"/>
      <c r="AC288" s="338"/>
      <c r="AD288" s="338"/>
      <c r="AE288" s="338"/>
      <c r="AF288" s="338"/>
      <c r="AG288" s="338"/>
      <c r="AI288" s="376"/>
      <c r="AJ288" s="376"/>
    </row>
    <row r="289" ht="13.2" customHeight="1" spans="1:36">
      <c r="A289" s="371"/>
      <c r="B289" s="335"/>
      <c r="C289" s="336"/>
      <c r="D289" s="337"/>
      <c r="E289" s="335"/>
      <c r="F289" s="338"/>
      <c r="G289" s="338"/>
      <c r="H289" s="338"/>
      <c r="I289" s="338"/>
      <c r="J289" s="338"/>
      <c r="K289" s="338"/>
      <c r="L289" s="338"/>
      <c r="M289" s="338"/>
      <c r="N289" s="338"/>
      <c r="O289" s="338"/>
      <c r="P289" s="338"/>
      <c r="Q289" s="338"/>
      <c r="R289" s="338"/>
      <c r="S289" s="338"/>
      <c r="T289" s="338"/>
      <c r="U289" s="338"/>
      <c r="V289" s="338"/>
      <c r="W289" s="338"/>
      <c r="X289" s="338"/>
      <c r="Y289" s="338"/>
      <c r="Z289" s="338"/>
      <c r="AA289" s="338"/>
      <c r="AB289" s="338"/>
      <c r="AC289" s="338"/>
      <c r="AD289" s="338"/>
      <c r="AE289" s="338"/>
      <c r="AF289" s="338"/>
      <c r="AG289" s="338"/>
      <c r="AI289" s="376"/>
      <c r="AJ289" s="376"/>
    </row>
    <row r="290" ht="13.2" customHeight="1" spans="1:36">
      <c r="A290" s="371"/>
      <c r="B290" s="335"/>
      <c r="C290" s="336"/>
      <c r="D290" s="337"/>
      <c r="E290" s="335"/>
      <c r="F290" s="338"/>
      <c r="G290" s="338"/>
      <c r="H290" s="338"/>
      <c r="I290" s="338"/>
      <c r="J290" s="338"/>
      <c r="K290" s="338"/>
      <c r="L290" s="338"/>
      <c r="M290" s="338"/>
      <c r="N290" s="338"/>
      <c r="O290" s="338"/>
      <c r="P290" s="338"/>
      <c r="Q290" s="338"/>
      <c r="R290" s="338"/>
      <c r="S290" s="338"/>
      <c r="T290" s="338"/>
      <c r="U290" s="338"/>
      <c r="V290" s="338"/>
      <c r="W290" s="338"/>
      <c r="X290" s="338"/>
      <c r="Y290" s="338"/>
      <c r="Z290" s="338"/>
      <c r="AA290" s="338"/>
      <c r="AB290" s="338"/>
      <c r="AC290" s="338"/>
      <c r="AD290" s="338"/>
      <c r="AE290" s="338"/>
      <c r="AF290" s="338"/>
      <c r="AG290" s="338"/>
      <c r="AI290" s="376"/>
      <c r="AJ290" s="376"/>
    </row>
    <row r="291" ht="13.2" customHeight="1" spans="1:36">
      <c r="A291" s="371"/>
      <c r="B291" s="335"/>
      <c r="C291" s="336"/>
      <c r="D291" s="337"/>
      <c r="E291" s="335"/>
      <c r="F291" s="338"/>
      <c r="G291" s="338"/>
      <c r="H291" s="338"/>
      <c r="I291" s="338"/>
      <c r="J291" s="338"/>
      <c r="K291" s="338"/>
      <c r="L291" s="338"/>
      <c r="M291" s="338"/>
      <c r="N291" s="338"/>
      <c r="O291" s="338"/>
      <c r="P291" s="338"/>
      <c r="Q291" s="338"/>
      <c r="R291" s="338"/>
      <c r="S291" s="338"/>
      <c r="T291" s="338"/>
      <c r="U291" s="338"/>
      <c r="V291" s="338"/>
      <c r="W291" s="338"/>
      <c r="X291" s="338"/>
      <c r="Y291" s="338"/>
      <c r="Z291" s="338"/>
      <c r="AA291" s="338"/>
      <c r="AB291" s="338"/>
      <c r="AC291" s="338"/>
      <c r="AD291" s="338"/>
      <c r="AE291" s="338"/>
      <c r="AF291" s="338"/>
      <c r="AG291" s="338"/>
      <c r="AI291" s="376"/>
      <c r="AJ291" s="376"/>
    </row>
    <row r="292" ht="13.2" customHeight="1" spans="1:36">
      <c r="A292" s="371"/>
      <c r="B292" s="335"/>
      <c r="C292" s="336"/>
      <c r="D292" s="337"/>
      <c r="E292" s="335"/>
      <c r="F292" s="338"/>
      <c r="G292" s="338"/>
      <c r="H292" s="338"/>
      <c r="I292" s="338"/>
      <c r="J292" s="338"/>
      <c r="K292" s="338"/>
      <c r="L292" s="338"/>
      <c r="M292" s="338"/>
      <c r="N292" s="338"/>
      <c r="O292" s="338"/>
      <c r="P292" s="338"/>
      <c r="Q292" s="338"/>
      <c r="R292" s="338"/>
      <c r="S292" s="338"/>
      <c r="T292" s="338"/>
      <c r="U292" s="338"/>
      <c r="V292" s="338"/>
      <c r="W292" s="338"/>
      <c r="X292" s="338"/>
      <c r="Y292" s="338"/>
      <c r="Z292" s="338"/>
      <c r="AA292" s="338"/>
      <c r="AB292" s="338"/>
      <c r="AC292" s="338"/>
      <c r="AD292" s="338"/>
      <c r="AE292" s="338"/>
      <c r="AF292" s="338"/>
      <c r="AG292" s="338"/>
      <c r="AI292" s="376"/>
      <c r="AJ292" s="376"/>
    </row>
    <row r="293" ht="13.2" customHeight="1" spans="1:36">
      <c r="A293" s="371"/>
      <c r="B293" s="335"/>
      <c r="C293" s="336"/>
      <c r="D293" s="337"/>
      <c r="E293" s="335"/>
      <c r="F293" s="338"/>
      <c r="G293" s="338"/>
      <c r="H293" s="338"/>
      <c r="I293" s="338"/>
      <c r="J293" s="338"/>
      <c r="K293" s="338"/>
      <c r="L293" s="338"/>
      <c r="M293" s="338"/>
      <c r="N293" s="338"/>
      <c r="O293" s="338"/>
      <c r="P293" s="338"/>
      <c r="Q293" s="338"/>
      <c r="R293" s="338"/>
      <c r="S293" s="338"/>
      <c r="T293" s="338"/>
      <c r="U293" s="338"/>
      <c r="V293" s="338"/>
      <c r="W293" s="338"/>
      <c r="X293" s="338"/>
      <c r="Y293" s="338"/>
      <c r="Z293" s="338"/>
      <c r="AA293" s="338"/>
      <c r="AB293" s="338"/>
      <c r="AC293" s="338"/>
      <c r="AD293" s="338"/>
      <c r="AE293" s="338"/>
      <c r="AF293" s="338"/>
      <c r="AG293" s="338"/>
      <c r="AI293" s="376"/>
      <c r="AJ293" s="376"/>
    </row>
    <row r="294" ht="13.2" customHeight="1" spans="1:36">
      <c r="A294" s="371"/>
      <c r="B294" s="335"/>
      <c r="C294" s="336"/>
      <c r="D294" s="337"/>
      <c r="E294" s="335"/>
      <c r="F294" s="338"/>
      <c r="G294" s="338"/>
      <c r="H294" s="338"/>
      <c r="I294" s="338"/>
      <c r="J294" s="338"/>
      <c r="K294" s="338"/>
      <c r="L294" s="338"/>
      <c r="M294" s="338"/>
      <c r="N294" s="338"/>
      <c r="O294" s="338"/>
      <c r="P294" s="338"/>
      <c r="Q294" s="338"/>
      <c r="R294" s="338"/>
      <c r="S294" s="338"/>
      <c r="T294" s="338"/>
      <c r="U294" s="338"/>
      <c r="V294" s="338"/>
      <c r="W294" s="338"/>
      <c r="X294" s="338"/>
      <c r="Y294" s="338"/>
      <c r="Z294" s="338"/>
      <c r="AA294" s="338"/>
      <c r="AB294" s="338"/>
      <c r="AC294" s="338"/>
      <c r="AD294" s="338"/>
      <c r="AE294" s="338"/>
      <c r="AF294" s="338"/>
      <c r="AG294" s="338"/>
      <c r="AI294" s="376"/>
      <c r="AJ294" s="376"/>
    </row>
    <row r="295" ht="13.2" customHeight="1" spans="1:36">
      <c r="A295" s="371"/>
      <c r="B295" s="335"/>
      <c r="C295" s="336"/>
      <c r="D295" s="337"/>
      <c r="E295" s="335"/>
      <c r="F295" s="338"/>
      <c r="G295" s="338"/>
      <c r="H295" s="338"/>
      <c r="I295" s="338"/>
      <c r="J295" s="338"/>
      <c r="K295" s="338"/>
      <c r="L295" s="338"/>
      <c r="M295" s="338"/>
      <c r="N295" s="338"/>
      <c r="O295" s="338"/>
      <c r="P295" s="338"/>
      <c r="Q295" s="338"/>
      <c r="R295" s="338"/>
      <c r="S295" s="338"/>
      <c r="T295" s="338"/>
      <c r="U295" s="338"/>
      <c r="V295" s="338"/>
      <c r="W295" s="338"/>
      <c r="X295" s="338"/>
      <c r="Y295" s="338"/>
      <c r="Z295" s="338"/>
      <c r="AA295" s="338"/>
      <c r="AB295" s="338"/>
      <c r="AC295" s="338"/>
      <c r="AD295" s="338"/>
      <c r="AE295" s="338"/>
      <c r="AF295" s="338"/>
      <c r="AG295" s="338"/>
      <c r="AI295" s="376"/>
      <c r="AJ295" s="376"/>
    </row>
    <row r="296" ht="13.2" customHeight="1" spans="1:36">
      <c r="A296" s="371"/>
      <c r="B296" s="335"/>
      <c r="C296" s="336"/>
      <c r="D296" s="337"/>
      <c r="E296" s="335"/>
      <c r="F296" s="338"/>
      <c r="G296" s="338"/>
      <c r="H296" s="338"/>
      <c r="I296" s="338"/>
      <c r="J296" s="338"/>
      <c r="K296" s="338"/>
      <c r="L296" s="338"/>
      <c r="M296" s="338"/>
      <c r="N296" s="338"/>
      <c r="O296" s="338"/>
      <c r="P296" s="338"/>
      <c r="Q296" s="338"/>
      <c r="R296" s="338"/>
      <c r="S296" s="338"/>
      <c r="T296" s="338"/>
      <c r="U296" s="338"/>
      <c r="V296" s="338"/>
      <c r="W296" s="338"/>
      <c r="X296" s="338"/>
      <c r="Y296" s="338"/>
      <c r="Z296" s="338"/>
      <c r="AA296" s="338"/>
      <c r="AB296" s="338"/>
      <c r="AC296" s="338"/>
      <c r="AD296" s="338"/>
      <c r="AE296" s="338"/>
      <c r="AF296" s="338"/>
      <c r="AG296" s="338"/>
      <c r="AI296" s="376"/>
      <c r="AJ296" s="376"/>
    </row>
    <row r="297" ht="13.2" customHeight="1" spans="1:36">
      <c r="A297" s="371"/>
      <c r="B297" s="335"/>
      <c r="C297" s="336"/>
      <c r="D297" s="337"/>
      <c r="E297" s="335"/>
      <c r="F297" s="338"/>
      <c r="G297" s="338"/>
      <c r="H297" s="338"/>
      <c r="I297" s="338"/>
      <c r="J297" s="338"/>
      <c r="K297" s="338"/>
      <c r="L297" s="338"/>
      <c r="M297" s="338"/>
      <c r="N297" s="338"/>
      <c r="O297" s="338"/>
      <c r="P297" s="338"/>
      <c r="Q297" s="338"/>
      <c r="R297" s="338"/>
      <c r="S297" s="338"/>
      <c r="T297" s="338"/>
      <c r="U297" s="338"/>
      <c r="V297" s="338"/>
      <c r="W297" s="338"/>
      <c r="X297" s="338"/>
      <c r="Y297" s="338"/>
      <c r="Z297" s="338"/>
      <c r="AA297" s="338"/>
      <c r="AB297" s="338"/>
      <c r="AC297" s="338"/>
      <c r="AD297" s="338"/>
      <c r="AE297" s="338"/>
      <c r="AF297" s="338"/>
      <c r="AG297" s="338"/>
      <c r="AI297" s="376"/>
      <c r="AJ297" s="376"/>
    </row>
    <row r="298" ht="13.2" customHeight="1" spans="1:36">
      <c r="A298" s="371"/>
      <c r="B298" s="335"/>
      <c r="C298" s="336"/>
      <c r="D298" s="337"/>
      <c r="E298" s="335"/>
      <c r="F298" s="338"/>
      <c r="G298" s="338"/>
      <c r="H298" s="338"/>
      <c r="I298" s="338"/>
      <c r="J298" s="338"/>
      <c r="K298" s="338"/>
      <c r="L298" s="338"/>
      <c r="M298" s="338"/>
      <c r="N298" s="338"/>
      <c r="O298" s="338"/>
      <c r="P298" s="338"/>
      <c r="Q298" s="338"/>
      <c r="R298" s="338"/>
      <c r="S298" s="338"/>
      <c r="T298" s="338"/>
      <c r="U298" s="338"/>
      <c r="V298" s="338"/>
      <c r="W298" s="338"/>
      <c r="X298" s="338"/>
      <c r="Y298" s="338"/>
      <c r="Z298" s="338"/>
      <c r="AA298" s="338"/>
      <c r="AB298" s="338"/>
      <c r="AC298" s="338"/>
      <c r="AD298" s="338"/>
      <c r="AE298" s="338"/>
      <c r="AF298" s="338"/>
      <c r="AG298" s="338"/>
      <c r="AI298" s="376"/>
      <c r="AJ298" s="376"/>
    </row>
    <row r="299" ht="13.2" customHeight="1" spans="1:36">
      <c r="A299" s="371"/>
      <c r="B299" s="335"/>
      <c r="C299" s="336"/>
      <c r="D299" s="337"/>
      <c r="E299" s="335"/>
      <c r="F299" s="338"/>
      <c r="G299" s="338"/>
      <c r="H299" s="338"/>
      <c r="I299" s="338"/>
      <c r="J299" s="338"/>
      <c r="K299" s="338"/>
      <c r="L299" s="338"/>
      <c r="M299" s="338"/>
      <c r="N299" s="338"/>
      <c r="O299" s="338"/>
      <c r="P299" s="338"/>
      <c r="Q299" s="338"/>
      <c r="R299" s="338"/>
      <c r="S299" s="338"/>
      <c r="T299" s="338"/>
      <c r="U299" s="338"/>
      <c r="V299" s="338"/>
      <c r="W299" s="338"/>
      <c r="X299" s="338"/>
      <c r="Y299" s="338"/>
      <c r="Z299" s="338"/>
      <c r="AA299" s="338"/>
      <c r="AB299" s="338"/>
      <c r="AC299" s="338"/>
      <c r="AD299" s="338"/>
      <c r="AE299" s="338"/>
      <c r="AF299" s="338"/>
      <c r="AG299" s="338"/>
      <c r="AI299" s="376"/>
      <c r="AJ299" s="376"/>
    </row>
    <row r="300" ht="13.2" customHeight="1" spans="1:36">
      <c r="A300" s="371"/>
      <c r="B300" s="335"/>
      <c r="C300" s="336"/>
      <c r="D300" s="337"/>
      <c r="E300" s="335"/>
      <c r="F300" s="338"/>
      <c r="G300" s="338"/>
      <c r="H300" s="338"/>
      <c r="I300" s="338"/>
      <c r="J300" s="338"/>
      <c r="K300" s="338"/>
      <c r="L300" s="338"/>
      <c r="M300" s="338"/>
      <c r="N300" s="338"/>
      <c r="O300" s="338"/>
      <c r="P300" s="338"/>
      <c r="Q300" s="338"/>
      <c r="R300" s="338"/>
      <c r="S300" s="338"/>
      <c r="T300" s="338"/>
      <c r="U300" s="338"/>
      <c r="V300" s="338"/>
      <c r="W300" s="338"/>
      <c r="X300" s="338"/>
      <c r="Y300" s="338"/>
      <c r="Z300" s="338"/>
      <c r="AA300" s="338"/>
      <c r="AB300" s="338"/>
      <c r="AC300" s="338"/>
      <c r="AD300" s="338"/>
      <c r="AE300" s="338"/>
      <c r="AF300" s="338"/>
      <c r="AG300" s="338"/>
      <c r="AI300" s="376"/>
      <c r="AJ300" s="376"/>
    </row>
    <row r="301" ht="13.2" customHeight="1" spans="1:36">
      <c r="A301" s="371"/>
      <c r="B301" s="335"/>
      <c r="C301" s="336"/>
      <c r="D301" s="337"/>
      <c r="E301" s="335"/>
      <c r="F301" s="338"/>
      <c r="G301" s="338"/>
      <c r="H301" s="338"/>
      <c r="I301" s="338"/>
      <c r="J301" s="338"/>
      <c r="K301" s="338"/>
      <c r="L301" s="338"/>
      <c r="M301" s="338"/>
      <c r="N301" s="338"/>
      <c r="O301" s="338"/>
      <c r="P301" s="338"/>
      <c r="Q301" s="338"/>
      <c r="R301" s="338"/>
      <c r="S301" s="338"/>
      <c r="T301" s="338"/>
      <c r="U301" s="338"/>
      <c r="V301" s="338"/>
      <c r="W301" s="338"/>
      <c r="X301" s="338"/>
      <c r="Y301" s="338"/>
      <c r="Z301" s="338"/>
      <c r="AA301" s="338"/>
      <c r="AB301" s="338"/>
      <c r="AC301" s="338"/>
      <c r="AD301" s="338"/>
      <c r="AE301" s="338"/>
      <c r="AF301" s="338"/>
      <c r="AG301" s="338"/>
      <c r="AI301" s="376"/>
      <c r="AJ301" s="376"/>
    </row>
    <row r="302" ht="13.2" customHeight="1" spans="1:36">
      <c r="A302" s="371"/>
      <c r="B302" s="335"/>
      <c r="C302" s="336"/>
      <c r="D302" s="337"/>
      <c r="E302" s="335"/>
      <c r="F302" s="338"/>
      <c r="G302" s="338"/>
      <c r="H302" s="338"/>
      <c r="I302" s="338"/>
      <c r="J302" s="338"/>
      <c r="K302" s="338"/>
      <c r="L302" s="338"/>
      <c r="M302" s="338"/>
      <c r="N302" s="338"/>
      <c r="O302" s="338"/>
      <c r="P302" s="338"/>
      <c r="Q302" s="338"/>
      <c r="R302" s="338"/>
      <c r="S302" s="338"/>
      <c r="T302" s="338"/>
      <c r="U302" s="338"/>
      <c r="V302" s="338"/>
      <c r="W302" s="338"/>
      <c r="X302" s="338"/>
      <c r="Y302" s="338"/>
      <c r="Z302" s="338"/>
      <c r="AA302" s="338"/>
      <c r="AB302" s="338"/>
      <c r="AC302" s="338"/>
      <c r="AD302" s="338"/>
      <c r="AE302" s="338"/>
      <c r="AF302" s="338"/>
      <c r="AG302" s="338"/>
      <c r="AI302" s="376"/>
      <c r="AJ302" s="376"/>
    </row>
    <row r="303" ht="13.2" customHeight="1" spans="1:36">
      <c r="A303" s="371"/>
      <c r="B303" s="335"/>
      <c r="C303" s="336"/>
      <c r="D303" s="337"/>
      <c r="E303" s="335"/>
      <c r="F303" s="338"/>
      <c r="G303" s="338"/>
      <c r="H303" s="338"/>
      <c r="I303" s="338"/>
      <c r="J303" s="338"/>
      <c r="K303" s="338"/>
      <c r="L303" s="338"/>
      <c r="M303" s="338"/>
      <c r="N303" s="338"/>
      <c r="O303" s="338"/>
      <c r="P303" s="338"/>
      <c r="Q303" s="338"/>
      <c r="R303" s="338"/>
      <c r="S303" s="338"/>
      <c r="T303" s="338"/>
      <c r="U303" s="338"/>
      <c r="V303" s="338"/>
      <c r="W303" s="338"/>
      <c r="X303" s="338"/>
      <c r="Y303" s="338"/>
      <c r="Z303" s="338"/>
      <c r="AA303" s="338"/>
      <c r="AB303" s="338"/>
      <c r="AC303" s="338"/>
      <c r="AD303" s="338"/>
      <c r="AE303" s="338"/>
      <c r="AF303" s="338"/>
      <c r="AG303" s="338"/>
      <c r="AI303" s="376"/>
      <c r="AJ303" s="376"/>
    </row>
    <row r="304" ht="13.2" customHeight="1" spans="1:36">
      <c r="A304" s="371"/>
      <c r="B304" s="335"/>
      <c r="C304" s="336"/>
      <c r="D304" s="337"/>
      <c r="E304" s="335"/>
      <c r="F304" s="338"/>
      <c r="G304" s="338"/>
      <c r="H304" s="338"/>
      <c r="I304" s="338"/>
      <c r="J304" s="338"/>
      <c r="K304" s="338"/>
      <c r="L304" s="338"/>
      <c r="M304" s="338"/>
      <c r="N304" s="338"/>
      <c r="O304" s="338"/>
      <c r="P304" s="338"/>
      <c r="Q304" s="338"/>
      <c r="R304" s="338"/>
      <c r="S304" s="338"/>
      <c r="T304" s="338"/>
      <c r="U304" s="338"/>
      <c r="V304" s="338"/>
      <c r="W304" s="338"/>
      <c r="X304" s="338"/>
      <c r="Y304" s="338"/>
      <c r="Z304" s="338"/>
      <c r="AA304" s="338"/>
      <c r="AB304" s="338"/>
      <c r="AC304" s="338"/>
      <c r="AD304" s="338"/>
      <c r="AE304" s="338"/>
      <c r="AF304" s="338"/>
      <c r="AG304" s="338"/>
      <c r="AI304" s="376"/>
      <c r="AJ304" s="376"/>
    </row>
    <row r="305" ht="13.2" customHeight="1" spans="1:36">
      <c r="A305" s="371"/>
      <c r="B305" s="335"/>
      <c r="C305" s="336"/>
      <c r="D305" s="337"/>
      <c r="E305" s="335"/>
      <c r="F305" s="338"/>
      <c r="G305" s="338"/>
      <c r="H305" s="338"/>
      <c r="I305" s="338"/>
      <c r="J305" s="338"/>
      <c r="K305" s="338"/>
      <c r="L305" s="338"/>
      <c r="M305" s="338"/>
      <c r="N305" s="338"/>
      <c r="O305" s="338"/>
      <c r="P305" s="338"/>
      <c r="Q305" s="338"/>
      <c r="R305" s="338"/>
      <c r="S305" s="338"/>
      <c r="T305" s="338"/>
      <c r="U305" s="338"/>
      <c r="V305" s="338"/>
      <c r="W305" s="338"/>
      <c r="X305" s="338"/>
      <c r="Y305" s="338"/>
      <c r="Z305" s="338"/>
      <c r="AA305" s="338"/>
      <c r="AB305" s="338"/>
      <c r="AC305" s="338"/>
      <c r="AD305" s="338"/>
      <c r="AE305" s="338"/>
      <c r="AF305" s="338"/>
      <c r="AG305" s="338"/>
      <c r="AI305" s="376"/>
      <c r="AJ305" s="376"/>
    </row>
    <row r="306" ht="13.2" customHeight="1" spans="1:36">
      <c r="A306" s="371"/>
      <c r="B306" s="335"/>
      <c r="C306" s="336"/>
      <c r="D306" s="337"/>
      <c r="E306" s="335"/>
      <c r="F306" s="338"/>
      <c r="G306" s="338"/>
      <c r="H306" s="338"/>
      <c r="I306" s="338"/>
      <c r="J306" s="338"/>
      <c r="K306" s="338"/>
      <c r="L306" s="338"/>
      <c r="M306" s="338"/>
      <c r="N306" s="338"/>
      <c r="O306" s="338"/>
      <c r="P306" s="338"/>
      <c r="Q306" s="338"/>
      <c r="R306" s="338"/>
      <c r="S306" s="338"/>
      <c r="T306" s="338"/>
      <c r="U306" s="338"/>
      <c r="V306" s="338"/>
      <c r="W306" s="338"/>
      <c r="X306" s="338"/>
      <c r="Y306" s="338"/>
      <c r="Z306" s="338"/>
      <c r="AA306" s="338"/>
      <c r="AB306" s="338"/>
      <c r="AC306" s="338"/>
      <c r="AD306" s="338"/>
      <c r="AE306" s="338"/>
      <c r="AF306" s="338"/>
      <c r="AG306" s="338"/>
      <c r="AI306" s="376"/>
      <c r="AJ306" s="376"/>
    </row>
    <row r="307" ht="13.2" customHeight="1" spans="1:36">
      <c r="A307" s="371"/>
      <c r="B307" s="335"/>
      <c r="C307" s="336"/>
      <c r="D307" s="337"/>
      <c r="E307" s="335"/>
      <c r="F307" s="338"/>
      <c r="G307" s="338"/>
      <c r="H307" s="338"/>
      <c r="I307" s="338"/>
      <c r="J307" s="338"/>
      <c r="K307" s="338"/>
      <c r="L307" s="338"/>
      <c r="M307" s="338"/>
      <c r="N307" s="338"/>
      <c r="O307" s="338"/>
      <c r="P307" s="338"/>
      <c r="Q307" s="338"/>
      <c r="R307" s="338"/>
      <c r="S307" s="338"/>
      <c r="T307" s="338"/>
      <c r="U307" s="338"/>
      <c r="V307" s="338"/>
      <c r="W307" s="338"/>
      <c r="X307" s="338"/>
      <c r="Y307" s="338"/>
      <c r="Z307" s="338"/>
      <c r="AA307" s="338"/>
      <c r="AB307" s="338"/>
      <c r="AC307" s="338"/>
      <c r="AD307" s="338"/>
      <c r="AE307" s="338"/>
      <c r="AF307" s="338"/>
      <c r="AG307" s="338"/>
      <c r="AI307" s="376"/>
      <c r="AJ307" s="376"/>
    </row>
    <row r="308" ht="13.2" customHeight="1" spans="1:36">
      <c r="A308" s="371"/>
      <c r="B308" s="335"/>
      <c r="C308" s="336"/>
      <c r="D308" s="337"/>
      <c r="E308" s="335"/>
      <c r="F308" s="338"/>
      <c r="G308" s="338"/>
      <c r="H308" s="338"/>
      <c r="I308" s="338"/>
      <c r="J308" s="338"/>
      <c r="K308" s="338"/>
      <c r="L308" s="338"/>
      <c r="M308" s="338"/>
      <c r="N308" s="338"/>
      <c r="O308" s="338"/>
      <c r="P308" s="338"/>
      <c r="Q308" s="338"/>
      <c r="R308" s="338"/>
      <c r="S308" s="338"/>
      <c r="T308" s="338"/>
      <c r="U308" s="338"/>
      <c r="V308" s="338"/>
      <c r="W308" s="338"/>
      <c r="X308" s="338"/>
      <c r="Y308" s="338"/>
      <c r="Z308" s="338"/>
      <c r="AA308" s="338"/>
      <c r="AB308" s="338"/>
      <c r="AC308" s="338"/>
      <c r="AD308" s="338"/>
      <c r="AE308" s="338"/>
      <c r="AF308" s="338"/>
      <c r="AG308" s="338"/>
      <c r="AI308" s="376"/>
      <c r="AJ308" s="376"/>
    </row>
    <row r="309" ht="13.2" customHeight="1" spans="1:36">
      <c r="A309" s="371"/>
      <c r="B309" s="335"/>
      <c r="C309" s="336"/>
      <c r="D309" s="337"/>
      <c r="E309" s="335"/>
      <c r="F309" s="338"/>
      <c r="G309" s="338"/>
      <c r="H309" s="338"/>
      <c r="I309" s="338"/>
      <c r="J309" s="338"/>
      <c r="K309" s="338"/>
      <c r="L309" s="338"/>
      <c r="M309" s="338"/>
      <c r="N309" s="338"/>
      <c r="O309" s="338"/>
      <c r="P309" s="338"/>
      <c r="Q309" s="338"/>
      <c r="R309" s="338"/>
      <c r="S309" s="338"/>
      <c r="T309" s="338"/>
      <c r="U309" s="338"/>
      <c r="V309" s="338"/>
      <c r="W309" s="338"/>
      <c r="X309" s="338"/>
      <c r="Y309" s="338"/>
      <c r="Z309" s="338"/>
      <c r="AA309" s="338"/>
      <c r="AB309" s="338"/>
      <c r="AC309" s="338"/>
      <c r="AD309" s="338"/>
      <c r="AE309" s="338"/>
      <c r="AF309" s="338"/>
      <c r="AG309" s="338"/>
      <c r="AI309" s="376"/>
      <c r="AJ309" s="376"/>
    </row>
    <row r="310" ht="13.2" customHeight="1" spans="1:36">
      <c r="A310" s="371"/>
      <c r="B310" s="335"/>
      <c r="C310" s="336"/>
      <c r="D310" s="337"/>
      <c r="E310" s="335"/>
      <c r="F310" s="338"/>
      <c r="G310" s="338"/>
      <c r="H310" s="338"/>
      <c r="I310" s="338"/>
      <c r="J310" s="338"/>
      <c r="K310" s="338"/>
      <c r="L310" s="338"/>
      <c r="M310" s="338"/>
      <c r="N310" s="338"/>
      <c r="O310" s="338"/>
      <c r="P310" s="338"/>
      <c r="Q310" s="338"/>
      <c r="R310" s="338"/>
      <c r="S310" s="338"/>
      <c r="T310" s="338"/>
      <c r="U310" s="338"/>
      <c r="V310" s="338"/>
      <c r="W310" s="338"/>
      <c r="X310" s="338"/>
      <c r="Y310" s="338"/>
      <c r="Z310" s="338"/>
      <c r="AA310" s="338"/>
      <c r="AB310" s="338"/>
      <c r="AC310" s="338"/>
      <c r="AD310" s="338"/>
      <c r="AE310" s="338"/>
      <c r="AF310" s="338"/>
      <c r="AG310" s="338"/>
      <c r="AI310" s="376"/>
      <c r="AJ310" s="376"/>
    </row>
    <row r="311" ht="13.2" customHeight="1" spans="1:36">
      <c r="A311" s="371"/>
      <c r="B311" s="335"/>
      <c r="C311" s="336"/>
      <c r="D311" s="337"/>
      <c r="E311" s="335"/>
      <c r="F311" s="338"/>
      <c r="G311" s="338"/>
      <c r="H311" s="338"/>
      <c r="I311" s="338"/>
      <c r="J311" s="338"/>
      <c r="K311" s="338"/>
      <c r="L311" s="338"/>
      <c r="M311" s="338"/>
      <c r="N311" s="338"/>
      <c r="O311" s="338"/>
      <c r="P311" s="338"/>
      <c r="Q311" s="338"/>
      <c r="R311" s="338"/>
      <c r="S311" s="338"/>
      <c r="T311" s="338"/>
      <c r="U311" s="338"/>
      <c r="V311" s="338"/>
      <c r="W311" s="338"/>
      <c r="X311" s="338"/>
      <c r="Y311" s="338"/>
      <c r="Z311" s="338"/>
      <c r="AA311" s="338"/>
      <c r="AB311" s="338"/>
      <c r="AC311" s="338"/>
      <c r="AD311" s="338"/>
      <c r="AE311" s="338"/>
      <c r="AF311" s="338"/>
      <c r="AG311" s="338"/>
      <c r="AI311" s="376"/>
      <c r="AJ311" s="376"/>
    </row>
    <row r="312" ht="13.2" customHeight="1" spans="1:36">
      <c r="A312" s="371"/>
      <c r="B312" s="335"/>
      <c r="C312" s="336"/>
      <c r="D312" s="337"/>
      <c r="E312" s="335"/>
      <c r="F312" s="338"/>
      <c r="G312" s="338"/>
      <c r="H312" s="338"/>
      <c r="I312" s="338"/>
      <c r="J312" s="338"/>
      <c r="K312" s="338"/>
      <c r="L312" s="338"/>
      <c r="M312" s="338"/>
      <c r="N312" s="338"/>
      <c r="O312" s="338"/>
      <c r="P312" s="338"/>
      <c r="Q312" s="338"/>
      <c r="R312" s="338"/>
      <c r="S312" s="338"/>
      <c r="T312" s="338"/>
      <c r="U312" s="338"/>
      <c r="V312" s="338"/>
      <c r="W312" s="338"/>
      <c r="X312" s="338"/>
      <c r="Y312" s="338"/>
      <c r="Z312" s="338"/>
      <c r="AA312" s="338"/>
      <c r="AB312" s="338"/>
      <c r="AC312" s="338"/>
      <c r="AD312" s="338"/>
      <c r="AE312" s="338"/>
      <c r="AF312" s="338"/>
      <c r="AG312" s="338"/>
      <c r="AI312" s="376"/>
      <c r="AJ312" s="376"/>
    </row>
    <row r="313" ht="13.2" customHeight="1" spans="1:36">
      <c r="A313" s="371"/>
      <c r="B313" s="335"/>
      <c r="C313" s="336"/>
      <c r="D313" s="337"/>
      <c r="E313" s="335"/>
      <c r="F313" s="338"/>
      <c r="G313" s="338"/>
      <c r="H313" s="338"/>
      <c r="I313" s="338"/>
      <c r="J313" s="338"/>
      <c r="K313" s="338"/>
      <c r="L313" s="338"/>
      <c r="M313" s="338"/>
      <c r="N313" s="338"/>
      <c r="O313" s="338"/>
      <c r="P313" s="338"/>
      <c r="Q313" s="338"/>
      <c r="R313" s="338"/>
      <c r="S313" s="338"/>
      <c r="T313" s="338"/>
      <c r="U313" s="338"/>
      <c r="V313" s="338"/>
      <c r="W313" s="338"/>
      <c r="X313" s="338"/>
      <c r="Y313" s="338"/>
      <c r="Z313" s="338"/>
      <c r="AA313" s="338"/>
      <c r="AB313" s="338"/>
      <c r="AC313" s="338"/>
      <c r="AD313" s="338"/>
      <c r="AE313" s="338"/>
      <c r="AF313" s="338"/>
      <c r="AG313" s="338"/>
      <c r="AI313" s="376"/>
      <c r="AJ313" s="376"/>
    </row>
    <row r="314" ht="13.2" customHeight="1" spans="1:36">
      <c r="A314" s="371"/>
      <c r="B314" s="335"/>
      <c r="C314" s="336"/>
      <c r="D314" s="337"/>
      <c r="E314" s="335"/>
      <c r="F314" s="338"/>
      <c r="G314" s="338"/>
      <c r="H314" s="338"/>
      <c r="I314" s="338"/>
      <c r="J314" s="338"/>
      <c r="K314" s="338"/>
      <c r="L314" s="338"/>
      <c r="M314" s="338"/>
      <c r="N314" s="338"/>
      <c r="O314" s="338"/>
      <c r="P314" s="338"/>
      <c r="Q314" s="338"/>
      <c r="R314" s="338"/>
      <c r="S314" s="338"/>
      <c r="T314" s="338"/>
      <c r="U314" s="338"/>
      <c r="V314" s="338"/>
      <c r="W314" s="338"/>
      <c r="X314" s="338"/>
      <c r="Y314" s="338"/>
      <c r="Z314" s="338"/>
      <c r="AA314" s="338"/>
      <c r="AB314" s="338"/>
      <c r="AC314" s="338"/>
      <c r="AD314" s="338"/>
      <c r="AE314" s="338"/>
      <c r="AF314" s="338"/>
      <c r="AG314" s="338"/>
      <c r="AI314" s="376"/>
      <c r="AJ314" s="376"/>
    </row>
    <row r="315" ht="13.2" customHeight="1" spans="1:36">
      <c r="A315" s="371"/>
      <c r="B315" s="335"/>
      <c r="C315" s="336"/>
      <c r="D315" s="337"/>
      <c r="E315" s="335"/>
      <c r="F315" s="338"/>
      <c r="G315" s="338"/>
      <c r="H315" s="338"/>
      <c r="I315" s="338"/>
      <c r="J315" s="338"/>
      <c r="K315" s="338"/>
      <c r="L315" s="338"/>
      <c r="M315" s="338"/>
      <c r="N315" s="338"/>
      <c r="O315" s="338"/>
      <c r="P315" s="338"/>
      <c r="Q315" s="338"/>
      <c r="R315" s="338"/>
      <c r="S315" s="338"/>
      <c r="T315" s="338"/>
      <c r="U315" s="338"/>
      <c r="V315" s="338"/>
      <c r="W315" s="338"/>
      <c r="X315" s="338"/>
      <c r="Y315" s="338"/>
      <c r="Z315" s="338"/>
      <c r="AA315" s="338"/>
      <c r="AB315" s="338"/>
      <c r="AC315" s="338"/>
      <c r="AD315" s="338"/>
      <c r="AE315" s="338"/>
      <c r="AF315" s="338"/>
      <c r="AG315" s="338"/>
      <c r="AI315" s="376"/>
      <c r="AJ315" s="376"/>
    </row>
    <row r="316" ht="13.2" customHeight="1" spans="1:36">
      <c r="A316" s="371"/>
      <c r="B316" s="335"/>
      <c r="C316" s="336"/>
      <c r="D316" s="337"/>
      <c r="E316" s="335"/>
      <c r="F316" s="338"/>
      <c r="G316" s="338"/>
      <c r="H316" s="338"/>
      <c r="I316" s="338"/>
      <c r="J316" s="338"/>
      <c r="K316" s="338"/>
      <c r="L316" s="338"/>
      <c r="M316" s="338"/>
      <c r="N316" s="338"/>
      <c r="O316" s="338"/>
      <c r="P316" s="338"/>
      <c r="Q316" s="338"/>
      <c r="R316" s="338"/>
      <c r="S316" s="338"/>
      <c r="T316" s="338"/>
      <c r="U316" s="338"/>
      <c r="V316" s="338"/>
      <c r="W316" s="338"/>
      <c r="X316" s="338"/>
      <c r="Y316" s="338"/>
      <c r="Z316" s="338"/>
      <c r="AA316" s="338"/>
      <c r="AB316" s="338"/>
      <c r="AC316" s="338"/>
      <c r="AD316" s="338"/>
      <c r="AE316" s="338"/>
      <c r="AF316" s="338"/>
      <c r="AG316" s="338"/>
      <c r="AI316" s="376"/>
      <c r="AJ316" s="376"/>
    </row>
    <row r="317" ht="13.2" customHeight="1" spans="1:36">
      <c r="A317" s="371"/>
      <c r="B317" s="335"/>
      <c r="C317" s="336"/>
      <c r="D317" s="337"/>
      <c r="E317" s="335"/>
      <c r="F317" s="338"/>
      <c r="G317" s="338"/>
      <c r="H317" s="338"/>
      <c r="I317" s="338"/>
      <c r="J317" s="338"/>
      <c r="K317" s="338"/>
      <c r="L317" s="338"/>
      <c r="M317" s="338"/>
      <c r="N317" s="338"/>
      <c r="O317" s="338"/>
      <c r="P317" s="338"/>
      <c r="Q317" s="338"/>
      <c r="R317" s="338"/>
      <c r="S317" s="338"/>
      <c r="T317" s="338"/>
      <c r="U317" s="338"/>
      <c r="V317" s="338"/>
      <c r="W317" s="338"/>
      <c r="X317" s="338"/>
      <c r="Y317" s="338"/>
      <c r="Z317" s="338"/>
      <c r="AA317" s="338"/>
      <c r="AB317" s="338"/>
      <c r="AC317" s="338"/>
      <c r="AD317" s="338"/>
      <c r="AE317" s="338"/>
      <c r="AF317" s="338"/>
      <c r="AG317" s="338"/>
      <c r="AI317" s="376"/>
      <c r="AJ317" s="376"/>
    </row>
    <row r="318" ht="13.2" customHeight="1" spans="1:36">
      <c r="A318" s="371"/>
      <c r="B318" s="335"/>
      <c r="C318" s="336"/>
      <c r="D318" s="337"/>
      <c r="E318" s="335"/>
      <c r="F318" s="338"/>
      <c r="G318" s="338"/>
      <c r="H318" s="338"/>
      <c r="I318" s="338"/>
      <c r="J318" s="338"/>
      <c r="K318" s="338"/>
      <c r="L318" s="338"/>
      <c r="M318" s="338"/>
      <c r="N318" s="338"/>
      <c r="O318" s="338"/>
      <c r="P318" s="338"/>
      <c r="Q318" s="338"/>
      <c r="R318" s="338"/>
      <c r="S318" s="338"/>
      <c r="T318" s="338"/>
      <c r="U318" s="338"/>
      <c r="V318" s="338"/>
      <c r="W318" s="338"/>
      <c r="X318" s="338"/>
      <c r="Y318" s="338"/>
      <c r="Z318" s="338"/>
      <c r="AA318" s="338"/>
      <c r="AB318" s="338"/>
      <c r="AC318" s="338"/>
      <c r="AD318" s="338"/>
      <c r="AE318" s="338"/>
      <c r="AF318" s="338"/>
      <c r="AG318" s="338"/>
      <c r="AI318" s="376"/>
      <c r="AJ318" s="376"/>
    </row>
    <row r="319" ht="13.2" customHeight="1" spans="1:36">
      <c r="A319" s="371"/>
      <c r="B319" s="335"/>
      <c r="C319" s="336"/>
      <c r="D319" s="337"/>
      <c r="E319" s="335"/>
      <c r="F319" s="338"/>
      <c r="G319" s="338"/>
      <c r="H319" s="338"/>
      <c r="I319" s="338"/>
      <c r="J319" s="338"/>
      <c r="K319" s="338"/>
      <c r="L319" s="338"/>
      <c r="M319" s="338"/>
      <c r="N319" s="338"/>
      <c r="O319" s="338"/>
      <c r="P319" s="338"/>
      <c r="Q319" s="338"/>
      <c r="R319" s="338"/>
      <c r="S319" s="338"/>
      <c r="T319" s="338"/>
      <c r="U319" s="338"/>
      <c r="V319" s="338"/>
      <c r="W319" s="338"/>
      <c r="X319" s="338"/>
      <c r="Y319" s="338"/>
      <c r="Z319" s="338"/>
      <c r="AA319" s="338"/>
      <c r="AB319" s="338"/>
      <c r="AC319" s="338"/>
      <c r="AD319" s="338"/>
      <c r="AE319" s="338"/>
      <c r="AF319" s="338"/>
      <c r="AG319" s="338"/>
      <c r="AI319" s="376"/>
      <c r="AJ319" s="376"/>
    </row>
    <row r="320" ht="13.2" customHeight="1" spans="1:36">
      <c r="A320" s="371"/>
      <c r="B320" s="335"/>
      <c r="C320" s="336"/>
      <c r="D320" s="337"/>
      <c r="E320" s="335"/>
      <c r="F320" s="338"/>
      <c r="G320" s="338"/>
      <c r="H320" s="338"/>
      <c r="I320" s="338"/>
      <c r="J320" s="338"/>
      <c r="K320" s="338"/>
      <c r="L320" s="338"/>
      <c r="M320" s="338"/>
      <c r="N320" s="338"/>
      <c r="O320" s="338"/>
      <c r="P320" s="338"/>
      <c r="Q320" s="338"/>
      <c r="R320" s="338"/>
      <c r="S320" s="338"/>
      <c r="T320" s="338"/>
      <c r="U320" s="338"/>
      <c r="V320" s="338"/>
      <c r="W320" s="338"/>
      <c r="X320" s="338"/>
      <c r="Y320" s="338"/>
      <c r="Z320" s="338"/>
      <c r="AA320" s="338"/>
      <c r="AB320" s="338"/>
      <c r="AC320" s="338"/>
      <c r="AD320" s="338"/>
      <c r="AE320" s="338"/>
      <c r="AF320" s="338"/>
      <c r="AG320" s="338"/>
      <c r="AI320" s="376"/>
      <c r="AJ320" s="376"/>
    </row>
    <row r="321" ht="13.2" customHeight="1" spans="1:36">
      <c r="A321" s="371"/>
      <c r="B321" s="335"/>
      <c r="C321" s="336"/>
      <c r="D321" s="337"/>
      <c r="E321" s="335"/>
      <c r="F321" s="338"/>
      <c r="G321" s="338"/>
      <c r="H321" s="338"/>
      <c r="I321" s="338"/>
      <c r="J321" s="338"/>
      <c r="K321" s="338"/>
      <c r="L321" s="338"/>
      <c r="M321" s="338"/>
      <c r="N321" s="338"/>
      <c r="O321" s="338"/>
      <c r="P321" s="338"/>
      <c r="Q321" s="338"/>
      <c r="R321" s="338"/>
      <c r="S321" s="338"/>
      <c r="T321" s="338"/>
      <c r="U321" s="338"/>
      <c r="V321" s="338"/>
      <c r="W321" s="338"/>
      <c r="X321" s="338"/>
      <c r="Y321" s="338"/>
      <c r="Z321" s="338"/>
      <c r="AA321" s="338"/>
      <c r="AB321" s="338"/>
      <c r="AC321" s="338"/>
      <c r="AD321" s="338"/>
      <c r="AE321" s="338"/>
      <c r="AF321" s="338"/>
      <c r="AG321" s="338"/>
      <c r="AI321" s="376"/>
      <c r="AJ321" s="376"/>
    </row>
    <row r="322" ht="13.2" customHeight="1" spans="1:36">
      <c r="A322" s="371"/>
      <c r="B322" s="335"/>
      <c r="C322" s="336"/>
      <c r="D322" s="337"/>
      <c r="E322" s="335"/>
      <c r="F322" s="338"/>
      <c r="G322" s="338"/>
      <c r="H322" s="338"/>
      <c r="I322" s="338"/>
      <c r="J322" s="338"/>
      <c r="K322" s="338"/>
      <c r="L322" s="338"/>
      <c r="M322" s="338"/>
      <c r="N322" s="338"/>
      <c r="O322" s="338"/>
      <c r="P322" s="338"/>
      <c r="Q322" s="338"/>
      <c r="R322" s="338"/>
      <c r="S322" s="338"/>
      <c r="T322" s="338"/>
      <c r="U322" s="338"/>
      <c r="V322" s="338"/>
      <c r="W322" s="338"/>
      <c r="X322" s="338"/>
      <c r="Y322" s="338"/>
      <c r="Z322" s="338"/>
      <c r="AA322" s="338"/>
      <c r="AB322" s="338"/>
      <c r="AC322" s="338"/>
      <c r="AD322" s="338"/>
      <c r="AE322" s="338"/>
      <c r="AF322" s="338"/>
      <c r="AG322" s="338"/>
      <c r="AI322" s="376"/>
      <c r="AJ322" s="376"/>
    </row>
    <row r="323" ht="13.2" customHeight="1" spans="1:36">
      <c r="A323" s="371"/>
      <c r="B323" s="335"/>
      <c r="C323" s="336"/>
      <c r="D323" s="337"/>
      <c r="E323" s="335"/>
      <c r="F323" s="338"/>
      <c r="G323" s="338"/>
      <c r="H323" s="338"/>
      <c r="I323" s="338"/>
      <c r="J323" s="338"/>
      <c r="K323" s="338"/>
      <c r="L323" s="338"/>
      <c r="M323" s="338"/>
      <c r="N323" s="338"/>
      <c r="O323" s="338"/>
      <c r="P323" s="338"/>
      <c r="Q323" s="338"/>
      <c r="R323" s="338"/>
      <c r="S323" s="338"/>
      <c r="T323" s="338"/>
      <c r="U323" s="338"/>
      <c r="V323" s="338"/>
      <c r="W323" s="338"/>
      <c r="X323" s="338"/>
      <c r="Y323" s="338"/>
      <c r="Z323" s="338"/>
      <c r="AA323" s="338"/>
      <c r="AB323" s="338"/>
      <c r="AC323" s="338"/>
      <c r="AD323" s="338"/>
      <c r="AE323" s="338"/>
      <c r="AF323" s="338"/>
      <c r="AG323" s="338"/>
      <c r="AI323" s="376"/>
      <c r="AJ323" s="376"/>
    </row>
    <row r="324" ht="13.2" customHeight="1" spans="1:36">
      <c r="A324" s="371"/>
      <c r="B324" s="335"/>
      <c r="C324" s="336"/>
      <c r="D324" s="337"/>
      <c r="E324" s="335"/>
      <c r="F324" s="338"/>
      <c r="G324" s="338"/>
      <c r="H324" s="338"/>
      <c r="I324" s="338"/>
      <c r="J324" s="338"/>
      <c r="K324" s="338"/>
      <c r="L324" s="338"/>
      <c r="M324" s="338"/>
      <c r="N324" s="338"/>
      <c r="O324" s="338"/>
      <c r="P324" s="338"/>
      <c r="Q324" s="338"/>
      <c r="R324" s="338"/>
      <c r="S324" s="338"/>
      <c r="T324" s="338"/>
      <c r="U324" s="338"/>
      <c r="V324" s="338"/>
      <c r="W324" s="338"/>
      <c r="X324" s="338"/>
      <c r="Y324" s="338"/>
      <c r="Z324" s="338"/>
      <c r="AA324" s="338"/>
      <c r="AB324" s="338"/>
      <c r="AC324" s="338"/>
      <c r="AD324" s="338"/>
      <c r="AE324" s="338"/>
      <c r="AF324" s="338"/>
      <c r="AG324" s="338"/>
      <c r="AI324" s="376"/>
      <c r="AJ324" s="376"/>
    </row>
    <row r="325" ht="13.2" customHeight="1" spans="1:36">
      <c r="A325" s="371"/>
      <c r="B325" s="335"/>
      <c r="C325" s="336"/>
      <c r="D325" s="337"/>
      <c r="E325" s="335"/>
      <c r="F325" s="338"/>
      <c r="G325" s="338"/>
      <c r="H325" s="338"/>
      <c r="I325" s="338"/>
      <c r="J325" s="338"/>
      <c r="K325" s="338"/>
      <c r="L325" s="338"/>
      <c r="M325" s="338"/>
      <c r="N325" s="338"/>
      <c r="O325" s="338"/>
      <c r="P325" s="338"/>
      <c r="Q325" s="338"/>
      <c r="R325" s="338"/>
      <c r="S325" s="338"/>
      <c r="T325" s="338"/>
      <c r="U325" s="338"/>
      <c r="V325" s="338"/>
      <c r="W325" s="338"/>
      <c r="X325" s="338"/>
      <c r="Y325" s="338"/>
      <c r="Z325" s="338"/>
      <c r="AA325" s="338"/>
      <c r="AB325" s="338"/>
      <c r="AC325" s="338"/>
      <c r="AD325" s="338"/>
      <c r="AE325" s="338"/>
      <c r="AF325" s="338"/>
      <c r="AG325" s="338"/>
      <c r="AI325" s="376"/>
      <c r="AJ325" s="376"/>
    </row>
    <row r="326" ht="13.2" customHeight="1" spans="1:36">
      <c r="A326" s="371"/>
      <c r="B326" s="335"/>
      <c r="C326" s="336"/>
      <c r="D326" s="337"/>
      <c r="E326" s="335"/>
      <c r="F326" s="338"/>
      <c r="G326" s="338"/>
      <c r="H326" s="338"/>
      <c r="I326" s="338"/>
      <c r="J326" s="338"/>
      <c r="K326" s="338"/>
      <c r="L326" s="338"/>
      <c r="M326" s="338"/>
      <c r="N326" s="338"/>
      <c r="O326" s="338"/>
      <c r="P326" s="338"/>
      <c r="Q326" s="338"/>
      <c r="R326" s="338"/>
      <c r="S326" s="338"/>
      <c r="T326" s="338"/>
      <c r="U326" s="338"/>
      <c r="V326" s="338"/>
      <c r="W326" s="338"/>
      <c r="X326" s="338"/>
      <c r="Y326" s="338"/>
      <c r="Z326" s="338"/>
      <c r="AA326" s="338"/>
      <c r="AB326" s="338"/>
      <c r="AC326" s="338"/>
      <c r="AD326" s="338"/>
      <c r="AE326" s="338"/>
      <c r="AF326" s="338"/>
      <c r="AG326" s="338"/>
      <c r="AI326" s="376"/>
      <c r="AJ326" s="376"/>
    </row>
    <row r="327" ht="13.2" customHeight="1" spans="1:36">
      <c r="A327" s="371"/>
      <c r="B327" s="335"/>
      <c r="C327" s="336"/>
      <c r="D327" s="337"/>
      <c r="E327" s="335"/>
      <c r="F327" s="338"/>
      <c r="G327" s="338"/>
      <c r="H327" s="338"/>
      <c r="I327" s="338"/>
      <c r="J327" s="338"/>
      <c r="K327" s="338"/>
      <c r="L327" s="338"/>
      <c r="M327" s="338"/>
      <c r="N327" s="338"/>
      <c r="O327" s="338"/>
      <c r="P327" s="338"/>
      <c r="Q327" s="338"/>
      <c r="R327" s="338"/>
      <c r="S327" s="338"/>
      <c r="T327" s="338"/>
      <c r="U327" s="338"/>
      <c r="V327" s="338"/>
      <c r="W327" s="338"/>
      <c r="X327" s="338"/>
      <c r="Y327" s="338"/>
      <c r="Z327" s="338"/>
      <c r="AA327" s="338"/>
      <c r="AB327" s="338"/>
      <c r="AC327" s="338"/>
      <c r="AD327" s="338"/>
      <c r="AE327" s="338"/>
      <c r="AF327" s="338"/>
      <c r="AG327" s="338"/>
      <c r="AI327" s="376"/>
      <c r="AJ327" s="376"/>
    </row>
    <row r="328" ht="13.2" customHeight="1" spans="1:36">
      <c r="A328" s="371"/>
      <c r="B328" s="335"/>
      <c r="C328" s="336"/>
      <c r="D328" s="337"/>
      <c r="E328" s="335"/>
      <c r="F328" s="338"/>
      <c r="G328" s="338"/>
      <c r="H328" s="338"/>
      <c r="I328" s="338"/>
      <c r="J328" s="338"/>
      <c r="K328" s="338"/>
      <c r="L328" s="338"/>
      <c r="M328" s="338"/>
      <c r="N328" s="338"/>
      <c r="O328" s="338"/>
      <c r="P328" s="338"/>
      <c r="Q328" s="338"/>
      <c r="R328" s="338"/>
      <c r="S328" s="338"/>
      <c r="T328" s="338"/>
      <c r="U328" s="338"/>
      <c r="V328" s="338"/>
      <c r="W328" s="338"/>
      <c r="X328" s="338"/>
      <c r="Y328" s="338"/>
      <c r="Z328" s="338"/>
      <c r="AA328" s="338"/>
      <c r="AB328" s="338"/>
      <c r="AC328" s="338"/>
      <c r="AD328" s="338"/>
      <c r="AE328" s="338"/>
      <c r="AF328" s="338"/>
      <c r="AG328" s="338"/>
      <c r="AI328" s="376"/>
      <c r="AJ328" s="376"/>
    </row>
    <row r="329" ht="13.2" customHeight="1" spans="1:36">
      <c r="A329" s="371"/>
      <c r="B329" s="335"/>
      <c r="C329" s="336"/>
      <c r="D329" s="337"/>
      <c r="E329" s="335"/>
      <c r="F329" s="338"/>
      <c r="G329" s="338"/>
      <c r="H329" s="338"/>
      <c r="I329" s="338"/>
      <c r="J329" s="338"/>
      <c r="K329" s="338"/>
      <c r="L329" s="338"/>
      <c r="M329" s="338"/>
      <c r="N329" s="338"/>
      <c r="O329" s="338"/>
      <c r="P329" s="338"/>
      <c r="Q329" s="338"/>
      <c r="R329" s="338"/>
      <c r="S329" s="338"/>
      <c r="T329" s="338"/>
      <c r="U329" s="338"/>
      <c r="V329" s="338"/>
      <c r="W329" s="338"/>
      <c r="X329" s="338"/>
      <c r="Y329" s="338"/>
      <c r="Z329" s="338"/>
      <c r="AA329" s="338"/>
      <c r="AB329" s="338"/>
      <c r="AC329" s="338"/>
      <c r="AD329" s="338"/>
      <c r="AE329" s="338"/>
      <c r="AF329" s="338"/>
      <c r="AG329" s="338"/>
      <c r="AI329" s="376"/>
      <c r="AJ329" s="376"/>
    </row>
    <row r="330" ht="13.2" customHeight="1" spans="1:36">
      <c r="A330" s="371"/>
      <c r="B330" s="335"/>
      <c r="C330" s="336"/>
      <c r="D330" s="337"/>
      <c r="E330" s="335"/>
      <c r="F330" s="338"/>
      <c r="G330" s="338"/>
      <c r="H330" s="338"/>
      <c r="I330" s="338"/>
      <c r="J330" s="338"/>
      <c r="K330" s="338"/>
      <c r="L330" s="338"/>
      <c r="M330" s="338"/>
      <c r="N330" s="338"/>
      <c r="O330" s="338"/>
      <c r="P330" s="338"/>
      <c r="Q330" s="338"/>
      <c r="R330" s="338"/>
      <c r="S330" s="338"/>
      <c r="T330" s="338"/>
      <c r="U330" s="338"/>
      <c r="V330" s="338"/>
      <c r="W330" s="338"/>
      <c r="X330" s="338"/>
      <c r="Y330" s="338"/>
      <c r="Z330" s="338"/>
      <c r="AA330" s="338"/>
      <c r="AB330" s="338"/>
      <c r="AC330" s="338"/>
      <c r="AD330" s="338"/>
      <c r="AE330" s="338"/>
      <c r="AF330" s="338"/>
      <c r="AG330" s="338"/>
      <c r="AI330" s="376"/>
      <c r="AJ330" s="376"/>
    </row>
    <row r="331" ht="13.2" customHeight="1" spans="1:36">
      <c r="A331" s="371"/>
      <c r="B331" s="335"/>
      <c r="C331" s="336"/>
      <c r="D331" s="337"/>
      <c r="E331" s="335"/>
      <c r="F331" s="338"/>
      <c r="G331" s="338"/>
      <c r="H331" s="338"/>
      <c r="I331" s="338"/>
      <c r="J331" s="338"/>
      <c r="K331" s="338"/>
      <c r="L331" s="338"/>
      <c r="M331" s="338"/>
      <c r="N331" s="338"/>
      <c r="O331" s="338"/>
      <c r="P331" s="338"/>
      <c r="Q331" s="338"/>
      <c r="R331" s="338"/>
      <c r="S331" s="338"/>
      <c r="T331" s="338"/>
      <c r="U331" s="338"/>
      <c r="V331" s="338"/>
      <c r="W331" s="338"/>
      <c r="X331" s="338"/>
      <c r="Y331" s="338"/>
      <c r="Z331" s="338"/>
      <c r="AA331" s="338"/>
      <c r="AB331" s="338"/>
      <c r="AC331" s="338"/>
      <c r="AD331" s="338"/>
      <c r="AE331" s="338"/>
      <c r="AF331" s="338"/>
      <c r="AG331" s="338"/>
      <c r="AI331" s="376"/>
      <c r="AJ331" s="376"/>
    </row>
    <row r="332" ht="13.2" customHeight="1" spans="1:36">
      <c r="A332" s="371"/>
      <c r="B332" s="335"/>
      <c r="C332" s="336"/>
      <c r="D332" s="337"/>
      <c r="E332" s="335"/>
      <c r="F332" s="338"/>
      <c r="G332" s="338"/>
      <c r="H332" s="338"/>
      <c r="I332" s="338"/>
      <c r="J332" s="338"/>
      <c r="K332" s="338"/>
      <c r="L332" s="338"/>
      <c r="M332" s="338"/>
      <c r="N332" s="338"/>
      <c r="O332" s="338"/>
      <c r="P332" s="338"/>
      <c r="Q332" s="338"/>
      <c r="R332" s="338"/>
      <c r="S332" s="338"/>
      <c r="T332" s="338"/>
      <c r="U332" s="338"/>
      <c r="V332" s="338"/>
      <c r="W332" s="338"/>
      <c r="X332" s="338"/>
      <c r="Y332" s="338"/>
      <c r="Z332" s="338"/>
      <c r="AA332" s="338"/>
      <c r="AB332" s="338"/>
      <c r="AC332" s="338"/>
      <c r="AD332" s="338"/>
      <c r="AE332" s="338"/>
      <c r="AF332" s="338"/>
      <c r="AG332" s="338"/>
      <c r="AI332" s="376"/>
      <c r="AJ332" s="376"/>
    </row>
    <row r="333" ht="13.2" customHeight="1" spans="1:36">
      <c r="A333" s="371"/>
      <c r="B333" s="335"/>
      <c r="C333" s="336"/>
      <c r="D333" s="337"/>
      <c r="E333" s="335"/>
      <c r="F333" s="338"/>
      <c r="G333" s="338"/>
      <c r="H333" s="338"/>
      <c r="I333" s="338"/>
      <c r="J333" s="338"/>
      <c r="K333" s="338"/>
      <c r="L333" s="338"/>
      <c r="M333" s="338"/>
      <c r="N333" s="338"/>
      <c r="O333" s="338"/>
      <c r="P333" s="338"/>
      <c r="Q333" s="338"/>
      <c r="R333" s="338"/>
      <c r="S333" s="338"/>
      <c r="T333" s="338"/>
      <c r="U333" s="338"/>
      <c r="V333" s="338"/>
      <c r="W333" s="338"/>
      <c r="X333" s="338"/>
      <c r="Y333" s="338"/>
      <c r="Z333" s="338"/>
      <c r="AA333" s="338"/>
      <c r="AB333" s="338"/>
      <c r="AC333" s="338"/>
      <c r="AD333" s="338"/>
      <c r="AE333" s="338"/>
      <c r="AF333" s="338"/>
      <c r="AG333" s="338"/>
      <c r="AI333" s="376"/>
      <c r="AJ333" s="376"/>
    </row>
    <row r="334" ht="13.2" customHeight="1" spans="1:36">
      <c r="A334" s="371"/>
      <c r="B334" s="335"/>
      <c r="C334" s="336"/>
      <c r="D334" s="337"/>
      <c r="E334" s="335"/>
      <c r="F334" s="338"/>
      <c r="G334" s="338"/>
      <c r="H334" s="338"/>
      <c r="I334" s="338"/>
      <c r="J334" s="338"/>
      <c r="K334" s="338"/>
      <c r="L334" s="338"/>
      <c r="M334" s="338"/>
      <c r="N334" s="338"/>
      <c r="O334" s="338"/>
      <c r="P334" s="338"/>
      <c r="Q334" s="338"/>
      <c r="R334" s="338"/>
      <c r="S334" s="338"/>
      <c r="T334" s="338"/>
      <c r="U334" s="338"/>
      <c r="V334" s="338"/>
      <c r="W334" s="338"/>
      <c r="X334" s="338"/>
      <c r="Y334" s="338"/>
      <c r="Z334" s="338"/>
      <c r="AA334" s="338"/>
      <c r="AB334" s="338"/>
      <c r="AC334" s="338"/>
      <c r="AD334" s="338"/>
      <c r="AE334" s="338"/>
      <c r="AF334" s="338"/>
      <c r="AG334" s="338"/>
      <c r="AI334" s="376"/>
      <c r="AJ334" s="376"/>
    </row>
    <row r="335" ht="13.2" customHeight="1" spans="1:36">
      <c r="A335" s="371"/>
      <c r="B335" s="335"/>
      <c r="C335" s="336"/>
      <c r="D335" s="337"/>
      <c r="E335" s="335"/>
      <c r="F335" s="338"/>
      <c r="G335" s="338"/>
      <c r="H335" s="338"/>
      <c r="I335" s="338"/>
      <c r="J335" s="338"/>
      <c r="K335" s="338"/>
      <c r="L335" s="338"/>
      <c r="M335" s="338"/>
      <c r="N335" s="338"/>
      <c r="O335" s="338"/>
      <c r="P335" s="338"/>
      <c r="Q335" s="338"/>
      <c r="R335" s="338"/>
      <c r="S335" s="338"/>
      <c r="T335" s="338"/>
      <c r="U335" s="338"/>
      <c r="V335" s="338"/>
      <c r="W335" s="338"/>
      <c r="X335" s="338"/>
      <c r="Y335" s="338"/>
      <c r="Z335" s="338"/>
      <c r="AA335" s="338"/>
      <c r="AB335" s="338"/>
      <c r="AC335" s="338"/>
      <c r="AD335" s="338"/>
      <c r="AE335" s="338"/>
      <c r="AF335" s="338"/>
      <c r="AG335" s="338"/>
      <c r="AI335" s="376"/>
      <c r="AJ335" s="376"/>
    </row>
    <row r="336" ht="13.2" customHeight="1" spans="1:36">
      <c r="A336" s="371"/>
      <c r="B336" s="335"/>
      <c r="C336" s="336"/>
      <c r="D336" s="337"/>
      <c r="E336" s="335"/>
      <c r="F336" s="338"/>
      <c r="G336" s="338"/>
      <c r="H336" s="338"/>
      <c r="I336" s="338"/>
      <c r="J336" s="338"/>
      <c r="K336" s="338"/>
      <c r="L336" s="338"/>
      <c r="M336" s="338"/>
      <c r="N336" s="338"/>
      <c r="O336" s="338"/>
      <c r="P336" s="338"/>
      <c r="Q336" s="338"/>
      <c r="R336" s="338"/>
      <c r="S336" s="338"/>
      <c r="T336" s="338"/>
      <c r="U336" s="338"/>
      <c r="V336" s="338"/>
      <c r="W336" s="338"/>
      <c r="X336" s="338"/>
      <c r="Y336" s="338"/>
      <c r="Z336" s="338"/>
      <c r="AA336" s="338"/>
      <c r="AB336" s="338"/>
      <c r="AC336" s="338"/>
      <c r="AD336" s="338"/>
      <c r="AE336" s="338"/>
      <c r="AF336" s="338"/>
      <c r="AG336" s="338"/>
      <c r="AI336" s="376"/>
      <c r="AJ336" s="376"/>
    </row>
    <row r="337" ht="13.2" customHeight="1" spans="1:36">
      <c r="A337" s="371"/>
      <c r="B337" s="335"/>
      <c r="C337" s="336"/>
      <c r="D337" s="337"/>
      <c r="E337" s="335"/>
      <c r="F337" s="338"/>
      <c r="G337" s="338"/>
      <c r="H337" s="338"/>
      <c r="I337" s="338"/>
      <c r="J337" s="338"/>
      <c r="K337" s="338"/>
      <c r="L337" s="338"/>
      <c r="M337" s="338"/>
      <c r="N337" s="338"/>
      <c r="O337" s="338"/>
      <c r="P337" s="338"/>
      <c r="Q337" s="338"/>
      <c r="R337" s="338"/>
      <c r="S337" s="338"/>
      <c r="T337" s="338"/>
      <c r="U337" s="338"/>
      <c r="V337" s="338"/>
      <c r="W337" s="338"/>
      <c r="X337" s="338"/>
      <c r="Y337" s="338"/>
      <c r="Z337" s="338"/>
      <c r="AA337" s="338"/>
      <c r="AB337" s="338"/>
      <c r="AC337" s="338"/>
      <c r="AD337" s="338"/>
      <c r="AE337" s="338"/>
      <c r="AF337" s="338"/>
      <c r="AG337" s="338"/>
      <c r="AI337" s="376"/>
      <c r="AJ337" s="376"/>
    </row>
    <row r="338" ht="13.2" customHeight="1" spans="1:36">
      <c r="A338" s="371"/>
      <c r="B338" s="335"/>
      <c r="C338" s="336"/>
      <c r="D338" s="337"/>
      <c r="E338" s="335"/>
      <c r="F338" s="338"/>
      <c r="G338" s="338"/>
      <c r="H338" s="338"/>
      <c r="I338" s="338"/>
      <c r="J338" s="338"/>
      <c r="K338" s="338"/>
      <c r="L338" s="338"/>
      <c r="M338" s="338"/>
      <c r="N338" s="338"/>
      <c r="O338" s="338"/>
      <c r="P338" s="338"/>
      <c r="Q338" s="338"/>
      <c r="R338" s="338"/>
      <c r="S338" s="338"/>
      <c r="T338" s="338"/>
      <c r="U338" s="338"/>
      <c r="V338" s="338"/>
      <c r="W338" s="338"/>
      <c r="X338" s="338"/>
      <c r="Y338" s="338"/>
      <c r="Z338" s="338"/>
      <c r="AA338" s="338"/>
      <c r="AB338" s="338"/>
      <c r="AC338" s="338"/>
      <c r="AD338" s="338"/>
      <c r="AE338" s="338"/>
      <c r="AF338" s="338"/>
      <c r="AG338" s="338"/>
      <c r="AI338" s="376"/>
      <c r="AJ338" s="376"/>
    </row>
    <row r="339" ht="13.2" customHeight="1" spans="1:36">
      <c r="A339" s="371"/>
      <c r="B339" s="335"/>
      <c r="C339" s="336"/>
      <c r="D339" s="337"/>
      <c r="E339" s="335"/>
      <c r="F339" s="338"/>
      <c r="G339" s="338"/>
      <c r="H339" s="338"/>
      <c r="I339" s="338"/>
      <c r="J339" s="338"/>
      <c r="K339" s="338"/>
      <c r="L339" s="338"/>
      <c r="M339" s="338"/>
      <c r="N339" s="338"/>
      <c r="O339" s="338"/>
      <c r="P339" s="338"/>
      <c r="Q339" s="338"/>
      <c r="R339" s="338"/>
      <c r="S339" s="338"/>
      <c r="T339" s="338"/>
      <c r="U339" s="338"/>
      <c r="V339" s="338"/>
      <c r="W339" s="338"/>
      <c r="X339" s="338"/>
      <c r="Y339" s="338"/>
      <c r="Z339" s="338"/>
      <c r="AA339" s="338"/>
      <c r="AB339" s="338"/>
      <c r="AC339" s="338"/>
      <c r="AD339" s="338"/>
      <c r="AE339" s="338"/>
      <c r="AF339" s="338"/>
      <c r="AG339" s="338"/>
      <c r="AI339" s="376"/>
      <c r="AJ339" s="376"/>
    </row>
    <row r="340" ht="13.2" customHeight="1" spans="1:36">
      <c r="A340" s="371"/>
      <c r="B340" s="335"/>
      <c r="C340" s="336"/>
      <c r="D340" s="337"/>
      <c r="E340" s="335"/>
      <c r="F340" s="338"/>
      <c r="G340" s="338"/>
      <c r="H340" s="338"/>
      <c r="I340" s="338"/>
      <c r="J340" s="338"/>
      <c r="K340" s="338"/>
      <c r="L340" s="338"/>
      <c r="M340" s="338"/>
      <c r="N340" s="338"/>
      <c r="O340" s="338"/>
      <c r="P340" s="338"/>
      <c r="Q340" s="338"/>
      <c r="R340" s="338"/>
      <c r="S340" s="338"/>
      <c r="T340" s="338"/>
      <c r="U340" s="338"/>
      <c r="V340" s="338"/>
      <c r="W340" s="338"/>
      <c r="X340" s="338"/>
      <c r="Y340" s="338"/>
      <c r="Z340" s="338"/>
      <c r="AA340" s="338"/>
      <c r="AB340" s="338"/>
      <c r="AC340" s="338"/>
      <c r="AD340" s="338"/>
      <c r="AE340" s="338"/>
      <c r="AF340" s="338"/>
      <c r="AG340" s="338"/>
      <c r="AI340" s="376"/>
      <c r="AJ340" s="376"/>
    </row>
    <row r="341" ht="13.2" customHeight="1" spans="1:36">
      <c r="A341" s="371"/>
      <c r="B341" s="335"/>
      <c r="C341" s="336"/>
      <c r="D341" s="337"/>
      <c r="E341" s="335"/>
      <c r="F341" s="338"/>
      <c r="G341" s="338"/>
      <c r="H341" s="338"/>
      <c r="I341" s="338"/>
      <c r="J341" s="338"/>
      <c r="K341" s="338"/>
      <c r="L341" s="338"/>
      <c r="M341" s="338"/>
      <c r="N341" s="338"/>
      <c r="O341" s="338"/>
      <c r="P341" s="338"/>
      <c r="Q341" s="338"/>
      <c r="R341" s="338"/>
      <c r="S341" s="338"/>
      <c r="T341" s="338"/>
      <c r="U341" s="338"/>
      <c r="V341" s="338"/>
      <c r="W341" s="338"/>
      <c r="X341" s="338"/>
      <c r="Y341" s="338"/>
      <c r="Z341" s="338"/>
      <c r="AA341" s="338"/>
      <c r="AB341" s="338"/>
      <c r="AC341" s="338"/>
      <c r="AD341" s="338"/>
      <c r="AE341" s="338"/>
      <c r="AF341" s="338"/>
      <c r="AG341" s="338"/>
      <c r="AI341" s="376"/>
      <c r="AJ341" s="376"/>
    </row>
    <row r="342" ht="13.2" customHeight="1" spans="1:36">
      <c r="A342" s="371"/>
      <c r="B342" s="335"/>
      <c r="C342" s="336"/>
      <c r="D342" s="337"/>
      <c r="E342" s="335"/>
      <c r="F342" s="338"/>
      <c r="G342" s="338"/>
      <c r="H342" s="338"/>
      <c r="I342" s="338"/>
      <c r="J342" s="338"/>
      <c r="K342" s="338"/>
      <c r="L342" s="338"/>
      <c r="M342" s="338"/>
      <c r="N342" s="338"/>
      <c r="O342" s="338"/>
      <c r="P342" s="338"/>
      <c r="Q342" s="338"/>
      <c r="R342" s="338"/>
      <c r="S342" s="338"/>
      <c r="T342" s="338"/>
      <c r="U342" s="338"/>
      <c r="V342" s="338"/>
      <c r="W342" s="338"/>
      <c r="X342" s="338"/>
      <c r="Y342" s="338"/>
      <c r="Z342" s="338"/>
      <c r="AA342" s="338"/>
      <c r="AB342" s="338"/>
      <c r="AC342" s="338"/>
      <c r="AD342" s="338"/>
      <c r="AE342" s="338"/>
      <c r="AF342" s="338"/>
      <c r="AG342" s="338"/>
      <c r="AI342" s="376"/>
      <c r="AJ342" s="376"/>
    </row>
    <row r="343" ht="13.2" customHeight="1" spans="1:36">
      <c r="A343" s="371"/>
      <c r="B343" s="335"/>
      <c r="C343" s="336"/>
      <c r="D343" s="337"/>
      <c r="E343" s="335"/>
      <c r="F343" s="338"/>
      <c r="G343" s="338"/>
      <c r="H343" s="338"/>
      <c r="I343" s="338"/>
      <c r="J343" s="338"/>
      <c r="K343" s="338"/>
      <c r="L343" s="338"/>
      <c r="M343" s="338"/>
      <c r="N343" s="338"/>
      <c r="O343" s="338"/>
      <c r="P343" s="338"/>
      <c r="Q343" s="338"/>
      <c r="R343" s="338"/>
      <c r="S343" s="338"/>
      <c r="T343" s="338"/>
      <c r="U343" s="338"/>
      <c r="V343" s="338"/>
      <c r="W343" s="338"/>
      <c r="X343" s="338"/>
      <c r="Y343" s="338"/>
      <c r="Z343" s="338"/>
      <c r="AA343" s="338"/>
      <c r="AB343" s="338"/>
      <c r="AC343" s="338"/>
      <c r="AD343" s="338"/>
      <c r="AE343" s="338"/>
      <c r="AF343" s="338"/>
      <c r="AG343" s="338"/>
      <c r="AI343" s="376"/>
      <c r="AJ343" s="376"/>
    </row>
    <row r="344" ht="13.2" customHeight="1" spans="1:36">
      <c r="A344" s="371"/>
      <c r="B344" s="335"/>
      <c r="C344" s="336"/>
      <c r="D344" s="337"/>
      <c r="E344" s="335"/>
      <c r="F344" s="338"/>
      <c r="G344" s="338"/>
      <c r="H344" s="338"/>
      <c r="I344" s="338"/>
      <c r="J344" s="338"/>
      <c r="K344" s="338"/>
      <c r="L344" s="338"/>
      <c r="M344" s="338"/>
      <c r="N344" s="338"/>
      <c r="O344" s="338"/>
      <c r="P344" s="338"/>
      <c r="Q344" s="338"/>
      <c r="R344" s="338"/>
      <c r="S344" s="338"/>
      <c r="T344" s="338"/>
      <c r="U344" s="338"/>
      <c r="V344" s="338"/>
      <c r="W344" s="338"/>
      <c r="X344" s="338"/>
      <c r="Y344" s="338"/>
      <c r="Z344" s="338"/>
      <c r="AA344" s="338"/>
      <c r="AB344" s="338"/>
      <c r="AC344" s="338"/>
      <c r="AD344" s="338"/>
      <c r="AE344" s="338"/>
      <c r="AF344" s="338"/>
      <c r="AG344" s="338"/>
      <c r="AI344" s="376"/>
      <c r="AJ344" s="376"/>
    </row>
  </sheetData>
  <mergeCells count="15">
    <mergeCell ref="A1:AH1"/>
    <mergeCell ref="AB2:AD2"/>
    <mergeCell ref="F5:P5"/>
    <mergeCell ref="Q5:S5"/>
    <mergeCell ref="T5:AA5"/>
    <mergeCell ref="AB5:AG5"/>
    <mergeCell ref="A72:C72"/>
    <mergeCell ref="A73:C73"/>
    <mergeCell ref="A5:A6"/>
    <mergeCell ref="B5:B6"/>
    <mergeCell ref="C5:C6"/>
    <mergeCell ref="D5:D6"/>
    <mergeCell ref="E5:E6"/>
    <mergeCell ref="AH5:AH6"/>
    <mergeCell ref="AI5:AI6"/>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49"/>
  <sheetViews>
    <sheetView workbookViewId="0">
      <pane xSplit="3" ySplit="36" topLeftCell="D37" activePane="bottomRight" state="frozen"/>
      <selection/>
      <selection pane="topRight"/>
      <selection pane="bottomLeft"/>
      <selection pane="bottomRight" activeCell="A1" sqref="A1:AI1"/>
    </sheetView>
  </sheetViews>
  <sheetFormatPr defaultColWidth="9" defaultRowHeight="16.8"/>
  <cols>
    <col min="1" max="1" width="7.44230769230769" customWidth="1"/>
    <col min="2" max="2" width="10.1057692307692" customWidth="1"/>
    <col min="3" max="3" width="8" customWidth="1"/>
    <col min="4" max="4" width="41.8846153846154" customWidth="1"/>
    <col min="5" max="5" width="15.6634615384615" customWidth="1"/>
    <col min="6" max="6" width="9.44230769230769" customWidth="1"/>
    <col min="7" max="7" width="8.88461538461539" customWidth="1"/>
    <col min="8" max="8" width="7.66346153846154" customWidth="1"/>
    <col min="9" max="9" width="8" customWidth="1"/>
    <col min="10" max="10" width="9" customWidth="1"/>
    <col min="11" max="11" width="7.88461538461539" customWidth="1"/>
    <col min="13" max="13" width="10.6634615384615" customWidth="1"/>
    <col min="14" max="14" width="8.10576923076923" customWidth="1"/>
    <col min="15" max="15" width="12.4423076923077" customWidth="1"/>
    <col min="16" max="16" width="10.3365384615385" customWidth="1"/>
    <col min="17" max="17" width="8.10576923076923" customWidth="1"/>
    <col min="20" max="20" width="9.66346153846154" customWidth="1"/>
    <col min="21" max="21" width="9" customWidth="1"/>
    <col min="22" max="22" width="8.10576923076923" customWidth="1"/>
    <col min="25" max="26" width="10.6634615384615" customWidth="1"/>
    <col min="27" max="27" width="10" customWidth="1"/>
    <col min="28" max="28" width="10.3365384615385" customWidth="1"/>
    <col min="30" max="30" width="9.88461538461538" customWidth="1"/>
    <col min="31" max="31" width="8.88461538461539" customWidth="1"/>
    <col min="32" max="32" width="6.66346153846154" customWidth="1"/>
    <col min="33" max="33" width="11.8846153846154" customWidth="1"/>
    <col min="34" max="34" width="10.8846153846154" customWidth="1"/>
    <col min="35" max="35" width="5.33653846153846" customWidth="1"/>
    <col min="36" max="36" width="9" customWidth="1"/>
    <col min="37" max="37" width="10.3365384615385" customWidth="1"/>
    <col min="44" max="44" width="10.3365384615385" customWidth="1"/>
  </cols>
  <sheetData>
    <row r="1" ht="19.5" customHeight="1" spans="1:43">
      <c r="A1" s="285" t="s">
        <v>2917</v>
      </c>
      <c r="AJ1" s="286"/>
      <c r="AK1" s="287"/>
      <c r="AL1" s="287"/>
      <c r="AM1" s="287"/>
      <c r="AN1" s="287"/>
      <c r="AO1" s="287"/>
      <c r="AP1" s="287"/>
      <c r="AQ1" s="287"/>
    </row>
    <row r="2" ht="11.25" customHeight="1" spans="1:43">
      <c r="A2" s="288" t="s">
        <v>3012</v>
      </c>
      <c r="B2" s="289"/>
      <c r="C2" s="290"/>
      <c r="D2" s="291"/>
      <c r="E2" s="292"/>
      <c r="F2" s="293"/>
      <c r="G2" s="293"/>
      <c r="H2" s="293"/>
      <c r="I2" s="293"/>
      <c r="J2" s="294"/>
      <c r="K2" s="295"/>
      <c r="L2" s="295"/>
      <c r="M2" s="295"/>
      <c r="N2" s="295"/>
      <c r="O2" s="295"/>
      <c r="P2" s="293"/>
      <c r="Q2" s="293"/>
      <c r="R2" s="293"/>
      <c r="S2" s="293"/>
      <c r="T2" s="293"/>
      <c r="U2" s="295"/>
      <c r="V2" s="294"/>
      <c r="W2" s="294"/>
      <c r="X2" s="294"/>
      <c r="Y2" s="294"/>
      <c r="Z2" s="294"/>
      <c r="AA2" s="294"/>
      <c r="AB2" s="295"/>
      <c r="AE2" s="295"/>
      <c r="AF2" s="295"/>
      <c r="AG2" s="295"/>
      <c r="AH2" s="293"/>
      <c r="AI2" s="293"/>
      <c r="AJ2" s="293"/>
      <c r="AK2" s="290"/>
      <c r="AL2" s="290"/>
      <c r="AM2" s="290"/>
      <c r="AN2" s="290"/>
      <c r="AO2" s="290"/>
      <c r="AP2" s="290"/>
      <c r="AQ2" s="290"/>
    </row>
    <row r="3" ht="13.65" customHeight="1" spans="1:43">
      <c r="A3" s="296" t="s">
        <v>3013</v>
      </c>
      <c r="B3" s="290"/>
      <c r="C3" s="290"/>
      <c r="D3" s="291"/>
      <c r="E3" s="292"/>
      <c r="F3" s="293"/>
      <c r="G3" s="293"/>
      <c r="H3" s="293"/>
      <c r="I3" s="293"/>
      <c r="J3" s="294"/>
      <c r="K3" s="295"/>
      <c r="L3" s="295"/>
      <c r="M3" s="295"/>
      <c r="N3" s="295"/>
      <c r="O3" s="295"/>
      <c r="P3" s="294"/>
      <c r="Q3" s="294"/>
      <c r="R3" s="294"/>
      <c r="S3" s="294"/>
      <c r="T3" s="294"/>
      <c r="U3" s="295"/>
      <c r="V3" s="294"/>
      <c r="W3" s="294"/>
      <c r="X3" s="294"/>
      <c r="Y3" s="294"/>
      <c r="Z3" s="294"/>
      <c r="AA3" s="294"/>
      <c r="AB3" s="295"/>
      <c r="AC3" s="295"/>
      <c r="AD3" s="295"/>
      <c r="AE3" s="295"/>
      <c r="AF3" s="295"/>
      <c r="AG3" s="295"/>
      <c r="AH3" s="293"/>
      <c r="AI3" s="293"/>
      <c r="AJ3" s="293"/>
      <c r="AK3" s="290"/>
      <c r="AL3" s="290"/>
      <c r="AM3" s="290"/>
      <c r="AN3" s="290"/>
      <c r="AO3" s="290"/>
      <c r="AP3" s="290"/>
      <c r="AQ3" s="290"/>
    </row>
    <row r="4" ht="11.4" customHeight="1" spans="1:43">
      <c r="A4" s="297" t="s">
        <v>3014</v>
      </c>
      <c r="B4" s="290"/>
      <c r="C4" s="290"/>
      <c r="D4" s="291"/>
      <c r="E4" s="292"/>
      <c r="F4" s="293"/>
      <c r="G4" s="293"/>
      <c r="H4" s="293"/>
      <c r="I4" s="293"/>
      <c r="J4" s="294"/>
      <c r="K4" s="295"/>
      <c r="L4" s="295"/>
      <c r="M4" s="295"/>
      <c r="N4" s="295"/>
      <c r="O4" s="295"/>
      <c r="P4" s="294"/>
      <c r="Q4" s="294"/>
      <c r="R4" s="294"/>
      <c r="S4" s="294"/>
      <c r="T4" s="294"/>
      <c r="U4" s="295"/>
      <c r="V4" s="294"/>
      <c r="W4" s="294"/>
      <c r="X4" s="294"/>
      <c r="Y4" s="294"/>
      <c r="Z4" s="294"/>
      <c r="AA4" s="294"/>
      <c r="AB4" s="295"/>
      <c r="AC4" s="295"/>
      <c r="AD4" s="295"/>
      <c r="AE4" s="295"/>
      <c r="AF4" s="295"/>
      <c r="AG4" s="295"/>
      <c r="AH4" s="298" t="s">
        <v>2921</v>
      </c>
      <c r="AI4" s="293"/>
      <c r="AJ4" s="299"/>
      <c r="AK4" s="290"/>
      <c r="AL4" s="290"/>
      <c r="AM4" s="290"/>
      <c r="AN4" s="290"/>
      <c r="AO4" s="290"/>
      <c r="AP4" s="290"/>
      <c r="AQ4" s="290"/>
    </row>
    <row r="5" ht="11.4" customHeight="1" spans="1:43">
      <c r="A5" s="300" t="s">
        <v>303</v>
      </c>
      <c r="B5" s="301" t="s">
        <v>12</v>
      </c>
      <c r="C5" s="300" t="s">
        <v>143</v>
      </c>
      <c r="D5" s="301" t="s">
        <v>2922</v>
      </c>
      <c r="E5" s="300" t="s">
        <v>2923</v>
      </c>
      <c r="F5" s="302" t="s">
        <v>2924</v>
      </c>
      <c r="G5" s="192"/>
      <c r="H5" s="192"/>
      <c r="I5" s="192"/>
      <c r="J5" s="192"/>
      <c r="K5" s="192"/>
      <c r="L5" s="192"/>
      <c r="M5" s="192"/>
      <c r="N5" s="192"/>
      <c r="O5" s="192"/>
      <c r="P5" s="193"/>
      <c r="Q5" s="302" t="s">
        <v>2925</v>
      </c>
      <c r="R5" s="192"/>
      <c r="S5" s="193"/>
      <c r="T5" s="302" t="s">
        <v>2926</v>
      </c>
      <c r="U5" s="192"/>
      <c r="V5" s="192"/>
      <c r="W5" s="192"/>
      <c r="X5" s="192"/>
      <c r="Y5" s="192"/>
      <c r="Z5" s="192"/>
      <c r="AA5" s="193"/>
      <c r="AB5" s="302" t="s">
        <v>2927</v>
      </c>
      <c r="AC5" s="192"/>
      <c r="AD5" s="192"/>
      <c r="AE5" s="192"/>
      <c r="AF5" s="192"/>
      <c r="AG5" s="193"/>
      <c r="AH5" s="302" t="s">
        <v>2928</v>
      </c>
      <c r="AI5" s="302" t="s">
        <v>310</v>
      </c>
      <c r="AJ5" s="302" t="s">
        <v>3015</v>
      </c>
      <c r="AK5" s="290"/>
      <c r="AL5" s="290"/>
      <c r="AM5" s="290"/>
      <c r="AN5" s="290"/>
      <c r="AO5" s="290"/>
      <c r="AP5" s="290"/>
      <c r="AQ5" s="290"/>
    </row>
    <row r="6" ht="36.75" customHeight="1" spans="1:43">
      <c r="A6" s="195"/>
      <c r="B6" s="195"/>
      <c r="C6" s="195"/>
      <c r="D6" s="195"/>
      <c r="E6" s="195"/>
      <c r="F6" s="303" t="s">
        <v>436</v>
      </c>
      <c r="G6" s="303" t="s">
        <v>831</v>
      </c>
      <c r="H6" s="303" t="s">
        <v>2929</v>
      </c>
      <c r="I6" s="303" t="s">
        <v>3016</v>
      </c>
      <c r="J6" s="303" t="s">
        <v>2931</v>
      </c>
      <c r="K6" s="303" t="s">
        <v>2932</v>
      </c>
      <c r="L6" s="303" t="s">
        <v>2933</v>
      </c>
      <c r="M6" s="303" t="s">
        <v>2934</v>
      </c>
      <c r="N6" s="303" t="s">
        <v>2935</v>
      </c>
      <c r="O6" s="303" t="s">
        <v>2936</v>
      </c>
      <c r="P6" s="303" t="s">
        <v>2937</v>
      </c>
      <c r="Q6" s="303" t="s">
        <v>374</v>
      </c>
      <c r="R6" s="304"/>
      <c r="S6" s="303" t="s">
        <v>2940</v>
      </c>
      <c r="T6" s="303" t="s">
        <v>2941</v>
      </c>
      <c r="U6" s="305" t="s">
        <v>2942</v>
      </c>
      <c r="V6" s="303" t="s">
        <v>2943</v>
      </c>
      <c r="W6" s="303" t="s">
        <v>2944</v>
      </c>
      <c r="X6" s="303" t="s">
        <v>2945</v>
      </c>
      <c r="Y6" s="303" t="s">
        <v>2946</v>
      </c>
      <c r="Z6" s="303" t="s">
        <v>3017</v>
      </c>
      <c r="AA6" s="305" t="s">
        <v>2948</v>
      </c>
      <c r="AB6" s="306" t="s">
        <v>2949</v>
      </c>
      <c r="AC6" s="306" t="s">
        <v>2950</v>
      </c>
      <c r="AD6" s="305" t="s">
        <v>3018</v>
      </c>
      <c r="AE6" s="305" t="s">
        <v>2951</v>
      </c>
      <c r="AF6" s="305" t="s">
        <v>3019</v>
      </c>
      <c r="AG6" s="305" t="s">
        <v>2953</v>
      </c>
      <c r="AH6" s="195"/>
      <c r="AI6" s="195"/>
      <c r="AJ6" s="195"/>
      <c r="AK6" s="290"/>
      <c r="AL6" s="290"/>
      <c r="AM6" s="290"/>
      <c r="AN6" s="290"/>
      <c r="AO6" s="290"/>
      <c r="AP6" s="290"/>
      <c r="AQ6" s="290"/>
    </row>
    <row r="7" ht="18" customHeight="1" spans="1:43">
      <c r="A7" s="307"/>
      <c r="B7" s="308" t="s">
        <v>2895</v>
      </c>
      <c r="C7" s="309" t="s">
        <v>208</v>
      </c>
      <c r="D7" s="301"/>
      <c r="E7" s="309" t="s">
        <v>3020</v>
      </c>
      <c r="F7" s="310"/>
      <c r="G7" s="310"/>
      <c r="H7" s="310"/>
      <c r="I7" s="310"/>
      <c r="J7" s="310"/>
      <c r="K7" s="310"/>
      <c r="L7" s="310"/>
      <c r="M7" s="311"/>
      <c r="N7" s="312"/>
      <c r="O7" s="312"/>
      <c r="P7" s="312"/>
      <c r="Q7" s="312"/>
      <c r="R7" s="312"/>
      <c r="S7" s="312"/>
      <c r="T7" s="312"/>
      <c r="U7" s="312"/>
      <c r="V7" s="312"/>
      <c r="W7" s="312"/>
      <c r="X7" s="312"/>
      <c r="Y7" s="312"/>
      <c r="Z7" s="312"/>
      <c r="AA7" s="312"/>
      <c r="AB7" s="312"/>
      <c r="AC7" s="312"/>
      <c r="AD7" s="312"/>
      <c r="AE7" s="312"/>
      <c r="AF7" s="312"/>
      <c r="AG7" s="312"/>
      <c r="AH7" s="312"/>
      <c r="AI7" s="312"/>
      <c r="AJ7" s="312"/>
      <c r="AK7" s="313"/>
      <c r="AL7" s="313"/>
      <c r="AM7" s="313"/>
      <c r="AN7" s="313"/>
      <c r="AO7" s="313"/>
      <c r="AP7" s="313"/>
      <c r="AQ7" s="313"/>
    </row>
    <row r="8" ht="18" customHeight="1" spans="1:43">
      <c r="A8" s="307"/>
      <c r="B8" s="195"/>
      <c r="C8" s="309" t="s">
        <v>1132</v>
      </c>
      <c r="D8" s="301" t="s">
        <v>3021</v>
      </c>
      <c r="E8" s="309" t="s">
        <v>3022</v>
      </c>
      <c r="F8" s="310"/>
      <c r="G8" s="310"/>
      <c r="H8" s="310"/>
      <c r="I8" s="310"/>
      <c r="J8" s="310"/>
      <c r="K8" s="310"/>
      <c r="L8" s="310"/>
      <c r="M8" s="311"/>
      <c r="N8" s="312"/>
      <c r="O8" s="312"/>
      <c r="P8" s="312"/>
      <c r="Q8" s="312"/>
      <c r="R8" s="312"/>
      <c r="S8" s="312"/>
      <c r="T8" s="312"/>
      <c r="U8" s="312"/>
      <c r="V8" s="312"/>
      <c r="W8" s="312"/>
      <c r="X8" s="312"/>
      <c r="Y8" s="312"/>
      <c r="Z8" s="312"/>
      <c r="AA8" s="312"/>
      <c r="AB8" s="312"/>
      <c r="AC8" s="312"/>
      <c r="AD8" s="312"/>
      <c r="AE8" s="312"/>
      <c r="AF8" s="312"/>
      <c r="AG8" s="312"/>
      <c r="AH8" s="312"/>
      <c r="AI8" s="312"/>
      <c r="AJ8" s="312"/>
      <c r="AK8" s="313"/>
      <c r="AL8" s="313"/>
      <c r="AM8" s="313"/>
      <c r="AN8" s="313"/>
      <c r="AO8" s="313"/>
      <c r="AP8" s="313"/>
      <c r="AQ8" s="313"/>
    </row>
    <row r="9" ht="18" customHeight="1" spans="1:43">
      <c r="A9" s="307"/>
      <c r="B9" s="314" t="s">
        <v>3023</v>
      </c>
      <c r="C9" s="309" t="s">
        <v>907</v>
      </c>
      <c r="D9" s="301"/>
      <c r="E9" s="309" t="s">
        <v>1137</v>
      </c>
      <c r="F9" s="310"/>
      <c r="G9" s="310"/>
      <c r="H9" s="310"/>
      <c r="I9" s="310"/>
      <c r="J9" s="310"/>
      <c r="K9" s="310"/>
      <c r="L9" s="310"/>
      <c r="M9" s="315"/>
      <c r="N9" s="312"/>
      <c r="O9" s="312"/>
      <c r="P9" s="312"/>
      <c r="Q9" s="312"/>
      <c r="R9" s="312"/>
      <c r="S9" s="312"/>
      <c r="T9" s="312"/>
      <c r="U9" s="312"/>
      <c r="V9" s="312"/>
      <c r="W9" s="312"/>
      <c r="X9" s="312"/>
      <c r="Y9" s="312"/>
      <c r="Z9" s="312"/>
      <c r="AA9" s="312"/>
      <c r="AB9" s="312"/>
      <c r="AC9" s="312"/>
      <c r="AD9" s="312"/>
      <c r="AE9" s="312"/>
      <c r="AF9" s="312"/>
      <c r="AG9" s="312"/>
      <c r="AH9" s="312"/>
      <c r="AI9" s="312"/>
      <c r="AJ9" s="312"/>
      <c r="AK9" s="313"/>
      <c r="AL9" s="313"/>
      <c r="AM9" s="313"/>
      <c r="AN9" s="313"/>
      <c r="AO9" s="313"/>
      <c r="AP9" s="313"/>
      <c r="AQ9" s="313"/>
    </row>
    <row r="10" ht="18" customHeight="1" spans="1:43">
      <c r="A10" s="307"/>
      <c r="B10" s="316" t="s">
        <v>667</v>
      </c>
      <c r="C10" s="309" t="s">
        <v>261</v>
      </c>
      <c r="D10" s="301"/>
      <c r="E10" s="309" t="s">
        <v>3024</v>
      </c>
      <c r="F10" s="310"/>
      <c r="G10" s="310"/>
      <c r="H10" s="310"/>
      <c r="I10" s="310"/>
      <c r="J10" s="310"/>
      <c r="K10" s="310"/>
      <c r="L10" s="310"/>
      <c r="M10" s="315"/>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3"/>
      <c r="AL10" s="313"/>
      <c r="AM10" s="313"/>
      <c r="AN10" s="313"/>
      <c r="AO10" s="313"/>
      <c r="AP10" s="313"/>
      <c r="AQ10" s="313"/>
    </row>
    <row r="11" ht="21.15" customHeight="1" spans="1:43">
      <c r="A11" s="307"/>
      <c r="B11" s="317"/>
      <c r="C11" s="309" t="s">
        <v>3025</v>
      </c>
      <c r="D11" s="301"/>
      <c r="E11" s="309" t="s">
        <v>3026</v>
      </c>
      <c r="F11" s="310"/>
      <c r="G11" s="310"/>
      <c r="H11" s="310"/>
      <c r="I11" s="310"/>
      <c r="J11" s="310"/>
      <c r="K11" s="310"/>
      <c r="L11" s="310"/>
      <c r="M11" s="315"/>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3"/>
      <c r="AL11" s="313"/>
      <c r="AM11" s="313"/>
      <c r="AN11" s="313"/>
      <c r="AO11" s="313"/>
      <c r="AP11" s="313"/>
      <c r="AQ11" s="313"/>
    </row>
    <row r="12" ht="22.65" customHeight="1" spans="1:43">
      <c r="A12" s="307"/>
      <c r="B12" s="317"/>
      <c r="C12" s="309" t="s">
        <v>260</v>
      </c>
      <c r="D12" s="301"/>
      <c r="E12" s="309" t="s">
        <v>11</v>
      </c>
      <c r="F12" s="310"/>
      <c r="G12" s="310"/>
      <c r="H12" s="310"/>
      <c r="I12" s="310"/>
      <c r="J12" s="310"/>
      <c r="K12" s="310"/>
      <c r="L12" s="310"/>
      <c r="M12" s="315"/>
      <c r="N12" s="310"/>
      <c r="O12" s="310"/>
      <c r="P12" s="312"/>
      <c r="Q12" s="310"/>
      <c r="R12" s="310"/>
      <c r="S12" s="310"/>
      <c r="T12" s="312"/>
      <c r="U12" s="312"/>
      <c r="V12" s="312"/>
      <c r="W12" s="312"/>
      <c r="X12" s="312"/>
      <c r="Y12" s="312"/>
      <c r="Z12" s="312"/>
      <c r="AA12" s="312"/>
      <c r="AB12" s="312"/>
      <c r="AC12" s="312"/>
      <c r="AD12" s="312"/>
      <c r="AE12" s="310"/>
      <c r="AF12" s="310"/>
      <c r="AG12" s="312"/>
      <c r="AH12" s="312"/>
      <c r="AI12" s="310"/>
      <c r="AJ12" s="310"/>
      <c r="AK12" s="292"/>
      <c r="AL12" s="292"/>
      <c r="AM12" s="292"/>
      <c r="AN12" s="292"/>
      <c r="AO12" s="292"/>
      <c r="AP12" s="292"/>
      <c r="AQ12" s="292"/>
    </row>
    <row r="13" ht="22.65" customHeight="1" spans="1:43">
      <c r="A13" s="307"/>
      <c r="B13" s="317"/>
      <c r="C13" s="309" t="s">
        <v>256</v>
      </c>
      <c r="D13" s="301"/>
      <c r="E13" s="309" t="s">
        <v>11</v>
      </c>
      <c r="F13" s="310"/>
      <c r="G13" s="310"/>
      <c r="H13" s="310"/>
      <c r="I13" s="310"/>
      <c r="J13" s="310"/>
      <c r="K13" s="310"/>
      <c r="L13" s="310"/>
      <c r="M13" s="315"/>
      <c r="N13" s="310"/>
      <c r="O13" s="310"/>
      <c r="P13" s="312"/>
      <c r="Q13" s="310"/>
      <c r="R13" s="310"/>
      <c r="S13" s="310"/>
      <c r="T13" s="312"/>
      <c r="U13" s="312"/>
      <c r="V13" s="312"/>
      <c r="W13" s="312"/>
      <c r="X13" s="312"/>
      <c r="Y13" s="312"/>
      <c r="Z13" s="312"/>
      <c r="AA13" s="312"/>
      <c r="AB13" s="312"/>
      <c r="AC13" s="312"/>
      <c r="AD13" s="312"/>
      <c r="AE13" s="310"/>
      <c r="AF13" s="310"/>
      <c r="AG13" s="312"/>
      <c r="AH13" s="312"/>
      <c r="AI13" s="310"/>
      <c r="AJ13" s="310"/>
      <c r="AK13" s="292"/>
      <c r="AL13" s="292"/>
      <c r="AM13" s="292"/>
      <c r="AN13" s="292"/>
      <c r="AO13" s="292"/>
      <c r="AP13" s="292"/>
      <c r="AQ13" s="292"/>
    </row>
    <row r="14" ht="22.65" customHeight="1" spans="1:43">
      <c r="A14" s="307"/>
      <c r="B14" s="317"/>
      <c r="C14" s="309" t="s">
        <v>258</v>
      </c>
      <c r="D14" s="301"/>
      <c r="E14" s="309" t="s">
        <v>11</v>
      </c>
      <c r="F14" s="310"/>
      <c r="G14" s="310"/>
      <c r="H14" s="310"/>
      <c r="I14" s="310"/>
      <c r="J14" s="310"/>
      <c r="K14" s="310"/>
      <c r="L14" s="310"/>
      <c r="M14" s="315"/>
      <c r="N14" s="310"/>
      <c r="O14" s="310"/>
      <c r="P14" s="312"/>
      <c r="Q14" s="310"/>
      <c r="R14" s="310"/>
      <c r="S14" s="310"/>
      <c r="T14" s="312"/>
      <c r="U14" s="312"/>
      <c r="V14" s="312"/>
      <c r="W14" s="312"/>
      <c r="X14" s="312"/>
      <c r="Y14" s="312"/>
      <c r="Z14" s="312"/>
      <c r="AA14" s="312"/>
      <c r="AB14" s="312"/>
      <c r="AC14" s="312"/>
      <c r="AD14" s="312"/>
      <c r="AE14" s="310"/>
      <c r="AF14" s="310"/>
      <c r="AG14" s="312"/>
      <c r="AH14" s="312"/>
      <c r="AI14" s="310"/>
      <c r="AJ14" s="310"/>
      <c r="AK14" s="292"/>
      <c r="AL14" s="292"/>
      <c r="AM14" s="292"/>
      <c r="AN14" s="292"/>
      <c r="AO14" s="292"/>
      <c r="AP14" s="292"/>
      <c r="AQ14" s="292"/>
    </row>
    <row r="15" ht="22.65" customHeight="1" spans="1:43">
      <c r="A15" s="307"/>
      <c r="B15" s="317"/>
      <c r="C15" s="309" t="s">
        <v>257</v>
      </c>
      <c r="D15" s="301"/>
      <c r="E15" s="309" t="s">
        <v>11</v>
      </c>
      <c r="F15" s="310"/>
      <c r="G15" s="310"/>
      <c r="H15" s="310"/>
      <c r="I15" s="310"/>
      <c r="J15" s="310"/>
      <c r="K15" s="310"/>
      <c r="L15" s="310"/>
      <c r="M15" s="315"/>
      <c r="N15" s="310"/>
      <c r="O15" s="310"/>
      <c r="P15" s="312"/>
      <c r="Q15" s="310"/>
      <c r="R15" s="310"/>
      <c r="S15" s="310"/>
      <c r="T15" s="312"/>
      <c r="U15" s="312"/>
      <c r="V15" s="312"/>
      <c r="W15" s="312"/>
      <c r="X15" s="312"/>
      <c r="Y15" s="312"/>
      <c r="Z15" s="312"/>
      <c r="AA15" s="312"/>
      <c r="AB15" s="312"/>
      <c r="AC15" s="312"/>
      <c r="AD15" s="312"/>
      <c r="AE15" s="310"/>
      <c r="AF15" s="310"/>
      <c r="AG15" s="312"/>
      <c r="AH15" s="312"/>
      <c r="AI15" s="310"/>
      <c r="AJ15" s="310"/>
      <c r="AK15" s="292"/>
      <c r="AL15" s="292"/>
      <c r="AM15" s="292"/>
      <c r="AN15" s="292"/>
      <c r="AO15" s="292"/>
      <c r="AP15" s="292"/>
      <c r="AQ15" s="292"/>
    </row>
    <row r="16" ht="22.65" customHeight="1" spans="1:43">
      <c r="A16" s="307"/>
      <c r="B16" s="317"/>
      <c r="C16" s="309" t="s">
        <v>259</v>
      </c>
      <c r="D16" s="301"/>
      <c r="E16" s="309" t="s">
        <v>11</v>
      </c>
      <c r="F16" s="310"/>
      <c r="G16" s="310"/>
      <c r="H16" s="310"/>
      <c r="I16" s="310"/>
      <c r="J16" s="310"/>
      <c r="K16" s="310"/>
      <c r="L16" s="310"/>
      <c r="M16" s="315"/>
      <c r="N16" s="310"/>
      <c r="O16" s="310"/>
      <c r="P16" s="312"/>
      <c r="Q16" s="310"/>
      <c r="R16" s="310"/>
      <c r="S16" s="310"/>
      <c r="T16" s="312"/>
      <c r="U16" s="312"/>
      <c r="V16" s="312"/>
      <c r="W16" s="312"/>
      <c r="X16" s="312"/>
      <c r="Y16" s="312"/>
      <c r="Z16" s="312"/>
      <c r="AA16" s="312"/>
      <c r="AB16" s="312"/>
      <c r="AC16" s="312"/>
      <c r="AD16" s="312"/>
      <c r="AE16" s="310"/>
      <c r="AF16" s="310"/>
      <c r="AG16" s="312"/>
      <c r="AH16" s="312"/>
      <c r="AI16" s="310"/>
      <c r="AJ16" s="310"/>
      <c r="AK16" s="292"/>
      <c r="AL16" s="292"/>
      <c r="AM16" s="292"/>
      <c r="AN16" s="292"/>
      <c r="AO16" s="292"/>
      <c r="AP16" s="292"/>
      <c r="AQ16" s="292"/>
    </row>
    <row r="17" ht="18" customHeight="1" spans="1:43">
      <c r="A17" s="307"/>
      <c r="B17" s="318" t="s">
        <v>660</v>
      </c>
      <c r="C17" s="309" t="s">
        <v>248</v>
      </c>
      <c r="D17" s="301"/>
      <c r="E17" s="309" t="s">
        <v>3027</v>
      </c>
      <c r="F17" s="310"/>
      <c r="G17" s="310"/>
      <c r="H17" s="310"/>
      <c r="I17" s="310"/>
      <c r="J17" s="310"/>
      <c r="K17" s="310"/>
      <c r="L17" s="310"/>
      <c r="M17" s="315"/>
      <c r="N17" s="310"/>
      <c r="O17" s="310"/>
      <c r="P17" s="312"/>
      <c r="Q17" s="310"/>
      <c r="R17" s="310"/>
      <c r="S17" s="310"/>
      <c r="T17" s="312"/>
      <c r="U17" s="312"/>
      <c r="V17" s="312"/>
      <c r="W17" s="312"/>
      <c r="X17" s="312"/>
      <c r="Y17" s="312"/>
      <c r="Z17" s="312"/>
      <c r="AA17" s="312"/>
      <c r="AB17" s="312"/>
      <c r="AC17" s="312"/>
      <c r="AD17" s="312"/>
      <c r="AE17" s="310"/>
      <c r="AF17" s="310"/>
      <c r="AG17" s="312"/>
      <c r="AH17" s="312"/>
      <c r="AI17" s="310"/>
      <c r="AJ17" s="310"/>
      <c r="AK17" s="292"/>
      <c r="AL17" s="292"/>
      <c r="AM17" s="292"/>
      <c r="AN17" s="292"/>
      <c r="AO17" s="292"/>
      <c r="AP17" s="292"/>
      <c r="AQ17" s="292"/>
    </row>
    <row r="18" ht="18" customHeight="1" spans="1:43">
      <c r="A18" s="307"/>
      <c r="B18" s="317"/>
      <c r="C18" s="309" t="s">
        <v>241</v>
      </c>
      <c r="D18" s="301"/>
      <c r="E18" s="309" t="s">
        <v>11</v>
      </c>
      <c r="F18" s="310"/>
      <c r="G18" s="310"/>
      <c r="H18" s="310"/>
      <c r="I18" s="310"/>
      <c r="J18" s="310"/>
      <c r="K18" s="310"/>
      <c r="L18" s="310"/>
      <c r="M18" s="315"/>
      <c r="N18" s="310"/>
      <c r="O18" s="310"/>
      <c r="P18" s="312"/>
      <c r="Q18" s="310"/>
      <c r="R18" s="310"/>
      <c r="S18" s="310"/>
      <c r="T18" s="312"/>
      <c r="U18" s="312"/>
      <c r="V18" s="312"/>
      <c r="W18" s="312"/>
      <c r="X18" s="312"/>
      <c r="Y18" s="312"/>
      <c r="Z18" s="312"/>
      <c r="AA18" s="312"/>
      <c r="AB18" s="312"/>
      <c r="AC18" s="312"/>
      <c r="AD18" s="312"/>
      <c r="AE18" s="310"/>
      <c r="AF18" s="310"/>
      <c r="AG18" s="312"/>
      <c r="AH18" s="312"/>
      <c r="AI18" s="310"/>
      <c r="AJ18" s="310"/>
      <c r="AK18" s="292"/>
      <c r="AL18" s="292"/>
      <c r="AM18" s="292"/>
      <c r="AN18" s="292"/>
      <c r="AO18" s="292"/>
      <c r="AP18" s="292"/>
      <c r="AQ18" s="292"/>
    </row>
    <row r="19" ht="18" customHeight="1" spans="1:43">
      <c r="A19" s="307"/>
      <c r="B19" s="317"/>
      <c r="C19" s="309" t="s">
        <v>242</v>
      </c>
      <c r="D19" s="301"/>
      <c r="E19" s="309" t="s">
        <v>11</v>
      </c>
      <c r="F19" s="310"/>
      <c r="G19" s="310"/>
      <c r="H19" s="310"/>
      <c r="I19" s="310"/>
      <c r="J19" s="310"/>
      <c r="K19" s="310"/>
      <c r="L19" s="310"/>
      <c r="M19" s="315"/>
      <c r="N19" s="310"/>
      <c r="O19" s="310"/>
      <c r="P19" s="312"/>
      <c r="Q19" s="310"/>
      <c r="R19" s="310"/>
      <c r="S19" s="310"/>
      <c r="T19" s="312"/>
      <c r="U19" s="312"/>
      <c r="V19" s="312"/>
      <c r="W19" s="312"/>
      <c r="X19" s="312"/>
      <c r="Y19" s="312"/>
      <c r="Z19" s="312"/>
      <c r="AA19" s="312"/>
      <c r="AB19" s="312"/>
      <c r="AC19" s="312"/>
      <c r="AD19" s="312"/>
      <c r="AE19" s="310"/>
      <c r="AF19" s="310"/>
      <c r="AG19" s="312"/>
      <c r="AH19" s="312"/>
      <c r="AI19" s="310"/>
      <c r="AJ19" s="310"/>
      <c r="AK19" s="292"/>
      <c r="AL19" s="292"/>
      <c r="AM19" s="292"/>
      <c r="AN19" s="292"/>
      <c r="AO19" s="292"/>
      <c r="AP19" s="292"/>
      <c r="AQ19" s="292"/>
    </row>
    <row r="20" ht="18" customHeight="1" spans="1:43">
      <c r="A20" s="307"/>
      <c r="B20" s="317"/>
      <c r="C20" s="309" t="s">
        <v>243</v>
      </c>
      <c r="D20" s="301"/>
      <c r="E20" s="309" t="s">
        <v>11</v>
      </c>
      <c r="F20" s="310"/>
      <c r="G20" s="310"/>
      <c r="H20" s="310"/>
      <c r="I20" s="310"/>
      <c r="J20" s="310"/>
      <c r="K20" s="310"/>
      <c r="L20" s="310"/>
      <c r="M20" s="315"/>
      <c r="N20" s="310"/>
      <c r="O20" s="310"/>
      <c r="P20" s="312"/>
      <c r="Q20" s="310"/>
      <c r="R20" s="310"/>
      <c r="S20" s="310"/>
      <c r="T20" s="312"/>
      <c r="U20" s="312"/>
      <c r="V20" s="312"/>
      <c r="W20" s="312"/>
      <c r="X20" s="312"/>
      <c r="Y20" s="312"/>
      <c r="Z20" s="312"/>
      <c r="AA20" s="312"/>
      <c r="AB20" s="312"/>
      <c r="AC20" s="312"/>
      <c r="AD20" s="312"/>
      <c r="AE20" s="310"/>
      <c r="AF20" s="310"/>
      <c r="AG20" s="312"/>
      <c r="AH20" s="312"/>
      <c r="AI20" s="310"/>
      <c r="AJ20" s="310"/>
      <c r="AK20" s="292"/>
      <c r="AL20" s="292"/>
      <c r="AM20" s="292"/>
      <c r="AN20" s="292"/>
      <c r="AO20" s="292"/>
      <c r="AP20" s="292"/>
      <c r="AQ20" s="292"/>
    </row>
    <row r="21" ht="18" customHeight="1" spans="1:43">
      <c r="A21" s="307"/>
      <c r="B21" s="317"/>
      <c r="C21" s="309" t="s">
        <v>245</v>
      </c>
      <c r="D21" s="301"/>
      <c r="E21" s="309" t="s">
        <v>11</v>
      </c>
      <c r="F21" s="310"/>
      <c r="G21" s="310"/>
      <c r="H21" s="310"/>
      <c r="I21" s="310"/>
      <c r="J21" s="310"/>
      <c r="K21" s="310"/>
      <c r="L21" s="310"/>
      <c r="M21" s="315"/>
      <c r="N21" s="310"/>
      <c r="O21" s="310"/>
      <c r="P21" s="312"/>
      <c r="Q21" s="310"/>
      <c r="R21" s="310"/>
      <c r="S21" s="310"/>
      <c r="T21" s="312"/>
      <c r="U21" s="312"/>
      <c r="V21" s="312"/>
      <c r="W21" s="312"/>
      <c r="X21" s="312"/>
      <c r="Y21" s="312"/>
      <c r="Z21" s="312"/>
      <c r="AA21" s="312"/>
      <c r="AB21" s="312"/>
      <c r="AC21" s="312"/>
      <c r="AD21" s="312"/>
      <c r="AE21" s="310"/>
      <c r="AF21" s="310"/>
      <c r="AG21" s="312"/>
      <c r="AH21" s="312"/>
      <c r="AI21" s="310"/>
      <c r="AJ21" s="310"/>
      <c r="AK21" s="292"/>
      <c r="AL21" s="292"/>
      <c r="AM21" s="292"/>
      <c r="AN21" s="292"/>
      <c r="AO21" s="292"/>
      <c r="AP21" s="292"/>
      <c r="AQ21" s="292"/>
    </row>
    <row r="22" ht="18" customHeight="1" spans="1:43">
      <c r="A22" s="307"/>
      <c r="B22" s="301" t="s">
        <v>249</v>
      </c>
      <c r="C22" s="309" t="s">
        <v>253</v>
      </c>
      <c r="D22" s="301" t="s">
        <v>2970</v>
      </c>
      <c r="E22" s="309" t="s">
        <v>3028</v>
      </c>
      <c r="F22" s="310"/>
      <c r="G22" s="310"/>
      <c r="H22" s="310"/>
      <c r="I22" s="310"/>
      <c r="J22" s="310"/>
      <c r="K22" s="310"/>
      <c r="L22" s="310"/>
      <c r="M22" s="315"/>
      <c r="N22" s="310"/>
      <c r="O22" s="310"/>
      <c r="P22" s="312"/>
      <c r="Q22" s="310"/>
      <c r="R22" s="310"/>
      <c r="S22" s="310"/>
      <c r="T22" s="312"/>
      <c r="U22" s="312"/>
      <c r="V22" s="312"/>
      <c r="W22" s="312"/>
      <c r="X22" s="312"/>
      <c r="Y22" s="312"/>
      <c r="Z22" s="312"/>
      <c r="AA22" s="312"/>
      <c r="AB22" s="312"/>
      <c r="AC22" s="312"/>
      <c r="AD22" s="312"/>
      <c r="AE22" s="310"/>
      <c r="AF22" s="310"/>
      <c r="AG22" s="312"/>
      <c r="AH22" s="312"/>
      <c r="AI22" s="310"/>
      <c r="AJ22" s="310"/>
      <c r="AK22" s="292"/>
      <c r="AL22" s="292"/>
      <c r="AM22" s="292"/>
      <c r="AN22" s="292"/>
      <c r="AO22" s="292"/>
      <c r="AP22" s="292"/>
      <c r="AQ22" s="292"/>
    </row>
    <row r="23" ht="18" customHeight="1" spans="1:43">
      <c r="A23" s="307"/>
      <c r="B23" s="317"/>
      <c r="C23" s="309" t="s">
        <v>250</v>
      </c>
      <c r="D23" s="301" t="s">
        <v>2970</v>
      </c>
      <c r="E23" s="309" t="s">
        <v>11</v>
      </c>
      <c r="F23" s="310"/>
      <c r="G23" s="310"/>
      <c r="H23" s="310"/>
      <c r="I23" s="310"/>
      <c r="J23" s="310"/>
      <c r="K23" s="310"/>
      <c r="L23" s="310"/>
      <c r="M23" s="315"/>
      <c r="N23" s="310"/>
      <c r="O23" s="310"/>
      <c r="P23" s="312"/>
      <c r="Q23" s="310"/>
      <c r="R23" s="310"/>
      <c r="S23" s="310"/>
      <c r="T23" s="312"/>
      <c r="U23" s="312"/>
      <c r="V23" s="312"/>
      <c r="W23" s="312"/>
      <c r="X23" s="312"/>
      <c r="Y23" s="312"/>
      <c r="Z23" s="312"/>
      <c r="AA23" s="312"/>
      <c r="AB23" s="312"/>
      <c r="AC23" s="312"/>
      <c r="AD23" s="312"/>
      <c r="AE23" s="310"/>
      <c r="AF23" s="310"/>
      <c r="AG23" s="312"/>
      <c r="AH23" s="312"/>
      <c r="AI23" s="310"/>
      <c r="AJ23" s="310"/>
      <c r="AK23" s="292"/>
      <c r="AL23" s="292"/>
      <c r="AM23" s="292"/>
      <c r="AN23" s="292"/>
      <c r="AO23" s="292"/>
      <c r="AP23" s="292"/>
      <c r="AQ23" s="292"/>
    </row>
    <row r="24" ht="18" customHeight="1" spans="1:43">
      <c r="A24" s="307"/>
      <c r="B24" s="317"/>
      <c r="C24" s="309" t="s">
        <v>251</v>
      </c>
      <c r="D24" s="301" t="s">
        <v>2970</v>
      </c>
      <c r="E24" s="309" t="s">
        <v>11</v>
      </c>
      <c r="F24" s="310"/>
      <c r="G24" s="310"/>
      <c r="H24" s="310"/>
      <c r="I24" s="310"/>
      <c r="J24" s="310"/>
      <c r="K24" s="310"/>
      <c r="L24" s="310"/>
      <c r="M24" s="315"/>
      <c r="N24" s="310"/>
      <c r="O24" s="310"/>
      <c r="P24" s="312"/>
      <c r="Q24" s="310"/>
      <c r="R24" s="310"/>
      <c r="S24" s="310"/>
      <c r="T24" s="312"/>
      <c r="U24" s="312"/>
      <c r="V24" s="312"/>
      <c r="W24" s="312"/>
      <c r="X24" s="312"/>
      <c r="Y24" s="312"/>
      <c r="Z24" s="312"/>
      <c r="AA24" s="312"/>
      <c r="AB24" s="312"/>
      <c r="AC24" s="312"/>
      <c r="AD24" s="312"/>
      <c r="AE24" s="310"/>
      <c r="AF24" s="310"/>
      <c r="AG24" s="312"/>
      <c r="AH24" s="312"/>
      <c r="AI24" s="310"/>
      <c r="AJ24" s="310"/>
      <c r="AK24" s="292"/>
      <c r="AL24" s="292"/>
      <c r="AM24" s="292"/>
      <c r="AN24" s="292"/>
      <c r="AO24" s="292"/>
      <c r="AP24" s="292"/>
      <c r="AQ24" s="292"/>
    </row>
    <row r="25" ht="18" customHeight="1" spans="1:43">
      <c r="A25" s="307"/>
      <c r="B25" s="317"/>
      <c r="C25" s="309" t="s">
        <v>252</v>
      </c>
      <c r="D25" s="301" t="s">
        <v>2970</v>
      </c>
      <c r="E25" s="309" t="s">
        <v>11</v>
      </c>
      <c r="F25" s="310"/>
      <c r="G25" s="310"/>
      <c r="H25" s="310"/>
      <c r="I25" s="310"/>
      <c r="J25" s="310"/>
      <c r="K25" s="310"/>
      <c r="L25" s="310"/>
      <c r="M25" s="315"/>
      <c r="N25" s="310"/>
      <c r="O25" s="310"/>
      <c r="P25" s="312"/>
      <c r="Q25" s="310"/>
      <c r="R25" s="310"/>
      <c r="S25" s="310"/>
      <c r="T25" s="312"/>
      <c r="U25" s="312"/>
      <c r="V25" s="312"/>
      <c r="W25" s="312"/>
      <c r="X25" s="312"/>
      <c r="Y25" s="312"/>
      <c r="Z25" s="312"/>
      <c r="AA25" s="312"/>
      <c r="AB25" s="312"/>
      <c r="AC25" s="312"/>
      <c r="AD25" s="312"/>
      <c r="AE25" s="310"/>
      <c r="AF25" s="310"/>
      <c r="AG25" s="312"/>
      <c r="AH25" s="312"/>
      <c r="AI25" s="310"/>
      <c r="AJ25" s="310"/>
      <c r="AK25" s="292"/>
      <c r="AL25" s="292"/>
      <c r="AM25" s="292"/>
      <c r="AN25" s="292"/>
      <c r="AO25" s="292"/>
      <c r="AP25" s="292"/>
      <c r="AQ25" s="292"/>
    </row>
    <row r="26" ht="18" customHeight="1" spans="1:43">
      <c r="A26" s="307"/>
      <c r="B26" s="195"/>
      <c r="C26" s="309" t="s">
        <v>3029</v>
      </c>
      <c r="D26" s="301"/>
      <c r="E26" s="309" t="s">
        <v>3030</v>
      </c>
      <c r="F26" s="310"/>
      <c r="G26" s="310"/>
      <c r="H26" s="310"/>
      <c r="I26" s="310"/>
      <c r="J26" s="310"/>
      <c r="K26" s="310"/>
      <c r="L26" s="310"/>
      <c r="M26" s="315"/>
      <c r="N26" s="310"/>
      <c r="O26" s="310"/>
      <c r="P26" s="312"/>
      <c r="Q26" s="310"/>
      <c r="R26" s="310"/>
      <c r="S26" s="310"/>
      <c r="T26" s="312"/>
      <c r="U26" s="312"/>
      <c r="V26" s="312"/>
      <c r="W26" s="312"/>
      <c r="X26" s="312"/>
      <c r="Y26" s="312"/>
      <c r="Z26" s="312"/>
      <c r="AA26" s="312"/>
      <c r="AB26" s="312"/>
      <c r="AC26" s="312"/>
      <c r="AD26" s="312"/>
      <c r="AE26" s="310"/>
      <c r="AF26" s="310"/>
      <c r="AG26" s="312"/>
      <c r="AH26" s="312"/>
      <c r="AI26" s="310"/>
      <c r="AJ26" s="310"/>
      <c r="AK26" s="292"/>
      <c r="AL26" s="292"/>
      <c r="AM26" s="292"/>
      <c r="AN26" s="292"/>
      <c r="AO26" s="292"/>
      <c r="AP26" s="292"/>
      <c r="AQ26" s="292"/>
    </row>
    <row r="27" ht="18" customHeight="1" spans="1:43">
      <c r="A27" s="307"/>
      <c r="B27" s="318" t="s">
        <v>645</v>
      </c>
      <c r="C27" s="309" t="s">
        <v>239</v>
      </c>
      <c r="D27" s="301"/>
      <c r="E27" s="309" t="s">
        <v>3031</v>
      </c>
      <c r="F27" s="310"/>
      <c r="G27" s="310"/>
      <c r="H27" s="310"/>
      <c r="I27" s="310"/>
      <c r="J27" s="310"/>
      <c r="K27" s="310"/>
      <c r="L27" s="310"/>
      <c r="M27" s="315"/>
      <c r="N27" s="310"/>
      <c r="O27" s="310"/>
      <c r="P27" s="312"/>
      <c r="Q27" s="310"/>
      <c r="R27" s="310"/>
      <c r="S27" s="310"/>
      <c r="T27" s="312"/>
      <c r="U27" s="312"/>
      <c r="V27" s="312"/>
      <c r="W27" s="312"/>
      <c r="X27" s="312"/>
      <c r="Y27" s="312"/>
      <c r="Z27" s="312"/>
      <c r="AA27" s="312"/>
      <c r="AB27" s="312"/>
      <c r="AC27" s="312"/>
      <c r="AD27" s="312"/>
      <c r="AE27" s="310"/>
      <c r="AF27" s="310"/>
      <c r="AG27" s="312"/>
      <c r="AH27" s="312"/>
      <c r="AI27" s="310"/>
      <c r="AJ27" s="310"/>
      <c r="AK27" s="292"/>
      <c r="AL27" s="292"/>
      <c r="AM27" s="292"/>
      <c r="AN27" s="292"/>
      <c r="AO27" s="292"/>
      <c r="AP27" s="292"/>
      <c r="AQ27" s="292"/>
    </row>
    <row r="28" ht="18" customHeight="1" spans="1:43">
      <c r="A28" s="307"/>
      <c r="B28" s="317"/>
      <c r="C28" s="309" t="s">
        <v>3032</v>
      </c>
      <c r="D28" s="301"/>
      <c r="E28" s="309" t="s">
        <v>3033</v>
      </c>
      <c r="F28" s="310"/>
      <c r="G28" s="310"/>
      <c r="H28" s="310"/>
      <c r="I28" s="310"/>
      <c r="J28" s="310"/>
      <c r="K28" s="310"/>
      <c r="L28" s="310"/>
      <c r="M28" s="315"/>
      <c r="N28" s="310"/>
      <c r="O28" s="310"/>
      <c r="P28" s="312"/>
      <c r="Q28" s="310"/>
      <c r="R28" s="310"/>
      <c r="S28" s="310"/>
      <c r="T28" s="312"/>
      <c r="U28" s="312"/>
      <c r="V28" s="312"/>
      <c r="W28" s="312"/>
      <c r="X28" s="312"/>
      <c r="Y28" s="312"/>
      <c r="Z28" s="312"/>
      <c r="AA28" s="312"/>
      <c r="AB28" s="312"/>
      <c r="AC28" s="312"/>
      <c r="AD28" s="312"/>
      <c r="AE28" s="310"/>
      <c r="AF28" s="310"/>
      <c r="AG28" s="312"/>
      <c r="AH28" s="312"/>
      <c r="AI28" s="310"/>
      <c r="AJ28" s="310"/>
      <c r="AK28" s="292"/>
      <c r="AL28" s="292"/>
      <c r="AM28" s="292"/>
      <c r="AN28" s="292"/>
      <c r="AO28" s="292"/>
      <c r="AP28" s="292"/>
      <c r="AQ28" s="292"/>
    </row>
    <row r="29" ht="21.15" customHeight="1" spans="1:43">
      <c r="A29" s="307"/>
      <c r="B29" s="317"/>
      <c r="C29" s="309" t="s">
        <v>230</v>
      </c>
      <c r="D29" s="301" t="s">
        <v>2970</v>
      </c>
      <c r="E29" s="309" t="s">
        <v>11</v>
      </c>
      <c r="F29" s="310"/>
      <c r="G29" s="310"/>
      <c r="H29" s="310"/>
      <c r="I29" s="310"/>
      <c r="J29" s="310"/>
      <c r="K29" s="310"/>
      <c r="L29" s="310"/>
      <c r="M29" s="315"/>
      <c r="N29" s="310"/>
      <c r="O29" s="310"/>
      <c r="P29" s="312"/>
      <c r="Q29" s="310"/>
      <c r="R29" s="310"/>
      <c r="S29" s="310"/>
      <c r="T29" s="312"/>
      <c r="U29" s="312"/>
      <c r="V29" s="312"/>
      <c r="W29" s="312"/>
      <c r="X29" s="312"/>
      <c r="Y29" s="312"/>
      <c r="Z29" s="312"/>
      <c r="AA29" s="312"/>
      <c r="AB29" s="312"/>
      <c r="AC29" s="312"/>
      <c r="AD29" s="312"/>
      <c r="AE29" s="310"/>
      <c r="AF29" s="310"/>
      <c r="AG29" s="312"/>
      <c r="AH29" s="312"/>
      <c r="AI29" s="310"/>
      <c r="AJ29" s="310"/>
      <c r="AK29" s="292"/>
      <c r="AL29" s="292"/>
      <c r="AM29" s="292"/>
      <c r="AN29" s="292"/>
      <c r="AO29" s="292"/>
      <c r="AP29" s="292"/>
      <c r="AQ29" s="292"/>
    </row>
    <row r="30" ht="21.15" customHeight="1" spans="1:43">
      <c r="A30" s="307"/>
      <c r="B30" s="317"/>
      <c r="C30" s="309" t="s">
        <v>231</v>
      </c>
      <c r="D30" s="301"/>
      <c r="E30" s="309" t="s">
        <v>11</v>
      </c>
      <c r="F30" s="310"/>
      <c r="G30" s="310"/>
      <c r="H30" s="310"/>
      <c r="I30" s="310"/>
      <c r="J30" s="310"/>
      <c r="K30" s="310"/>
      <c r="L30" s="310"/>
      <c r="M30" s="315"/>
      <c r="N30" s="310"/>
      <c r="O30" s="310"/>
      <c r="P30" s="312"/>
      <c r="Q30" s="310"/>
      <c r="R30" s="310"/>
      <c r="S30" s="310"/>
      <c r="T30" s="312"/>
      <c r="U30" s="312"/>
      <c r="V30" s="312"/>
      <c r="W30" s="312"/>
      <c r="X30" s="312"/>
      <c r="Y30" s="312"/>
      <c r="Z30" s="312"/>
      <c r="AA30" s="312"/>
      <c r="AB30" s="312"/>
      <c r="AC30" s="312"/>
      <c r="AD30" s="312"/>
      <c r="AE30" s="310"/>
      <c r="AF30" s="310"/>
      <c r="AG30" s="312"/>
      <c r="AH30" s="312"/>
      <c r="AI30" s="310"/>
      <c r="AJ30" s="310"/>
      <c r="AK30" s="292"/>
      <c r="AL30" s="292"/>
      <c r="AM30" s="292"/>
      <c r="AN30" s="292"/>
      <c r="AO30" s="292"/>
      <c r="AP30" s="292"/>
      <c r="AQ30" s="292"/>
    </row>
    <row r="31" ht="21.15" customHeight="1" spans="1:43">
      <c r="A31" s="307"/>
      <c r="B31" s="317"/>
      <c r="C31" s="309" t="s">
        <v>232</v>
      </c>
      <c r="D31" s="301"/>
      <c r="E31" s="309" t="s">
        <v>11</v>
      </c>
      <c r="F31" s="310"/>
      <c r="G31" s="310"/>
      <c r="H31" s="310"/>
      <c r="I31" s="310"/>
      <c r="J31" s="310"/>
      <c r="K31" s="310"/>
      <c r="L31" s="310"/>
      <c r="M31" s="315"/>
      <c r="N31" s="310"/>
      <c r="O31" s="310"/>
      <c r="P31" s="312"/>
      <c r="Q31" s="310"/>
      <c r="R31" s="310"/>
      <c r="S31" s="310"/>
      <c r="T31" s="312"/>
      <c r="U31" s="312"/>
      <c r="V31" s="312"/>
      <c r="W31" s="312"/>
      <c r="X31" s="312"/>
      <c r="Y31" s="312"/>
      <c r="Z31" s="312"/>
      <c r="AA31" s="312"/>
      <c r="AB31" s="312"/>
      <c r="AC31" s="312"/>
      <c r="AD31" s="312"/>
      <c r="AE31" s="310"/>
      <c r="AF31" s="310"/>
      <c r="AG31" s="312"/>
      <c r="AH31" s="312"/>
      <c r="AI31" s="310"/>
      <c r="AJ31" s="310"/>
      <c r="AK31" s="292"/>
      <c r="AL31" s="292"/>
      <c r="AM31" s="292"/>
      <c r="AN31" s="292"/>
      <c r="AO31" s="292"/>
      <c r="AP31" s="292"/>
      <c r="AQ31" s="292"/>
    </row>
    <row r="32" ht="18" customHeight="1" spans="1:43">
      <c r="A32" s="307"/>
      <c r="B32" s="317"/>
      <c r="C32" s="309" t="s">
        <v>233</v>
      </c>
      <c r="D32" s="301"/>
      <c r="E32" s="309" t="s">
        <v>11</v>
      </c>
      <c r="F32" s="310"/>
      <c r="G32" s="310"/>
      <c r="H32" s="310"/>
      <c r="I32" s="310"/>
      <c r="J32" s="310"/>
      <c r="K32" s="310"/>
      <c r="L32" s="310"/>
      <c r="M32" s="315"/>
      <c r="N32" s="310"/>
      <c r="O32" s="310"/>
      <c r="P32" s="312"/>
      <c r="Q32" s="310"/>
      <c r="R32" s="310"/>
      <c r="S32" s="310"/>
      <c r="T32" s="312"/>
      <c r="U32" s="312"/>
      <c r="V32" s="312"/>
      <c r="W32" s="312"/>
      <c r="X32" s="312"/>
      <c r="Y32" s="312"/>
      <c r="Z32" s="312"/>
      <c r="AA32" s="312"/>
      <c r="AB32" s="312"/>
      <c r="AC32" s="312"/>
      <c r="AD32" s="312"/>
      <c r="AE32" s="310"/>
      <c r="AF32" s="310"/>
      <c r="AG32" s="312"/>
      <c r="AH32" s="312"/>
      <c r="AI32" s="310"/>
      <c r="AJ32" s="310"/>
      <c r="AK32" s="292"/>
      <c r="AL32" s="292"/>
      <c r="AM32" s="292"/>
      <c r="AN32" s="292"/>
      <c r="AO32" s="292"/>
      <c r="AP32" s="292"/>
      <c r="AQ32" s="292"/>
    </row>
    <row r="33" ht="18" customHeight="1" spans="1:43">
      <c r="A33" s="307"/>
      <c r="B33" s="317"/>
      <c r="C33" s="309" t="s">
        <v>235</v>
      </c>
      <c r="D33" s="301"/>
      <c r="E33" s="309" t="s">
        <v>11</v>
      </c>
      <c r="F33" s="310"/>
      <c r="G33" s="310"/>
      <c r="H33" s="310"/>
      <c r="I33" s="310"/>
      <c r="J33" s="310"/>
      <c r="K33" s="310"/>
      <c r="L33" s="310"/>
      <c r="M33" s="315"/>
      <c r="N33" s="310"/>
      <c r="O33" s="310"/>
      <c r="P33" s="312"/>
      <c r="Q33" s="310"/>
      <c r="R33" s="310"/>
      <c r="S33" s="310"/>
      <c r="T33" s="312"/>
      <c r="U33" s="312"/>
      <c r="V33" s="312"/>
      <c r="W33" s="312"/>
      <c r="X33" s="312"/>
      <c r="Y33" s="312"/>
      <c r="Z33" s="312"/>
      <c r="AA33" s="312"/>
      <c r="AB33" s="312"/>
      <c r="AC33" s="312"/>
      <c r="AD33" s="312"/>
      <c r="AE33" s="310"/>
      <c r="AF33" s="310"/>
      <c r="AG33" s="312"/>
      <c r="AH33" s="312"/>
      <c r="AI33" s="310"/>
      <c r="AJ33" s="310"/>
      <c r="AK33" s="292"/>
      <c r="AL33" s="292"/>
      <c r="AM33" s="292"/>
      <c r="AN33" s="292"/>
      <c r="AO33" s="292"/>
      <c r="AP33" s="292"/>
      <c r="AQ33" s="292"/>
    </row>
    <row r="34" ht="18.9" customHeight="1" spans="1:43">
      <c r="A34" s="307"/>
      <c r="B34" s="318" t="s">
        <v>263</v>
      </c>
      <c r="C34" s="309" t="s">
        <v>270</v>
      </c>
      <c r="D34" s="301"/>
      <c r="E34" s="309" t="s">
        <v>3034</v>
      </c>
      <c r="F34" s="310"/>
      <c r="G34" s="310"/>
      <c r="H34" s="310"/>
      <c r="I34" s="310"/>
      <c r="J34" s="310"/>
      <c r="K34" s="310"/>
      <c r="L34" s="310"/>
      <c r="M34" s="315"/>
      <c r="N34" s="310"/>
      <c r="O34" s="310"/>
      <c r="P34" s="312"/>
      <c r="Q34" s="310"/>
      <c r="R34" s="310"/>
      <c r="S34" s="310"/>
      <c r="T34" s="312"/>
      <c r="U34" s="312"/>
      <c r="V34" s="312"/>
      <c r="W34" s="312"/>
      <c r="X34" s="312"/>
      <c r="Y34" s="312"/>
      <c r="Z34" s="312"/>
      <c r="AA34" s="312"/>
      <c r="AB34" s="312"/>
      <c r="AC34" s="312"/>
      <c r="AD34" s="312"/>
      <c r="AE34" s="310"/>
      <c r="AF34" s="310"/>
      <c r="AG34" s="312"/>
      <c r="AH34" s="312"/>
      <c r="AI34" s="310"/>
      <c r="AJ34" s="310"/>
      <c r="AK34" s="292"/>
      <c r="AL34" s="292"/>
      <c r="AM34" s="292"/>
      <c r="AN34" s="292"/>
      <c r="AO34" s="292"/>
      <c r="AP34" s="292"/>
      <c r="AQ34" s="292"/>
    </row>
    <row r="35" ht="18.9" customHeight="1" spans="1:43">
      <c r="A35" s="307"/>
      <c r="B35" s="317"/>
      <c r="C35" s="309" t="s">
        <v>1134</v>
      </c>
      <c r="D35" s="301"/>
      <c r="E35" s="309" t="s">
        <v>3030</v>
      </c>
      <c r="F35" s="310"/>
      <c r="G35" s="310"/>
      <c r="H35" s="310"/>
      <c r="I35" s="310"/>
      <c r="J35" s="310"/>
      <c r="K35" s="310"/>
      <c r="L35" s="310"/>
      <c r="M35" s="315"/>
      <c r="N35" s="310"/>
      <c r="O35" s="310"/>
      <c r="P35" s="312"/>
      <c r="Q35" s="310"/>
      <c r="R35" s="310"/>
      <c r="S35" s="310"/>
      <c r="T35" s="312"/>
      <c r="U35" s="312"/>
      <c r="V35" s="312"/>
      <c r="W35" s="312"/>
      <c r="X35" s="312"/>
      <c r="Y35" s="312"/>
      <c r="Z35" s="312"/>
      <c r="AA35" s="312"/>
      <c r="AB35" s="312"/>
      <c r="AC35" s="312"/>
      <c r="AD35" s="312"/>
      <c r="AE35" s="310"/>
      <c r="AF35" s="310"/>
      <c r="AG35" s="312"/>
      <c r="AH35" s="312"/>
      <c r="AI35" s="310"/>
      <c r="AJ35" s="310"/>
      <c r="AK35" s="292"/>
      <c r="AL35" s="292"/>
      <c r="AM35" s="292"/>
      <c r="AN35" s="292"/>
      <c r="AO35" s="292"/>
      <c r="AP35" s="292"/>
      <c r="AQ35" s="292"/>
    </row>
    <row r="36" ht="18.9" customHeight="1" spans="1:43">
      <c r="A36" s="307"/>
      <c r="B36" s="317"/>
      <c r="C36" s="309" t="s">
        <v>265</v>
      </c>
      <c r="D36" s="301"/>
      <c r="E36" s="309" t="s">
        <v>11</v>
      </c>
      <c r="F36" s="310"/>
      <c r="G36" s="310"/>
      <c r="H36" s="310"/>
      <c r="I36" s="310"/>
      <c r="J36" s="310"/>
      <c r="K36" s="310"/>
      <c r="L36" s="310"/>
      <c r="M36" s="315"/>
      <c r="N36" s="310"/>
      <c r="O36" s="310"/>
      <c r="P36" s="312"/>
      <c r="Q36" s="310"/>
      <c r="R36" s="310"/>
      <c r="S36" s="310"/>
      <c r="T36" s="312"/>
      <c r="U36" s="312"/>
      <c r="V36" s="312"/>
      <c r="W36" s="312"/>
      <c r="X36" s="312"/>
      <c r="Y36" s="312"/>
      <c r="Z36" s="312"/>
      <c r="AA36" s="312"/>
      <c r="AB36" s="312"/>
      <c r="AC36" s="312"/>
      <c r="AD36" s="312"/>
      <c r="AE36" s="310"/>
      <c r="AF36" s="310"/>
      <c r="AG36" s="312"/>
      <c r="AH36" s="312"/>
      <c r="AI36" s="310"/>
      <c r="AJ36" s="310"/>
      <c r="AK36" s="292"/>
      <c r="AL36" s="292"/>
      <c r="AM36" s="292"/>
      <c r="AN36" s="292"/>
      <c r="AO36" s="292"/>
      <c r="AP36" s="292"/>
      <c r="AQ36" s="292"/>
    </row>
    <row r="37" ht="18.9" customHeight="1" spans="1:43">
      <c r="A37" s="307"/>
      <c r="B37" s="317"/>
      <c r="C37" s="309" t="s">
        <v>264</v>
      </c>
      <c r="D37" s="301"/>
      <c r="E37" s="309" t="s">
        <v>11</v>
      </c>
      <c r="F37" s="310"/>
      <c r="G37" s="310"/>
      <c r="H37" s="310"/>
      <c r="I37" s="310"/>
      <c r="J37" s="310"/>
      <c r="K37" s="310"/>
      <c r="L37" s="310"/>
      <c r="M37" s="315"/>
      <c r="N37" s="310"/>
      <c r="O37" s="310"/>
      <c r="P37" s="312"/>
      <c r="Q37" s="310"/>
      <c r="R37" s="310"/>
      <c r="S37" s="310"/>
      <c r="T37" s="312"/>
      <c r="U37" s="312"/>
      <c r="V37" s="312"/>
      <c r="W37" s="312"/>
      <c r="X37" s="312"/>
      <c r="Y37" s="312"/>
      <c r="Z37" s="312"/>
      <c r="AA37" s="312"/>
      <c r="AB37" s="312"/>
      <c r="AC37" s="312"/>
      <c r="AD37" s="312"/>
      <c r="AE37" s="310"/>
      <c r="AF37" s="310"/>
      <c r="AG37" s="312"/>
      <c r="AH37" s="312"/>
      <c r="AI37" s="310"/>
      <c r="AJ37" s="310"/>
      <c r="AK37" s="292"/>
      <c r="AL37" s="292"/>
      <c r="AM37" s="292"/>
      <c r="AN37" s="292"/>
      <c r="AO37" s="292"/>
      <c r="AP37" s="292"/>
      <c r="AQ37" s="292"/>
    </row>
    <row r="38" ht="18.9" customHeight="1" spans="1:43">
      <c r="A38" s="307"/>
      <c r="B38" s="317"/>
      <c r="C38" s="309" t="s">
        <v>266</v>
      </c>
      <c r="D38" s="301"/>
      <c r="E38" s="309" t="s">
        <v>11</v>
      </c>
      <c r="F38" s="310"/>
      <c r="G38" s="310"/>
      <c r="H38" s="310"/>
      <c r="I38" s="310"/>
      <c r="J38" s="310"/>
      <c r="K38" s="310"/>
      <c r="L38" s="310"/>
      <c r="M38" s="315"/>
      <c r="N38" s="310"/>
      <c r="O38" s="310"/>
      <c r="P38" s="312"/>
      <c r="Q38" s="310"/>
      <c r="R38" s="310"/>
      <c r="S38" s="310"/>
      <c r="T38" s="312"/>
      <c r="U38" s="312"/>
      <c r="V38" s="312"/>
      <c r="W38" s="312"/>
      <c r="X38" s="312"/>
      <c r="Y38" s="312"/>
      <c r="Z38" s="312"/>
      <c r="AA38" s="312"/>
      <c r="AB38" s="312"/>
      <c r="AC38" s="312"/>
      <c r="AD38" s="312"/>
      <c r="AE38" s="310"/>
      <c r="AF38" s="310"/>
      <c r="AG38" s="312"/>
      <c r="AH38" s="312"/>
      <c r="AI38" s="310"/>
      <c r="AJ38" s="310"/>
      <c r="AK38" s="292"/>
      <c r="AL38" s="292"/>
      <c r="AM38" s="292"/>
      <c r="AN38" s="292"/>
      <c r="AO38" s="292"/>
      <c r="AP38" s="292"/>
      <c r="AQ38" s="292"/>
    </row>
    <row r="39" ht="18.9" customHeight="1" spans="1:43">
      <c r="A39" s="307"/>
      <c r="B39" s="319"/>
      <c r="C39" s="309" t="s">
        <v>268</v>
      </c>
      <c r="D39" s="301"/>
      <c r="E39" s="309" t="s">
        <v>11</v>
      </c>
      <c r="F39" s="310"/>
      <c r="G39" s="310"/>
      <c r="H39" s="310"/>
      <c r="I39" s="310"/>
      <c r="J39" s="310"/>
      <c r="K39" s="310"/>
      <c r="L39" s="310"/>
      <c r="M39" s="315"/>
      <c r="N39" s="310"/>
      <c r="O39" s="310"/>
      <c r="P39" s="312"/>
      <c r="Q39" s="310"/>
      <c r="R39" s="310"/>
      <c r="S39" s="310"/>
      <c r="T39" s="312"/>
      <c r="U39" s="312"/>
      <c r="V39" s="312"/>
      <c r="W39" s="312"/>
      <c r="X39" s="312"/>
      <c r="Y39" s="312"/>
      <c r="Z39" s="312"/>
      <c r="AA39" s="312"/>
      <c r="AB39" s="312"/>
      <c r="AC39" s="312"/>
      <c r="AD39" s="312"/>
      <c r="AE39" s="310"/>
      <c r="AF39" s="310"/>
      <c r="AG39" s="312"/>
      <c r="AH39" s="312"/>
      <c r="AI39" s="310"/>
      <c r="AJ39" s="310"/>
      <c r="AK39" s="292"/>
      <c r="AL39" s="292"/>
      <c r="AM39" s="292"/>
      <c r="AN39" s="292"/>
      <c r="AO39" s="292"/>
      <c r="AP39" s="292"/>
      <c r="AQ39" s="292"/>
    </row>
    <row r="40" ht="18.9" customHeight="1" spans="1:43">
      <c r="A40" s="307"/>
      <c r="B40" s="319"/>
      <c r="C40" s="309" t="s">
        <v>269</v>
      </c>
      <c r="D40" s="301"/>
      <c r="E40" s="309" t="s">
        <v>11</v>
      </c>
      <c r="F40" s="310"/>
      <c r="G40" s="310"/>
      <c r="H40" s="310"/>
      <c r="I40" s="310"/>
      <c r="J40" s="310"/>
      <c r="K40" s="310"/>
      <c r="L40" s="310"/>
      <c r="M40" s="315"/>
      <c r="N40" s="310"/>
      <c r="O40" s="310"/>
      <c r="P40" s="312"/>
      <c r="Q40" s="310"/>
      <c r="R40" s="310"/>
      <c r="S40" s="310"/>
      <c r="T40" s="312"/>
      <c r="U40" s="312"/>
      <c r="V40" s="312"/>
      <c r="W40" s="312"/>
      <c r="X40" s="312"/>
      <c r="Y40" s="312"/>
      <c r="Z40" s="312"/>
      <c r="AA40" s="312"/>
      <c r="AB40" s="312"/>
      <c r="AC40" s="312"/>
      <c r="AD40" s="312"/>
      <c r="AE40" s="310"/>
      <c r="AF40" s="310"/>
      <c r="AG40" s="312"/>
      <c r="AH40" s="312"/>
      <c r="AI40" s="310"/>
      <c r="AJ40" s="310"/>
      <c r="AK40" s="292"/>
      <c r="AL40" s="292"/>
      <c r="AM40" s="292"/>
      <c r="AN40" s="292"/>
      <c r="AO40" s="292"/>
      <c r="AP40" s="292"/>
      <c r="AQ40" s="292"/>
    </row>
    <row r="41" ht="18" customHeight="1" spans="1:43">
      <c r="A41" s="320"/>
      <c r="B41" s="321"/>
      <c r="C41" s="192"/>
      <c r="D41" s="192"/>
      <c r="E41" s="193"/>
      <c r="F41" s="322"/>
      <c r="G41" s="322"/>
      <c r="H41" s="322"/>
      <c r="I41" s="322"/>
      <c r="J41" s="322"/>
      <c r="K41" s="322"/>
      <c r="L41" s="322"/>
      <c r="M41" s="322"/>
      <c r="N41" s="322"/>
      <c r="O41" s="322"/>
      <c r="P41" s="322"/>
      <c r="Q41" s="322"/>
      <c r="R41" s="322"/>
      <c r="S41" s="322"/>
      <c r="T41" s="322"/>
      <c r="U41" s="322"/>
      <c r="V41" s="322"/>
      <c r="W41" s="322"/>
      <c r="X41" s="322"/>
      <c r="Y41" s="322"/>
      <c r="Z41" s="322"/>
      <c r="AA41" s="322"/>
      <c r="AB41" s="322"/>
      <c r="AC41" s="322"/>
      <c r="AD41" s="322"/>
      <c r="AE41" s="322"/>
      <c r="AF41" s="322"/>
      <c r="AG41" s="322"/>
      <c r="AH41" s="322"/>
      <c r="AI41" s="322"/>
      <c r="AJ41" s="322"/>
      <c r="AK41" s="290"/>
      <c r="AL41" s="290"/>
      <c r="AM41" s="290"/>
      <c r="AN41" s="290"/>
      <c r="AO41" s="290"/>
      <c r="AP41" s="290"/>
      <c r="AQ41" s="290"/>
    </row>
    <row r="42" ht="15" customHeight="1" spans="1:43">
      <c r="A42" s="323"/>
      <c r="B42" s="324" t="s">
        <v>3004</v>
      </c>
      <c r="C42" s="323"/>
      <c r="D42" s="291"/>
      <c r="E42" s="325" t="s">
        <v>3035</v>
      </c>
      <c r="F42" s="295"/>
      <c r="G42" s="295"/>
      <c r="H42" s="295"/>
      <c r="I42" s="295"/>
      <c r="J42" s="295"/>
      <c r="K42" s="326"/>
      <c r="L42" s="295" t="s">
        <v>3005</v>
      </c>
      <c r="M42" s="295"/>
      <c r="N42" s="295"/>
      <c r="O42" s="295"/>
      <c r="P42" s="295"/>
      <c r="Q42" s="295"/>
      <c r="R42" s="326" t="s">
        <v>3006</v>
      </c>
      <c r="S42" s="295"/>
      <c r="T42" s="295" t="s">
        <v>3007</v>
      </c>
      <c r="U42" s="295"/>
      <c r="V42" s="295"/>
      <c r="W42" s="295"/>
      <c r="X42" s="295"/>
      <c r="Y42" s="295"/>
      <c r="Z42" s="295"/>
      <c r="AA42" s="327" t="s">
        <v>3008</v>
      </c>
      <c r="AB42" s="295"/>
      <c r="AC42" s="295"/>
      <c r="AD42" s="295"/>
      <c r="AE42" s="295"/>
      <c r="AF42" s="295"/>
      <c r="AG42" s="328"/>
      <c r="AH42" s="329" t="s">
        <v>3009</v>
      </c>
      <c r="AI42" s="329"/>
      <c r="AJ42" s="329"/>
      <c r="AK42" s="289"/>
      <c r="AL42" s="289"/>
      <c r="AM42" s="289"/>
      <c r="AN42" s="289"/>
      <c r="AO42" s="289"/>
      <c r="AP42" s="289"/>
      <c r="AQ42" s="289"/>
    </row>
    <row r="43" ht="13.65" customHeight="1" spans="1:43">
      <c r="A43" s="297"/>
      <c r="B43" s="290"/>
      <c r="C43" s="290"/>
      <c r="D43" s="291"/>
      <c r="E43" s="292"/>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3"/>
      <c r="AF43" s="293"/>
      <c r="AG43" s="293"/>
      <c r="AH43" s="293"/>
      <c r="AI43" s="293"/>
      <c r="AJ43" s="293"/>
      <c r="AK43" s="290"/>
      <c r="AL43" s="290"/>
      <c r="AM43" s="290"/>
      <c r="AN43" s="290"/>
      <c r="AO43" s="290"/>
      <c r="AP43" s="290"/>
      <c r="AQ43" s="290"/>
    </row>
    <row r="44" ht="9" customHeight="1" spans="1:43">
      <c r="A44" s="290"/>
      <c r="B44" s="290"/>
      <c r="C44" s="290"/>
      <c r="D44" s="291"/>
      <c r="E44" s="292"/>
      <c r="F44" s="293"/>
      <c r="G44" s="293"/>
      <c r="H44" s="293"/>
      <c r="I44" s="293"/>
      <c r="J44" s="293"/>
      <c r="K44" s="293"/>
      <c r="L44" s="293"/>
      <c r="M44" s="293"/>
      <c r="N44" s="293"/>
      <c r="O44" s="293"/>
      <c r="P44" s="293"/>
      <c r="Q44" s="293"/>
      <c r="R44" s="293"/>
      <c r="S44" s="293"/>
      <c r="T44" s="293"/>
      <c r="U44" s="293"/>
      <c r="V44" s="293"/>
      <c r="W44" s="293"/>
      <c r="X44" s="293"/>
      <c r="Y44" s="293"/>
      <c r="Z44" s="293"/>
      <c r="AA44" s="294"/>
      <c r="AB44" s="294"/>
      <c r="AC44" s="294"/>
      <c r="AD44" s="294"/>
      <c r="AE44" s="294"/>
      <c r="AF44" s="294"/>
      <c r="AG44" s="294"/>
      <c r="AH44" s="293"/>
      <c r="AI44" s="293"/>
      <c r="AJ44" s="293"/>
      <c r="AK44" s="290"/>
      <c r="AL44" s="290"/>
      <c r="AM44" s="290"/>
      <c r="AN44" s="290"/>
      <c r="AO44" s="290"/>
      <c r="AP44" s="290"/>
      <c r="AQ44" s="290"/>
    </row>
    <row r="45" ht="23.1" customHeight="1" spans="1:43">
      <c r="A45" s="296" t="s">
        <v>3011</v>
      </c>
      <c r="B45" s="290"/>
      <c r="C45" s="290"/>
      <c r="D45" s="291"/>
      <c r="E45" s="292"/>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0"/>
      <c r="AL45" s="290"/>
      <c r="AM45" s="290"/>
      <c r="AN45" s="290"/>
      <c r="AO45" s="290"/>
      <c r="AP45" s="290"/>
      <c r="AQ45" s="290"/>
    </row>
    <row r="46" spans="1:43">
      <c r="A46" s="330"/>
      <c r="B46" s="330"/>
      <c r="C46" s="330"/>
      <c r="D46" s="330"/>
      <c r="E46" s="330"/>
      <c r="F46" s="330"/>
      <c r="G46" s="330"/>
      <c r="H46" s="330"/>
      <c r="I46" s="330"/>
      <c r="J46" s="330"/>
      <c r="K46" s="330"/>
      <c r="L46" s="330"/>
      <c r="M46" s="330"/>
      <c r="N46" s="330"/>
      <c r="O46" s="330"/>
      <c r="P46" s="330"/>
      <c r="Q46" s="330"/>
      <c r="R46" s="330"/>
      <c r="S46" s="330"/>
      <c r="T46" s="330"/>
      <c r="U46" s="330"/>
      <c r="V46" s="330"/>
      <c r="W46" s="330"/>
      <c r="X46" s="330"/>
      <c r="Y46" s="330"/>
      <c r="Z46" s="330"/>
      <c r="AA46" s="330"/>
      <c r="AB46" s="330"/>
      <c r="AC46" s="330"/>
      <c r="AD46" s="330"/>
      <c r="AE46" s="330"/>
      <c r="AF46" s="330"/>
      <c r="AG46" s="330"/>
      <c r="AH46" s="330"/>
      <c r="AI46" s="330"/>
      <c r="AJ46" s="330"/>
      <c r="AK46" s="330"/>
      <c r="AL46" s="330"/>
      <c r="AM46" s="330"/>
      <c r="AN46" s="330"/>
      <c r="AO46" s="330"/>
      <c r="AP46" s="330"/>
      <c r="AQ46" s="330"/>
    </row>
    <row r="47" spans="1:43">
      <c r="D47" s="331"/>
      <c r="E47" s="331"/>
      <c r="AA47" s="331"/>
      <c r="AE47" s="331"/>
      <c r="AH47" s="287"/>
      <c r="AI47" s="287"/>
      <c r="AJ47" s="287"/>
      <c r="AO47" s="330"/>
      <c r="AP47" s="330"/>
      <c r="AQ47" s="330"/>
    </row>
    <row r="48" spans="1:43">
      <c r="E48" s="331"/>
      <c r="V48" s="331"/>
      <c r="AB48" s="287"/>
      <c r="AC48" s="287"/>
      <c r="AD48" s="287"/>
      <c r="AE48" s="287"/>
      <c r="AF48" s="287"/>
      <c r="AG48" s="287"/>
      <c r="AH48" s="287"/>
      <c r="AI48" s="287"/>
      <c r="AJ48" s="330"/>
      <c r="AK48" s="330"/>
      <c r="AL48" s="330"/>
      <c r="AM48" s="330"/>
      <c r="AN48" s="330"/>
      <c r="AO48" s="330"/>
      <c r="AP48" s="330"/>
      <c r="AQ48" s="330"/>
    </row>
    <row r="49" spans="5:43">
      <c r="E49" s="331"/>
      <c r="T49" s="331"/>
      <c r="Y49" s="287"/>
      <c r="Z49" s="287"/>
      <c r="AA49" s="287"/>
      <c r="AB49" s="287"/>
      <c r="AC49" s="287"/>
      <c r="AD49" s="287"/>
      <c r="AE49" s="287"/>
      <c r="AF49" s="287"/>
      <c r="AG49" s="287"/>
      <c r="AH49" s="330"/>
      <c r="AI49" s="330"/>
      <c r="AJ49" s="330"/>
      <c r="AK49" s="330"/>
      <c r="AL49" s="330"/>
      <c r="AM49" s="330"/>
      <c r="AN49" s="330"/>
      <c r="AO49" s="330"/>
      <c r="AP49" s="330"/>
      <c r="AQ49" s="330"/>
    </row>
  </sheetData>
  <mergeCells count="21">
    <mergeCell ref="A1:AI1"/>
    <mergeCell ref="AB2:AD2"/>
    <mergeCell ref="F5:P5"/>
    <mergeCell ref="Q5:S5"/>
    <mergeCell ref="T5:AA5"/>
    <mergeCell ref="AB5:AG5"/>
    <mergeCell ref="B41:E41"/>
    <mergeCell ref="A5:A6"/>
    <mergeCell ref="B5:B6"/>
    <mergeCell ref="B7:B8"/>
    <mergeCell ref="B10:B16"/>
    <mergeCell ref="B17:B21"/>
    <mergeCell ref="B22:B26"/>
    <mergeCell ref="B27:B33"/>
    <mergeCell ref="B34:B38"/>
    <mergeCell ref="C5:C6"/>
    <mergeCell ref="D5:D6"/>
    <mergeCell ref="E5:E6"/>
    <mergeCell ref="AH5:AH6"/>
    <mergeCell ref="AI5:AI6"/>
    <mergeCell ref="AJ5:AJ6"/>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00"/>
  <sheetViews>
    <sheetView workbookViewId="0">
      <pane xSplit="3" ySplit="43" topLeftCell="D44" activePane="bottomRight" state="frozen"/>
      <selection/>
      <selection pane="topRight"/>
      <selection pane="bottomLeft"/>
      <selection pane="bottomRight" activeCell="A1" sqref="A1:AH1"/>
    </sheetView>
  </sheetViews>
  <sheetFormatPr defaultColWidth="9" defaultRowHeight="16.8"/>
  <cols>
    <col min="1" max="1" width="4.44230769230769" customWidth="1"/>
    <col min="2" max="2" width="14.4423076923077" customWidth="1"/>
    <col min="3" max="3" width="8.10576923076923" customWidth="1"/>
    <col min="4" max="4" width="34.8846153846154" customWidth="1"/>
    <col min="5" max="5" width="13.4423076923077" customWidth="1"/>
    <col min="6" max="6" width="10.6634615384615" customWidth="1"/>
    <col min="7" max="7" width="9.66346153846154" customWidth="1"/>
    <col min="8" max="8" width="9" customWidth="1"/>
    <col min="9" max="9" width="9.44230769230769" customWidth="1"/>
    <col min="10" max="10" width="7.88461538461539" customWidth="1"/>
    <col min="11" max="11" width="9" customWidth="1"/>
    <col min="12" max="12" width="9.44230769230769" customWidth="1"/>
    <col min="13" max="13" width="7.10576923076923" customWidth="1"/>
    <col min="14" max="14" width="9" customWidth="1"/>
    <col min="15" max="15" width="0.336538461538462" customWidth="1"/>
    <col min="16" max="16" width="9.66346153846154" customWidth="1"/>
    <col min="17" max="17" width="10.4423076923077" customWidth="1"/>
    <col min="18" max="18" width="9.33653846153846" customWidth="1"/>
    <col min="19" max="19" width="9.44230769230769" customWidth="1"/>
    <col min="20" max="20" width="10" customWidth="1"/>
    <col min="21" max="21" width="9.66346153846154" customWidth="1"/>
    <col min="22" max="22" width="9" customWidth="1"/>
    <col min="23" max="23" width="7.10576923076923" customWidth="1"/>
    <col min="24" max="24" width="8.44230769230769" customWidth="1"/>
    <col min="25" max="25" width="8" customWidth="1"/>
    <col min="26" max="26" width="9.44230769230769" customWidth="1"/>
    <col min="27" max="27" width="10.1057692307692" customWidth="1"/>
    <col min="28" max="28" width="9.44230769230769" customWidth="1"/>
    <col min="30" max="30" width="9.10576923076923" customWidth="1"/>
    <col min="31" max="31" width="7.88461538461539" customWidth="1"/>
    <col min="32" max="32" width="7.44230769230769" customWidth="1"/>
    <col min="33" max="33" width="9.88461538461538" customWidth="1"/>
    <col min="34" max="34" width="10.8846153846154" customWidth="1"/>
    <col min="35" max="35" width="4.44230769230769" customWidth="1"/>
    <col min="36" max="36" width="10.3365384615385" customWidth="1"/>
    <col min="55" max="55" width="10.3365384615385" customWidth="1"/>
    <col min="16372" max="16372" width="10.3365384615385" customWidth="1"/>
  </cols>
  <sheetData>
    <row r="1" ht="18" customHeight="1" spans="1:54">
      <c r="A1" s="174" t="s">
        <v>3036</v>
      </c>
      <c r="AI1" s="175"/>
      <c r="AJ1" s="176"/>
      <c r="AK1" s="176"/>
      <c r="AL1" s="176"/>
      <c r="AM1" s="176"/>
      <c r="AN1" s="176"/>
      <c r="AO1" s="176"/>
      <c r="AP1" s="176"/>
      <c r="AQ1" s="176"/>
      <c r="AR1" s="176"/>
      <c r="AS1" s="176"/>
      <c r="AT1" s="176"/>
      <c r="AU1" s="176"/>
      <c r="AV1" s="176"/>
      <c r="AW1" s="176"/>
      <c r="AX1" s="176"/>
      <c r="AY1" s="176"/>
      <c r="AZ1" s="176"/>
      <c r="BA1" s="176"/>
      <c r="BB1" s="176"/>
    </row>
    <row r="2" ht="11.25" customHeight="1" spans="1:54">
      <c r="A2" s="177" t="s">
        <v>3037</v>
      </c>
      <c r="B2" s="178"/>
      <c r="C2" s="179"/>
      <c r="D2" s="180"/>
      <c r="E2" s="179"/>
      <c r="F2" s="179"/>
      <c r="G2" s="179"/>
      <c r="H2" s="179"/>
      <c r="I2" s="179"/>
      <c r="J2" s="179"/>
      <c r="K2" s="179"/>
      <c r="L2" s="179"/>
      <c r="M2" s="179"/>
      <c r="N2" s="181"/>
      <c r="O2" s="179"/>
      <c r="P2" s="179"/>
      <c r="Q2" s="182"/>
      <c r="R2" s="182"/>
      <c r="S2" s="182"/>
      <c r="T2" s="182"/>
      <c r="U2" s="180"/>
      <c r="V2" s="181"/>
      <c r="W2" s="181"/>
      <c r="X2" s="181"/>
      <c r="Y2" s="181"/>
      <c r="Z2" s="181"/>
      <c r="AA2" s="181"/>
      <c r="AB2" s="180"/>
      <c r="AC2" s="180"/>
      <c r="AD2" s="180"/>
      <c r="AE2" s="180"/>
      <c r="AF2" s="180"/>
      <c r="AG2" s="180"/>
      <c r="AH2" s="182"/>
      <c r="AI2" s="182"/>
      <c r="AJ2" s="183"/>
      <c r="AK2" s="183"/>
      <c r="AL2" s="183"/>
      <c r="AM2" s="183"/>
      <c r="AN2" s="183"/>
      <c r="AO2" s="183"/>
      <c r="AP2" s="183"/>
      <c r="AQ2" s="183"/>
      <c r="AR2" s="183"/>
      <c r="AS2" s="183"/>
      <c r="AT2" s="183"/>
      <c r="AU2" s="183"/>
      <c r="AV2" s="183"/>
      <c r="AW2" s="183"/>
      <c r="AX2" s="183"/>
      <c r="AY2" s="183"/>
      <c r="AZ2" s="183"/>
      <c r="BA2" s="183"/>
      <c r="BB2" s="183"/>
    </row>
    <row r="3" ht="13.65" customHeight="1" spans="1:54">
      <c r="A3" s="184" t="s">
        <v>3013</v>
      </c>
      <c r="B3" s="178"/>
      <c r="C3" s="179"/>
      <c r="D3" s="180"/>
      <c r="E3" s="179"/>
      <c r="F3" s="179"/>
      <c r="G3" s="179"/>
      <c r="H3" s="179"/>
      <c r="I3" s="179"/>
      <c r="J3" s="179"/>
      <c r="K3" s="179"/>
      <c r="L3" s="179"/>
      <c r="M3" s="179"/>
      <c r="N3" s="181"/>
      <c r="O3" s="179"/>
      <c r="P3" s="179"/>
      <c r="Q3" s="181"/>
      <c r="R3" s="181"/>
      <c r="S3" s="181"/>
      <c r="T3" s="181"/>
      <c r="U3" s="180"/>
      <c r="V3" s="181"/>
      <c r="W3" s="181"/>
      <c r="X3" s="181"/>
      <c r="Y3" s="181"/>
      <c r="Z3" s="181"/>
      <c r="AA3" s="181"/>
      <c r="AB3" s="180"/>
      <c r="AC3" s="180"/>
      <c r="AD3" s="180"/>
      <c r="AE3" s="180"/>
      <c r="AF3" s="180"/>
      <c r="AG3" s="180"/>
      <c r="AH3" s="182"/>
      <c r="AI3" s="182"/>
      <c r="AJ3" s="183"/>
      <c r="AK3" s="183"/>
      <c r="AL3" s="183"/>
      <c r="AM3" s="183"/>
      <c r="AN3" s="183"/>
      <c r="AO3" s="183"/>
      <c r="AP3" s="183"/>
      <c r="AQ3" s="183"/>
      <c r="AR3" s="183"/>
      <c r="AS3" s="183"/>
      <c r="AT3" s="183"/>
      <c r="AU3" s="183"/>
      <c r="AV3" s="183"/>
      <c r="AW3" s="183"/>
      <c r="AX3" s="183"/>
      <c r="AY3" s="183"/>
      <c r="AZ3" s="183"/>
      <c r="BA3" s="183"/>
      <c r="BB3" s="183"/>
    </row>
    <row r="4" ht="11.4" customHeight="1" spans="1:54">
      <c r="A4" s="185" t="s">
        <v>3038</v>
      </c>
      <c r="B4" s="178"/>
      <c r="C4" s="179"/>
      <c r="D4" s="180"/>
      <c r="E4" s="179"/>
      <c r="F4" s="179"/>
      <c r="G4" s="179"/>
      <c r="H4" s="179"/>
      <c r="I4" s="179"/>
      <c r="J4" s="179"/>
      <c r="K4" s="179"/>
      <c r="L4" s="179"/>
      <c r="M4" s="179"/>
      <c r="N4" s="181"/>
      <c r="O4" s="179"/>
      <c r="P4" s="179"/>
      <c r="Q4" s="181"/>
      <c r="R4" s="181"/>
      <c r="S4" s="181"/>
      <c r="T4" s="181"/>
      <c r="U4" s="180"/>
      <c r="V4" s="181"/>
      <c r="W4" s="181"/>
      <c r="X4" s="181"/>
      <c r="Y4" s="181"/>
      <c r="Z4" s="181"/>
      <c r="AA4" s="181"/>
      <c r="AB4" s="180"/>
      <c r="AC4" s="180"/>
      <c r="AD4" s="180"/>
      <c r="AE4" s="180"/>
      <c r="AF4" s="180"/>
      <c r="AG4" s="180"/>
      <c r="AH4" s="182" t="s">
        <v>2921</v>
      </c>
      <c r="AI4" s="182"/>
      <c r="AJ4" s="183"/>
      <c r="AK4" s="183"/>
      <c r="AL4" s="183"/>
      <c r="AM4" s="183"/>
      <c r="AN4" s="183"/>
      <c r="AO4" s="183"/>
      <c r="AP4" s="183"/>
      <c r="AQ4" s="183"/>
      <c r="AR4" s="183"/>
      <c r="AS4" s="183"/>
      <c r="AT4" s="183"/>
      <c r="AU4" s="183"/>
      <c r="AV4" s="183"/>
      <c r="AW4" s="183"/>
      <c r="AX4" s="183"/>
      <c r="AY4" s="183"/>
      <c r="AZ4" s="183"/>
      <c r="BA4" s="183"/>
      <c r="BB4" s="183"/>
    </row>
    <row r="5" ht="21.75" customHeight="1" spans="1:54">
      <c r="A5" s="186" t="s">
        <v>303</v>
      </c>
      <c r="B5" s="187" t="s">
        <v>12</v>
      </c>
      <c r="C5" s="188" t="s">
        <v>143</v>
      </c>
      <c r="D5" s="189" t="s">
        <v>2922</v>
      </c>
      <c r="E5" s="190" t="s">
        <v>2923</v>
      </c>
      <c r="F5" s="191" t="s">
        <v>2924</v>
      </c>
      <c r="G5" s="192"/>
      <c r="H5" s="192"/>
      <c r="I5" s="192"/>
      <c r="J5" s="192"/>
      <c r="K5" s="192"/>
      <c r="L5" s="192"/>
      <c r="M5" s="192"/>
      <c r="N5" s="192"/>
      <c r="O5" s="192"/>
      <c r="P5" s="193"/>
      <c r="Q5" s="191" t="s">
        <v>2925</v>
      </c>
      <c r="R5" s="191"/>
      <c r="S5" s="191"/>
      <c r="T5" s="191" t="s">
        <v>2926</v>
      </c>
      <c r="U5" s="192"/>
      <c r="V5" s="192"/>
      <c r="W5" s="192"/>
      <c r="X5" s="192"/>
      <c r="Y5" s="192"/>
      <c r="Z5" s="192"/>
      <c r="AA5" s="193"/>
      <c r="AB5" s="191" t="s">
        <v>2927</v>
      </c>
      <c r="AC5" s="192"/>
      <c r="AD5" s="192"/>
      <c r="AE5" s="192"/>
      <c r="AF5" s="192"/>
      <c r="AG5" s="193"/>
      <c r="AH5" s="191" t="s">
        <v>2928</v>
      </c>
      <c r="AI5" s="191" t="s">
        <v>310</v>
      </c>
      <c r="AJ5" s="194"/>
      <c r="AK5" s="194"/>
      <c r="AL5" s="194"/>
      <c r="AM5" s="194"/>
      <c r="AN5" s="194"/>
      <c r="AO5" s="194"/>
      <c r="AP5" s="194"/>
      <c r="AQ5" s="194"/>
      <c r="AR5" s="194"/>
      <c r="AS5" s="194"/>
      <c r="AT5" s="194"/>
      <c r="AU5" s="194"/>
      <c r="AV5" s="194"/>
      <c r="AW5" s="194"/>
      <c r="AX5" s="194"/>
      <c r="AY5" s="194"/>
      <c r="AZ5" s="194"/>
      <c r="BA5" s="194"/>
      <c r="BB5" s="194"/>
    </row>
    <row r="6" ht="46.5" customHeight="1" spans="1:54">
      <c r="A6" s="195"/>
      <c r="B6" s="195"/>
      <c r="C6" s="196"/>
      <c r="D6" s="195"/>
      <c r="E6" s="195"/>
      <c r="F6" s="189" t="s">
        <v>436</v>
      </c>
      <c r="G6" s="189" t="s">
        <v>831</v>
      </c>
      <c r="H6" s="189" t="s">
        <v>2929</v>
      </c>
      <c r="I6" s="189" t="s">
        <v>2930</v>
      </c>
      <c r="J6" s="197" t="s">
        <v>2931</v>
      </c>
      <c r="K6" s="189" t="s">
        <v>2932</v>
      </c>
      <c r="L6" s="189" t="s">
        <v>2933</v>
      </c>
      <c r="M6" s="198" t="s">
        <v>374</v>
      </c>
      <c r="N6" s="199" t="s">
        <v>2935</v>
      </c>
      <c r="O6" s="189" t="s">
        <v>2936</v>
      </c>
      <c r="P6" s="189" t="s">
        <v>2937</v>
      </c>
      <c r="Q6" s="198" t="s">
        <v>2938</v>
      </c>
      <c r="R6" s="189"/>
      <c r="S6" s="189" t="s">
        <v>2940</v>
      </c>
      <c r="T6" s="198" t="s">
        <v>2941</v>
      </c>
      <c r="U6" s="190" t="s">
        <v>2942</v>
      </c>
      <c r="V6" s="189" t="s">
        <v>2943</v>
      </c>
      <c r="W6" s="198" t="s">
        <v>2944</v>
      </c>
      <c r="X6" s="198" t="s">
        <v>2945</v>
      </c>
      <c r="Y6" s="200" t="s">
        <v>2946</v>
      </c>
      <c r="Z6" s="200" t="s">
        <v>3017</v>
      </c>
      <c r="AA6" s="189" t="s">
        <v>2948</v>
      </c>
      <c r="AB6" s="190" t="s">
        <v>2949</v>
      </c>
      <c r="AC6" s="190" t="s">
        <v>2950</v>
      </c>
      <c r="AD6" s="201" t="s">
        <v>3018</v>
      </c>
      <c r="AE6" s="190" t="s">
        <v>2951</v>
      </c>
      <c r="AF6" s="189" t="s">
        <v>3019</v>
      </c>
      <c r="AG6" s="189" t="s">
        <v>2953</v>
      </c>
      <c r="AH6" s="195"/>
      <c r="AI6" s="195"/>
      <c r="AJ6" s="194"/>
      <c r="AK6" s="194"/>
      <c r="AL6" s="194"/>
      <c r="AM6" s="194"/>
      <c r="AN6" s="194"/>
      <c r="AO6" s="194"/>
      <c r="AP6" s="194"/>
      <c r="AQ6" s="194"/>
      <c r="AR6" s="194"/>
      <c r="AS6" s="194"/>
      <c r="AT6" s="194"/>
      <c r="AU6" s="194"/>
      <c r="AV6" s="194"/>
      <c r="AW6" s="194"/>
      <c r="AX6" s="194"/>
      <c r="AY6" s="194"/>
      <c r="AZ6" s="194"/>
      <c r="BA6" s="194"/>
      <c r="BB6" s="194"/>
    </row>
    <row r="7" ht="20.1" customHeight="1" spans="1:54">
      <c r="A7" s="202"/>
      <c r="B7" s="203" t="s">
        <v>2964</v>
      </c>
      <c r="C7" s="204" t="s">
        <v>1140</v>
      </c>
      <c r="D7" s="205"/>
      <c r="E7" s="204" t="s">
        <v>1056</v>
      </c>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7"/>
      <c r="AG7" s="206"/>
      <c r="AH7" s="206"/>
      <c r="AI7" s="208"/>
      <c r="AJ7" s="209"/>
      <c r="AK7" s="209"/>
      <c r="AL7" s="209"/>
      <c r="AM7" s="209"/>
      <c r="AN7" s="209"/>
      <c r="AO7" s="209"/>
      <c r="AP7" s="209"/>
      <c r="AQ7" s="209"/>
      <c r="AR7" s="209"/>
      <c r="AS7" s="209"/>
      <c r="AT7" s="209"/>
      <c r="AU7" s="209"/>
      <c r="AV7" s="209"/>
      <c r="AW7" s="209"/>
      <c r="AX7" s="209"/>
      <c r="AY7" s="209"/>
      <c r="AZ7" s="209"/>
      <c r="BA7" s="209"/>
      <c r="BB7" s="209"/>
    </row>
    <row r="8" ht="20.1" customHeight="1" spans="1:54">
      <c r="A8" s="202"/>
      <c r="B8" s="203" t="s">
        <v>3039</v>
      </c>
      <c r="C8" s="210" t="s">
        <v>1119</v>
      </c>
      <c r="D8" s="211"/>
      <c r="E8" s="212" t="s">
        <v>2965</v>
      </c>
      <c r="F8" s="213"/>
      <c r="G8" s="213"/>
      <c r="H8" s="213"/>
      <c r="I8" s="213"/>
      <c r="J8" s="206"/>
      <c r="K8" s="213"/>
      <c r="L8" s="213"/>
      <c r="M8" s="213"/>
      <c r="N8" s="214"/>
      <c r="O8" s="213"/>
      <c r="P8" s="206"/>
      <c r="Q8" s="206"/>
      <c r="R8" s="214"/>
      <c r="S8" s="206"/>
      <c r="T8" s="206"/>
      <c r="U8" s="206"/>
      <c r="V8" s="206"/>
      <c r="W8" s="206"/>
      <c r="X8" s="206"/>
      <c r="Y8" s="206"/>
      <c r="Z8" s="206"/>
      <c r="AA8" s="206"/>
      <c r="AB8" s="206"/>
      <c r="AC8" s="206"/>
      <c r="AD8" s="206"/>
      <c r="AE8" s="214"/>
      <c r="AF8" s="207"/>
      <c r="AG8" s="206"/>
      <c r="AH8" s="206"/>
      <c r="AI8" s="215"/>
      <c r="AJ8" s="209"/>
      <c r="AK8" s="209"/>
      <c r="AL8" s="209"/>
      <c r="AM8" s="209"/>
      <c r="AN8" s="209"/>
      <c r="AO8" s="209"/>
      <c r="AP8" s="209"/>
      <c r="AQ8" s="209"/>
      <c r="AR8" s="209"/>
      <c r="AS8" s="209"/>
      <c r="AT8" s="209"/>
      <c r="AU8" s="209"/>
      <c r="AV8" s="209"/>
      <c r="AW8" s="209"/>
      <c r="AX8" s="209"/>
      <c r="AY8" s="209"/>
      <c r="AZ8" s="209"/>
      <c r="BA8" s="209"/>
      <c r="BB8" s="209"/>
    </row>
    <row r="9" ht="16.5" customHeight="1" spans="1:54">
      <c r="A9" s="202"/>
      <c r="B9" s="203" t="s">
        <v>3039</v>
      </c>
      <c r="C9" s="216" t="s">
        <v>213</v>
      </c>
      <c r="D9" s="217"/>
      <c r="E9" s="218" t="s">
        <v>3040</v>
      </c>
      <c r="F9" s="213"/>
      <c r="G9" s="213"/>
      <c r="H9" s="213"/>
      <c r="I9" s="213"/>
      <c r="J9" s="206"/>
      <c r="K9" s="213"/>
      <c r="L9" s="213"/>
      <c r="M9" s="213"/>
      <c r="N9" s="214"/>
      <c r="O9" s="213"/>
      <c r="P9" s="206"/>
      <c r="Q9" s="206"/>
      <c r="R9" s="214"/>
      <c r="S9" s="206"/>
      <c r="T9" s="206"/>
      <c r="U9" s="206"/>
      <c r="V9" s="206"/>
      <c r="W9" s="206"/>
      <c r="X9" s="206"/>
      <c r="Y9" s="206"/>
      <c r="Z9" s="206"/>
      <c r="AA9" s="206"/>
      <c r="AB9" s="206"/>
      <c r="AC9" s="206"/>
      <c r="AD9" s="206"/>
      <c r="AE9" s="214"/>
      <c r="AF9" s="207"/>
      <c r="AG9" s="206"/>
      <c r="AH9" s="206"/>
      <c r="AI9" s="215"/>
      <c r="AJ9" s="209"/>
      <c r="AK9" s="209"/>
      <c r="AL9" s="209"/>
      <c r="AM9" s="209"/>
      <c r="AN9" s="209"/>
      <c r="AO9" s="209"/>
      <c r="AP9" s="209"/>
      <c r="AQ9" s="209"/>
      <c r="AR9" s="209"/>
      <c r="AS9" s="209"/>
      <c r="AT9" s="209"/>
      <c r="AU9" s="209"/>
      <c r="AV9" s="209"/>
      <c r="AW9" s="209"/>
      <c r="AX9" s="209"/>
      <c r="AY9" s="209"/>
      <c r="AZ9" s="209"/>
      <c r="BA9" s="209"/>
      <c r="BB9" s="209"/>
    </row>
    <row r="10" ht="20.1" customHeight="1" spans="1:54">
      <c r="A10" s="202"/>
      <c r="B10" s="219" t="s">
        <v>1084</v>
      </c>
      <c r="C10" s="216" t="s">
        <v>1086</v>
      </c>
      <c r="D10" s="220"/>
      <c r="E10" s="221" t="s">
        <v>1087</v>
      </c>
      <c r="F10" s="222"/>
      <c r="G10" s="222"/>
      <c r="H10" s="222"/>
      <c r="I10" s="222"/>
      <c r="J10" s="206"/>
      <c r="K10" s="222"/>
      <c r="L10" s="222"/>
      <c r="M10" s="213"/>
      <c r="N10" s="223"/>
      <c r="O10" s="222"/>
      <c r="P10" s="206"/>
      <c r="Q10" s="206"/>
      <c r="R10" s="223"/>
      <c r="S10" s="206"/>
      <c r="T10" s="206"/>
      <c r="U10" s="206"/>
      <c r="V10" s="206"/>
      <c r="W10" s="206"/>
      <c r="X10" s="206"/>
      <c r="Y10" s="206"/>
      <c r="Z10" s="206"/>
      <c r="AA10" s="206"/>
      <c r="AB10" s="206"/>
      <c r="AC10" s="206"/>
      <c r="AD10" s="206"/>
      <c r="AE10" s="223"/>
      <c r="AF10" s="207"/>
      <c r="AG10" s="206"/>
      <c r="AH10" s="206"/>
      <c r="AI10" s="224"/>
      <c r="AJ10" s="225"/>
      <c r="AK10" s="225"/>
      <c r="AL10" s="225"/>
      <c r="AM10" s="225"/>
      <c r="AN10" s="225"/>
      <c r="AO10" s="225"/>
      <c r="AP10" s="225"/>
      <c r="AQ10" s="225"/>
      <c r="AR10" s="225"/>
      <c r="AS10" s="225"/>
      <c r="AT10" s="225"/>
      <c r="AU10" s="225"/>
      <c r="AV10" s="225"/>
      <c r="AW10" s="225"/>
      <c r="AX10" s="225"/>
      <c r="AY10" s="225"/>
      <c r="AZ10" s="225"/>
      <c r="BA10" s="225"/>
      <c r="BB10" s="225"/>
    </row>
    <row r="11" ht="20.1" customHeight="1" spans="1:54">
      <c r="A11" s="202"/>
      <c r="B11" s="219" t="s">
        <v>1084</v>
      </c>
      <c r="C11" s="221" t="s">
        <v>1088</v>
      </c>
      <c r="D11" s="220"/>
      <c r="E11" s="221" t="s">
        <v>2988</v>
      </c>
      <c r="F11" s="222"/>
      <c r="G11" s="222"/>
      <c r="H11" s="222"/>
      <c r="I11" s="222"/>
      <c r="J11" s="206"/>
      <c r="K11" s="222"/>
      <c r="L11" s="222"/>
      <c r="M11" s="213"/>
      <c r="N11" s="213"/>
      <c r="O11" s="222"/>
      <c r="P11" s="206"/>
      <c r="Q11" s="206"/>
      <c r="R11" s="223"/>
      <c r="S11" s="206"/>
      <c r="T11" s="206"/>
      <c r="U11" s="206"/>
      <c r="V11" s="206"/>
      <c r="W11" s="206"/>
      <c r="X11" s="206"/>
      <c r="Y11" s="206"/>
      <c r="Z11" s="206"/>
      <c r="AA11" s="206"/>
      <c r="AB11" s="206"/>
      <c r="AC11" s="206"/>
      <c r="AD11" s="206"/>
      <c r="AE11" s="223"/>
      <c r="AF11" s="207"/>
      <c r="AG11" s="206"/>
      <c r="AH11" s="206"/>
      <c r="AI11" s="224"/>
      <c r="AJ11" s="225"/>
      <c r="AK11" s="225"/>
      <c r="AL11" s="225"/>
      <c r="AM11" s="225"/>
      <c r="AN11" s="225"/>
      <c r="AO11" s="225"/>
      <c r="AP11" s="225"/>
      <c r="AQ11" s="225"/>
      <c r="AR11" s="225"/>
      <c r="AS11" s="225"/>
      <c r="AT11" s="225"/>
      <c r="AU11" s="225"/>
      <c r="AV11" s="225"/>
      <c r="AW11" s="225"/>
      <c r="AX11" s="225"/>
      <c r="AY11" s="225"/>
      <c r="AZ11" s="225"/>
      <c r="BA11" s="225"/>
      <c r="BB11" s="225"/>
    </row>
    <row r="12" ht="20.1" customHeight="1" spans="1:54">
      <c r="A12" s="202"/>
      <c r="B12" s="218" t="s">
        <v>789</v>
      </c>
      <c r="C12" s="221" t="s">
        <v>331</v>
      </c>
      <c r="D12" s="220"/>
      <c r="E12" s="221" t="s">
        <v>790</v>
      </c>
      <c r="F12" s="222"/>
      <c r="G12" s="222"/>
      <c r="H12" s="222"/>
      <c r="I12" s="222"/>
      <c r="J12" s="206"/>
      <c r="K12" s="222"/>
      <c r="L12" s="222"/>
      <c r="M12" s="213"/>
      <c r="N12" s="213"/>
      <c r="O12" s="222"/>
      <c r="P12" s="206"/>
      <c r="Q12" s="206"/>
      <c r="R12" s="223"/>
      <c r="S12" s="206"/>
      <c r="T12" s="206"/>
      <c r="U12" s="206"/>
      <c r="V12" s="206"/>
      <c r="W12" s="206"/>
      <c r="X12" s="206"/>
      <c r="Y12" s="206"/>
      <c r="Z12" s="206"/>
      <c r="AA12" s="206"/>
      <c r="AB12" s="206"/>
      <c r="AC12" s="206"/>
      <c r="AD12" s="206"/>
      <c r="AE12" s="223"/>
      <c r="AF12" s="207"/>
      <c r="AG12" s="206"/>
      <c r="AH12" s="206"/>
      <c r="AI12" s="224"/>
      <c r="AJ12" s="225"/>
      <c r="AK12" s="225"/>
      <c r="AL12" s="225"/>
      <c r="AM12" s="225"/>
      <c r="AN12" s="225"/>
      <c r="AO12" s="225"/>
      <c r="AP12" s="225"/>
      <c r="AQ12" s="225"/>
      <c r="AR12" s="225"/>
      <c r="AS12" s="225"/>
      <c r="AT12" s="225"/>
      <c r="AU12" s="225"/>
      <c r="AV12" s="225"/>
      <c r="AW12" s="225"/>
      <c r="AX12" s="225"/>
      <c r="AY12" s="225"/>
      <c r="AZ12" s="225"/>
      <c r="BA12" s="225"/>
      <c r="BB12" s="225"/>
    </row>
    <row r="13" ht="20.1" customHeight="1" spans="1:54">
      <c r="A13" s="202"/>
      <c r="B13" s="218" t="s">
        <v>789</v>
      </c>
      <c r="C13" s="226" t="s">
        <v>335</v>
      </c>
      <c r="D13" s="220"/>
      <c r="E13" s="227" t="s">
        <v>790</v>
      </c>
      <c r="F13" s="222"/>
      <c r="G13" s="222"/>
      <c r="H13" s="222"/>
      <c r="I13" s="222"/>
      <c r="J13" s="206"/>
      <c r="K13" s="222"/>
      <c r="L13" s="222"/>
      <c r="M13" s="213"/>
      <c r="N13" s="223"/>
      <c r="O13" s="222"/>
      <c r="P13" s="206"/>
      <c r="Q13" s="206"/>
      <c r="R13" s="223"/>
      <c r="S13" s="206"/>
      <c r="T13" s="206"/>
      <c r="U13" s="206"/>
      <c r="V13" s="206"/>
      <c r="W13" s="206"/>
      <c r="X13" s="206"/>
      <c r="Y13" s="206"/>
      <c r="Z13" s="206"/>
      <c r="AA13" s="206"/>
      <c r="AB13" s="206"/>
      <c r="AC13" s="206"/>
      <c r="AD13" s="206"/>
      <c r="AE13" s="223"/>
      <c r="AF13" s="207"/>
      <c r="AG13" s="206"/>
      <c r="AH13" s="206"/>
      <c r="AI13" s="224"/>
      <c r="AJ13" s="225"/>
      <c r="AK13" s="225"/>
      <c r="AL13" s="225"/>
      <c r="AM13" s="225"/>
      <c r="AN13" s="225"/>
      <c r="AO13" s="225"/>
      <c r="AP13" s="225"/>
      <c r="AQ13" s="225"/>
      <c r="AR13" s="225"/>
      <c r="AS13" s="225"/>
      <c r="AT13" s="225"/>
      <c r="AU13" s="225"/>
      <c r="AV13" s="225"/>
      <c r="AW13" s="225"/>
      <c r="AX13" s="225"/>
      <c r="AY13" s="225"/>
      <c r="AZ13" s="225"/>
      <c r="BA13" s="225"/>
      <c r="BB13" s="225"/>
    </row>
    <row r="14" ht="20.1" customHeight="1" spans="1:54">
      <c r="A14" s="202"/>
      <c r="B14" s="218" t="s">
        <v>789</v>
      </c>
      <c r="C14" s="226" t="s">
        <v>334</v>
      </c>
      <c r="D14" s="220"/>
      <c r="E14" s="227" t="s">
        <v>790</v>
      </c>
      <c r="F14" s="222"/>
      <c r="G14" s="222"/>
      <c r="H14" s="222"/>
      <c r="I14" s="222"/>
      <c r="J14" s="206"/>
      <c r="K14" s="222"/>
      <c r="L14" s="222"/>
      <c r="M14" s="213"/>
      <c r="N14" s="223"/>
      <c r="O14" s="222"/>
      <c r="P14" s="206"/>
      <c r="Q14" s="206"/>
      <c r="R14" s="223"/>
      <c r="S14" s="206"/>
      <c r="T14" s="206"/>
      <c r="U14" s="206"/>
      <c r="V14" s="206"/>
      <c r="W14" s="206"/>
      <c r="X14" s="206"/>
      <c r="Y14" s="206"/>
      <c r="Z14" s="206"/>
      <c r="AA14" s="206"/>
      <c r="AB14" s="206"/>
      <c r="AC14" s="206"/>
      <c r="AD14" s="206"/>
      <c r="AE14" s="223"/>
      <c r="AF14" s="207"/>
      <c r="AG14" s="206"/>
      <c r="AH14" s="206"/>
      <c r="AI14" s="224"/>
      <c r="AJ14" s="225"/>
      <c r="AK14" s="225"/>
      <c r="AL14" s="225"/>
      <c r="AM14" s="225"/>
      <c r="AN14" s="225"/>
      <c r="AO14" s="225"/>
      <c r="AP14" s="225"/>
      <c r="AQ14" s="225"/>
      <c r="AR14" s="225"/>
      <c r="AS14" s="225"/>
      <c r="AT14" s="225"/>
      <c r="AU14" s="225"/>
      <c r="AV14" s="225"/>
      <c r="AW14" s="225"/>
      <c r="AX14" s="225"/>
      <c r="AY14" s="225"/>
      <c r="AZ14" s="225"/>
      <c r="BA14" s="225"/>
      <c r="BB14" s="225"/>
    </row>
    <row r="15" ht="20.1" customHeight="1" spans="1:54">
      <c r="A15" s="202"/>
      <c r="B15" s="219" t="s">
        <v>1102</v>
      </c>
      <c r="C15" s="221" t="s">
        <v>1107</v>
      </c>
      <c r="D15" s="220"/>
      <c r="E15" s="221" t="s">
        <v>1108</v>
      </c>
      <c r="F15" s="222"/>
      <c r="G15" s="222"/>
      <c r="H15" s="222"/>
      <c r="I15" s="222"/>
      <c r="J15" s="206"/>
      <c r="K15" s="222"/>
      <c r="L15" s="222"/>
      <c r="M15" s="213"/>
      <c r="N15" s="181"/>
      <c r="O15" s="222"/>
      <c r="P15" s="206"/>
      <c r="Q15" s="206"/>
      <c r="R15" s="223"/>
      <c r="S15" s="206"/>
      <c r="T15" s="206"/>
      <c r="U15" s="206"/>
      <c r="V15" s="206"/>
      <c r="W15" s="206"/>
      <c r="X15" s="206"/>
      <c r="Y15" s="206"/>
      <c r="Z15" s="206"/>
      <c r="AA15" s="206"/>
      <c r="AB15" s="206"/>
      <c r="AC15" s="206"/>
      <c r="AD15" s="206"/>
      <c r="AE15" s="223"/>
      <c r="AF15" s="207"/>
      <c r="AG15" s="206"/>
      <c r="AH15" s="206"/>
      <c r="AI15" s="224"/>
      <c r="AJ15" s="225"/>
      <c r="AK15" s="225"/>
      <c r="AL15" s="225"/>
      <c r="AM15" s="225"/>
      <c r="AN15" s="225"/>
      <c r="AO15" s="225"/>
      <c r="AP15" s="225"/>
      <c r="AQ15" s="225"/>
      <c r="AR15" s="225"/>
      <c r="AS15" s="225"/>
      <c r="AT15" s="225"/>
      <c r="AU15" s="225"/>
      <c r="AV15" s="225"/>
      <c r="AW15" s="225"/>
      <c r="AX15" s="225"/>
      <c r="AY15" s="225"/>
      <c r="AZ15" s="225"/>
      <c r="BA15" s="225"/>
      <c r="BB15" s="225"/>
    </row>
    <row r="16" ht="18" customHeight="1" spans="1:54">
      <c r="A16" s="202"/>
      <c r="B16" s="216" t="s">
        <v>1102</v>
      </c>
      <c r="C16" s="216" t="s">
        <v>1111</v>
      </c>
      <c r="D16" s="228"/>
      <c r="E16" s="216" t="s">
        <v>1108</v>
      </c>
      <c r="F16" s="222"/>
      <c r="G16" s="222"/>
      <c r="H16" s="229"/>
      <c r="I16" s="222"/>
      <c r="J16" s="206"/>
      <c r="K16" s="229"/>
      <c r="L16" s="229"/>
      <c r="M16" s="213"/>
      <c r="N16" s="223"/>
      <c r="O16" s="229"/>
      <c r="P16" s="206"/>
      <c r="Q16" s="206"/>
      <c r="R16" s="229"/>
      <c r="S16" s="206"/>
      <c r="T16" s="206"/>
      <c r="U16" s="206"/>
      <c r="V16" s="206"/>
      <c r="W16" s="206"/>
      <c r="X16" s="206"/>
      <c r="Y16" s="206"/>
      <c r="Z16" s="206"/>
      <c r="AA16" s="206"/>
      <c r="AB16" s="206"/>
      <c r="AC16" s="206"/>
      <c r="AD16" s="206"/>
      <c r="AE16" s="223"/>
      <c r="AF16" s="207"/>
      <c r="AG16" s="206"/>
      <c r="AH16" s="206"/>
      <c r="AI16" s="230"/>
      <c r="AJ16" s="231"/>
      <c r="AK16" s="231"/>
      <c r="AL16" s="231"/>
      <c r="AM16" s="231"/>
      <c r="AN16" s="231"/>
      <c r="AO16" s="231"/>
      <c r="AP16" s="231"/>
      <c r="AQ16" s="231"/>
      <c r="AR16" s="231"/>
      <c r="AS16" s="231"/>
      <c r="AT16" s="231"/>
      <c r="AU16" s="231"/>
      <c r="AV16" s="231"/>
      <c r="AW16" s="231"/>
      <c r="AX16" s="231"/>
      <c r="AY16" s="231"/>
      <c r="AZ16" s="231"/>
      <c r="BA16" s="231"/>
      <c r="BB16" s="231"/>
    </row>
    <row r="17" ht="20.1" customHeight="1" spans="1:56">
      <c r="A17" s="202"/>
      <c r="B17" s="232" t="s">
        <v>1102</v>
      </c>
      <c r="C17" s="204" t="s">
        <v>1126</v>
      </c>
      <c r="D17" s="233"/>
      <c r="E17" s="234" t="s">
        <v>36</v>
      </c>
      <c r="F17" s="206"/>
      <c r="G17" s="206"/>
      <c r="H17" s="235"/>
      <c r="I17" s="235"/>
      <c r="J17" s="206"/>
      <c r="K17" s="236"/>
      <c r="L17" s="236"/>
      <c r="M17" s="236"/>
      <c r="N17" s="236"/>
      <c r="O17" s="236"/>
      <c r="P17" s="206"/>
      <c r="Q17" s="206"/>
      <c r="R17" s="214"/>
      <c r="S17" s="206"/>
      <c r="T17" s="206"/>
      <c r="U17" s="206"/>
      <c r="V17" s="206"/>
      <c r="W17" s="206"/>
      <c r="X17" s="206"/>
      <c r="Y17" s="206"/>
      <c r="Z17" s="206"/>
      <c r="AA17" s="206"/>
      <c r="AB17" s="206"/>
      <c r="AC17" s="206"/>
      <c r="AD17" s="206"/>
      <c r="AE17" s="214"/>
      <c r="AF17" s="207"/>
      <c r="AG17" s="206"/>
      <c r="AH17" s="206"/>
      <c r="AI17" s="215"/>
      <c r="AJ17" s="209"/>
      <c r="AK17" s="209"/>
      <c r="AL17" s="209"/>
      <c r="AM17" s="209"/>
      <c r="AN17" s="209"/>
      <c r="AO17" s="209"/>
      <c r="AP17" s="209"/>
      <c r="AQ17" s="209"/>
      <c r="AR17" s="209"/>
      <c r="AS17" s="209"/>
      <c r="AT17" s="209"/>
      <c r="AU17" s="209"/>
      <c r="AV17" s="209"/>
      <c r="AW17" s="209"/>
      <c r="AX17" s="209"/>
      <c r="AY17" s="209"/>
      <c r="AZ17" s="209"/>
      <c r="BA17" s="209"/>
      <c r="BB17" s="209"/>
    </row>
    <row r="18" ht="20.1" customHeight="1" spans="1:56">
      <c r="A18" s="202"/>
      <c r="B18" s="219" t="s">
        <v>2979</v>
      </c>
      <c r="C18" s="222" t="s">
        <v>906</v>
      </c>
      <c r="D18" s="220" t="s">
        <v>2983</v>
      </c>
      <c r="E18" s="222" t="s">
        <v>3041</v>
      </c>
      <c r="F18" s="222"/>
      <c r="G18" s="222"/>
      <c r="H18" s="222"/>
      <c r="I18" s="222"/>
      <c r="J18" s="206"/>
      <c r="K18" s="222"/>
      <c r="L18" s="222"/>
      <c r="M18" s="213"/>
      <c r="N18" s="223"/>
      <c r="O18" s="222"/>
      <c r="P18" s="206"/>
      <c r="Q18" s="206"/>
      <c r="R18" s="223"/>
      <c r="S18" s="206"/>
      <c r="T18" s="206"/>
      <c r="U18" s="206"/>
      <c r="V18" s="206"/>
      <c r="W18" s="206"/>
      <c r="X18" s="206"/>
      <c r="Y18" s="206"/>
      <c r="Z18" s="206"/>
      <c r="AA18" s="206"/>
      <c r="AB18" s="206"/>
      <c r="AC18" s="206"/>
      <c r="AD18" s="206"/>
      <c r="AE18" s="223"/>
      <c r="AF18" s="207"/>
      <c r="AG18" s="206"/>
      <c r="AH18" s="206"/>
      <c r="AI18" s="224"/>
      <c r="AJ18" s="225"/>
      <c r="AK18" s="225"/>
      <c r="AL18" s="225"/>
      <c r="AM18" s="225"/>
      <c r="AN18" s="225"/>
      <c r="AO18" s="225"/>
      <c r="AP18" s="225"/>
      <c r="AQ18" s="225"/>
      <c r="AR18" s="225"/>
      <c r="AS18" s="225"/>
      <c r="AT18" s="225"/>
      <c r="AU18" s="225"/>
      <c r="AV18" s="225"/>
      <c r="AW18" s="225"/>
      <c r="AX18" s="225"/>
      <c r="AY18" s="225"/>
      <c r="AZ18" s="225"/>
      <c r="BA18" s="225"/>
      <c r="BB18" s="225"/>
    </row>
    <row r="19" ht="20.1" customHeight="1" spans="1:56">
      <c r="A19" s="202"/>
      <c r="B19" s="219" t="s">
        <v>2979</v>
      </c>
      <c r="C19" s="221" t="s">
        <v>1068</v>
      </c>
      <c r="D19" s="220" t="s">
        <v>3042</v>
      </c>
      <c r="E19" s="221" t="s">
        <v>3033</v>
      </c>
      <c r="F19" s="222"/>
      <c r="G19" s="222"/>
      <c r="H19" s="222"/>
      <c r="I19" s="222"/>
      <c r="J19" s="206"/>
      <c r="K19" s="222"/>
      <c r="L19" s="222"/>
      <c r="M19" s="213"/>
      <c r="N19" s="223"/>
      <c r="O19" s="222"/>
      <c r="P19" s="206"/>
      <c r="Q19" s="206"/>
      <c r="R19" s="223"/>
      <c r="S19" s="206"/>
      <c r="T19" s="206"/>
      <c r="U19" s="206"/>
      <c r="V19" s="206"/>
      <c r="W19" s="206"/>
      <c r="X19" s="206"/>
      <c r="Y19" s="206"/>
      <c r="Z19" s="206"/>
      <c r="AA19" s="206"/>
      <c r="AB19" s="206"/>
      <c r="AC19" s="206"/>
      <c r="AD19" s="206"/>
      <c r="AE19" s="223"/>
      <c r="AF19" s="207"/>
      <c r="AG19" s="206"/>
      <c r="AH19" s="206"/>
      <c r="AI19" s="224"/>
      <c r="AJ19" s="225"/>
      <c r="AK19" s="225"/>
      <c r="AL19" s="225"/>
      <c r="AM19" s="225"/>
      <c r="AN19" s="225"/>
      <c r="AO19" s="225"/>
      <c r="AP19" s="225"/>
      <c r="AQ19" s="225"/>
      <c r="AR19" s="225"/>
      <c r="AS19" s="225"/>
      <c r="AT19" s="225"/>
      <c r="AU19" s="225"/>
      <c r="AV19" s="225"/>
      <c r="AW19" s="225"/>
      <c r="AX19" s="225"/>
      <c r="AY19" s="225"/>
      <c r="AZ19" s="225"/>
      <c r="BA19" s="225"/>
      <c r="BB19" s="225"/>
    </row>
    <row r="20" ht="20.1" customHeight="1" spans="1:56">
      <c r="A20" s="202"/>
      <c r="B20" s="219" t="s">
        <v>2979</v>
      </c>
      <c r="C20" s="221" t="s">
        <v>1067</v>
      </c>
      <c r="D20" s="220"/>
      <c r="E20" s="221" t="s">
        <v>3033</v>
      </c>
      <c r="F20" s="222"/>
      <c r="G20" s="222"/>
      <c r="H20" s="222"/>
      <c r="I20" s="222"/>
      <c r="J20" s="206"/>
      <c r="K20" s="222"/>
      <c r="L20" s="222"/>
      <c r="M20" s="213"/>
      <c r="N20" s="223"/>
      <c r="O20" s="222"/>
      <c r="P20" s="206"/>
      <c r="Q20" s="206"/>
      <c r="R20" s="223"/>
      <c r="S20" s="206"/>
      <c r="T20" s="206"/>
      <c r="U20" s="206"/>
      <c r="V20" s="206"/>
      <c r="W20" s="206"/>
      <c r="X20" s="206"/>
      <c r="Y20" s="206"/>
      <c r="Z20" s="206"/>
      <c r="AA20" s="206"/>
      <c r="AB20" s="206"/>
      <c r="AC20" s="206"/>
      <c r="AD20" s="206"/>
      <c r="AE20" s="223"/>
      <c r="AF20" s="207"/>
      <c r="AG20" s="206"/>
      <c r="AH20" s="206"/>
      <c r="AI20" s="224"/>
      <c r="AJ20" s="225"/>
      <c r="AK20" s="225"/>
      <c r="AL20" s="225"/>
      <c r="AM20" s="225"/>
      <c r="AN20" s="225"/>
      <c r="AO20" s="225"/>
      <c r="AP20" s="225"/>
      <c r="AQ20" s="225"/>
      <c r="AR20" s="225"/>
      <c r="AS20" s="225"/>
      <c r="AT20" s="225"/>
      <c r="AU20" s="225"/>
      <c r="AV20" s="225"/>
      <c r="AW20" s="225"/>
      <c r="AX20" s="225"/>
      <c r="AY20" s="225"/>
      <c r="AZ20" s="225"/>
      <c r="BA20" s="225"/>
      <c r="BB20" s="225"/>
    </row>
    <row r="21" ht="18" customHeight="1" spans="1:56">
      <c r="A21" s="202"/>
      <c r="B21" s="216" t="s">
        <v>2979</v>
      </c>
      <c r="C21" s="216" t="s">
        <v>1064</v>
      </c>
      <c r="D21" s="228"/>
      <c r="E21" s="216" t="s">
        <v>3043</v>
      </c>
      <c r="F21" s="237"/>
      <c r="G21" s="237"/>
      <c r="H21" s="231"/>
      <c r="I21" s="222"/>
      <c r="J21" s="206"/>
      <c r="K21" s="229"/>
      <c r="L21" s="229"/>
      <c r="M21" s="213"/>
      <c r="N21" s="237"/>
      <c r="O21" s="229"/>
      <c r="P21" s="206"/>
      <c r="Q21" s="206"/>
      <c r="R21" s="229"/>
      <c r="S21" s="206"/>
      <c r="T21" s="206"/>
      <c r="U21" s="206"/>
      <c r="V21" s="206"/>
      <c r="W21" s="206"/>
      <c r="X21" s="206"/>
      <c r="Y21" s="206"/>
      <c r="Z21" s="206"/>
      <c r="AA21" s="206"/>
      <c r="AB21" s="206"/>
      <c r="AC21" s="206"/>
      <c r="AD21" s="206"/>
      <c r="AE21" s="223"/>
      <c r="AF21" s="207"/>
      <c r="AG21" s="206"/>
      <c r="AH21" s="206"/>
      <c r="AI21" s="230"/>
      <c r="AJ21" s="209"/>
      <c r="AK21" s="209"/>
      <c r="AL21" s="209"/>
      <c r="AM21" s="209"/>
      <c r="AN21" s="209"/>
      <c r="AO21" s="209"/>
      <c r="AP21" s="209"/>
      <c r="AQ21" s="209"/>
      <c r="AR21" s="209"/>
      <c r="AS21" s="209"/>
      <c r="AT21" s="209"/>
      <c r="AU21" s="209"/>
      <c r="AV21" s="209"/>
      <c r="AW21" s="209"/>
      <c r="AX21" s="209"/>
      <c r="AY21" s="209"/>
      <c r="AZ21" s="209"/>
      <c r="BA21" s="209"/>
      <c r="BB21" s="209"/>
    </row>
    <row r="22" ht="20.1" customHeight="1" spans="1:56">
      <c r="A22" s="202"/>
      <c r="B22" s="219" t="s">
        <v>1073</v>
      </c>
      <c r="C22" s="221" t="s">
        <v>752</v>
      </c>
      <c r="D22" s="220"/>
      <c r="E22" s="221" t="s">
        <v>2995</v>
      </c>
      <c r="F22" s="222"/>
      <c r="G22" s="222"/>
      <c r="H22" s="222"/>
      <c r="I22" s="222"/>
      <c r="J22" s="206"/>
      <c r="K22" s="222"/>
      <c r="L22" s="222"/>
      <c r="M22" s="213"/>
      <c r="N22" s="223"/>
      <c r="O22" s="222"/>
      <c r="P22" s="206"/>
      <c r="Q22" s="206"/>
      <c r="R22" s="223"/>
      <c r="S22" s="206"/>
      <c r="T22" s="206"/>
      <c r="U22" s="206"/>
      <c r="V22" s="206"/>
      <c r="W22" s="206"/>
      <c r="X22" s="206"/>
      <c r="Y22" s="206"/>
      <c r="Z22" s="206"/>
      <c r="AA22" s="206"/>
      <c r="AB22" s="206"/>
      <c r="AC22" s="206"/>
      <c r="AD22" s="206"/>
      <c r="AE22" s="223"/>
      <c r="AF22" s="207"/>
      <c r="AG22" s="206"/>
      <c r="AH22" s="206"/>
      <c r="AI22" s="224"/>
      <c r="AJ22" s="225"/>
      <c r="AK22" s="225"/>
      <c r="AL22" s="225"/>
      <c r="AM22" s="225"/>
      <c r="AN22" s="225"/>
      <c r="AO22" s="225"/>
      <c r="AP22" s="225"/>
      <c r="AQ22" s="225"/>
      <c r="AR22" s="225"/>
      <c r="AS22" s="225"/>
      <c r="AT22" s="225"/>
      <c r="AU22" s="225"/>
      <c r="AV22" s="225"/>
      <c r="AW22" s="225"/>
      <c r="AX22" s="225"/>
      <c r="AY22" s="225"/>
      <c r="AZ22" s="225"/>
      <c r="BA22" s="225"/>
      <c r="BB22" s="225"/>
    </row>
    <row r="23" ht="21.75" customHeight="1" spans="1:56">
      <c r="A23" s="202"/>
      <c r="B23" s="238" t="s">
        <v>3044</v>
      </c>
      <c r="C23" s="239" t="s">
        <v>1083</v>
      </c>
      <c r="D23" s="240"/>
      <c r="E23" s="239" t="s">
        <v>2997</v>
      </c>
      <c r="F23" s="222"/>
      <c r="G23" s="222"/>
      <c r="H23" s="222"/>
      <c r="I23" s="222"/>
      <c r="J23" s="206"/>
      <c r="K23" s="222"/>
      <c r="L23" s="222"/>
      <c r="M23" s="213"/>
      <c r="N23" s="223"/>
      <c r="O23" s="222"/>
      <c r="P23" s="206"/>
      <c r="Q23" s="206"/>
      <c r="R23" s="223"/>
      <c r="S23" s="206"/>
      <c r="T23" s="206"/>
      <c r="U23" s="206"/>
      <c r="V23" s="206"/>
      <c r="W23" s="206"/>
      <c r="X23" s="206"/>
      <c r="Y23" s="206"/>
      <c r="Z23" s="206"/>
      <c r="AA23" s="206"/>
      <c r="AB23" s="206"/>
      <c r="AC23" s="206"/>
      <c r="AD23" s="206"/>
      <c r="AE23" s="214"/>
      <c r="AF23" s="207"/>
      <c r="AG23" s="206"/>
      <c r="AH23" s="206"/>
      <c r="AI23" s="241"/>
      <c r="AJ23" s="209"/>
      <c r="AK23" s="209"/>
      <c r="AL23" s="209"/>
      <c r="AM23" s="209"/>
      <c r="AN23" s="209"/>
      <c r="AO23" s="209"/>
      <c r="AP23" s="209"/>
      <c r="AQ23" s="209"/>
      <c r="AR23" s="209"/>
      <c r="AS23" s="209"/>
      <c r="AT23" s="209"/>
      <c r="AU23" s="209"/>
      <c r="AV23" s="209"/>
      <c r="AW23" s="209"/>
      <c r="AX23" s="209"/>
      <c r="AY23" s="209"/>
      <c r="AZ23" s="209"/>
      <c r="BA23" s="209"/>
      <c r="BB23" s="209"/>
    </row>
    <row r="24" ht="20.1" customHeight="1" spans="1:56">
      <c r="A24" s="202"/>
      <c r="B24" s="238" t="s">
        <v>3001</v>
      </c>
      <c r="C24" s="239" t="s">
        <v>495</v>
      </c>
      <c r="D24" s="240"/>
      <c r="E24" s="239" t="s">
        <v>3003</v>
      </c>
      <c r="F24" s="222"/>
      <c r="G24" s="222"/>
      <c r="H24" s="222"/>
      <c r="I24" s="222"/>
      <c r="J24" s="206"/>
      <c r="K24" s="222"/>
      <c r="L24" s="222"/>
      <c r="M24" s="213"/>
      <c r="N24" s="223"/>
      <c r="O24" s="222"/>
      <c r="P24" s="206"/>
      <c r="Q24" s="206"/>
      <c r="R24" s="223"/>
      <c r="S24" s="206"/>
      <c r="T24" s="206"/>
      <c r="U24" s="206"/>
      <c r="V24" s="206"/>
      <c r="W24" s="206"/>
      <c r="X24" s="206"/>
      <c r="Y24" s="206"/>
      <c r="Z24" s="206"/>
      <c r="AA24" s="206"/>
      <c r="AB24" s="206"/>
      <c r="AC24" s="206"/>
      <c r="AD24" s="206"/>
      <c r="AE24" s="223"/>
      <c r="AF24" s="207"/>
      <c r="AG24" s="206"/>
      <c r="AH24" s="206"/>
      <c r="AI24" s="241"/>
      <c r="AJ24" s="209"/>
      <c r="AK24" s="209"/>
      <c r="AL24" s="209"/>
      <c r="AM24" s="209"/>
      <c r="AN24" s="209"/>
      <c r="AO24" s="209"/>
      <c r="AP24" s="209"/>
      <c r="AQ24" s="209"/>
      <c r="AR24" s="209"/>
      <c r="AS24" s="209"/>
      <c r="AT24" s="209"/>
      <c r="AU24" s="209"/>
      <c r="AV24" s="209"/>
      <c r="AW24" s="209"/>
      <c r="AX24" s="209"/>
      <c r="AY24" s="209"/>
      <c r="AZ24" s="209"/>
      <c r="BA24" s="209"/>
      <c r="BB24" s="209"/>
    </row>
    <row r="25" ht="20.1" customHeight="1" spans="1:56">
      <c r="A25" s="202"/>
      <c r="B25" s="219" t="s">
        <v>485</v>
      </c>
      <c r="C25" s="221" t="s">
        <v>1125</v>
      </c>
      <c r="D25" s="242"/>
      <c r="E25" s="221" t="s">
        <v>2978</v>
      </c>
      <c r="F25" s="222"/>
      <c r="G25" s="222"/>
      <c r="H25" s="222"/>
      <c r="I25" s="222"/>
      <c r="J25" s="206"/>
      <c r="K25" s="222"/>
      <c r="L25" s="222"/>
      <c r="M25" s="213"/>
      <c r="N25" s="223"/>
      <c r="O25" s="222"/>
      <c r="P25" s="206"/>
      <c r="Q25" s="206"/>
      <c r="R25" s="223"/>
      <c r="S25" s="206"/>
      <c r="T25" s="206"/>
      <c r="U25" s="206"/>
      <c r="V25" s="206"/>
      <c r="W25" s="206"/>
      <c r="X25" s="206"/>
      <c r="Y25" s="206"/>
      <c r="Z25" s="206"/>
      <c r="AA25" s="206"/>
      <c r="AB25" s="206"/>
      <c r="AC25" s="206"/>
      <c r="AD25" s="206"/>
      <c r="AE25" s="223"/>
      <c r="AF25" s="207"/>
      <c r="AG25" s="206"/>
      <c r="AH25" s="206"/>
      <c r="AI25" s="224"/>
      <c r="AJ25" s="225"/>
      <c r="AK25" s="225"/>
      <c r="AL25" s="225"/>
      <c r="AM25" s="225"/>
      <c r="AN25" s="225"/>
      <c r="AO25" s="225"/>
      <c r="AP25" s="225"/>
      <c r="AQ25" s="225"/>
      <c r="AR25" s="225"/>
      <c r="AS25" s="225"/>
      <c r="AT25" s="225"/>
      <c r="AU25" s="225"/>
      <c r="AV25" s="225"/>
      <c r="AW25" s="225"/>
      <c r="AX25" s="225"/>
      <c r="AY25" s="225"/>
      <c r="AZ25" s="225"/>
      <c r="BA25" s="225"/>
      <c r="BB25" s="225"/>
    </row>
    <row r="26" ht="18" customHeight="1" spans="1:56">
      <c r="A26" s="202"/>
      <c r="B26" s="216" t="s">
        <v>1094</v>
      </c>
      <c r="C26" s="216" t="s">
        <v>1097</v>
      </c>
      <c r="D26" s="228"/>
      <c r="E26" s="216" t="s">
        <v>3045</v>
      </c>
      <c r="F26" s="222"/>
      <c r="G26" s="222"/>
      <c r="H26" s="229"/>
      <c r="I26" s="222"/>
      <c r="J26" s="206"/>
      <c r="K26" s="229"/>
      <c r="L26" s="229"/>
      <c r="M26" s="213"/>
      <c r="N26" s="237"/>
      <c r="O26" s="229"/>
      <c r="P26" s="206"/>
      <c r="Q26" s="206"/>
      <c r="R26" s="229"/>
      <c r="S26" s="206"/>
      <c r="T26" s="206"/>
      <c r="U26" s="206"/>
      <c r="V26" s="206"/>
      <c r="W26" s="206"/>
      <c r="X26" s="206"/>
      <c r="Y26" s="206"/>
      <c r="Z26" s="206"/>
      <c r="AA26" s="206"/>
      <c r="AB26" s="206"/>
      <c r="AC26" s="206"/>
      <c r="AD26" s="206"/>
      <c r="AE26" s="223"/>
      <c r="AF26" s="207"/>
      <c r="AG26" s="206"/>
      <c r="AH26" s="206"/>
      <c r="AI26" s="230"/>
      <c r="AJ26" s="209"/>
      <c r="AK26" s="209"/>
      <c r="AL26" s="209"/>
      <c r="AM26" s="209"/>
      <c r="AN26" s="209"/>
      <c r="AO26" s="209"/>
      <c r="AP26" s="209"/>
      <c r="AQ26" s="209"/>
      <c r="AR26" s="209"/>
      <c r="AS26" s="209"/>
      <c r="AT26" s="209"/>
      <c r="AU26" s="209"/>
      <c r="AV26" s="209"/>
      <c r="AW26" s="209"/>
      <c r="AX26" s="209"/>
      <c r="AY26" s="209"/>
      <c r="AZ26" s="209"/>
      <c r="BA26" s="209"/>
      <c r="BB26" s="209"/>
    </row>
    <row r="27" ht="20.1" customHeight="1" spans="1:56">
      <c r="A27" s="202"/>
      <c r="B27" s="243" t="s">
        <v>1094</v>
      </c>
      <c r="C27" s="222" t="s">
        <v>1099</v>
      </c>
      <c r="D27" s="220" t="s">
        <v>2982</v>
      </c>
      <c r="E27" s="222" t="s">
        <v>3000</v>
      </c>
      <c r="F27" s="222"/>
      <c r="G27" s="222"/>
      <c r="H27" s="222"/>
      <c r="I27" s="222"/>
      <c r="J27" s="206"/>
      <c r="K27" s="222"/>
      <c r="L27" s="222"/>
      <c r="M27" s="244"/>
      <c r="N27" s="223"/>
      <c r="O27" s="222"/>
      <c r="P27" s="206"/>
      <c r="Q27" s="206"/>
      <c r="R27" s="223"/>
      <c r="S27" s="206"/>
      <c r="T27" s="206"/>
      <c r="U27" s="206"/>
      <c r="V27" s="206"/>
      <c r="W27" s="206"/>
      <c r="X27" s="206"/>
      <c r="Y27" s="206"/>
      <c r="Z27" s="206"/>
      <c r="AA27" s="206"/>
      <c r="AB27" s="206"/>
      <c r="AC27" s="206"/>
      <c r="AD27" s="206"/>
      <c r="AE27" s="223"/>
      <c r="AF27" s="207"/>
      <c r="AG27" s="206"/>
      <c r="AH27" s="206"/>
      <c r="AI27" s="224"/>
      <c r="AJ27" s="225"/>
      <c r="AK27" s="225"/>
      <c r="AL27" s="225"/>
      <c r="AM27" s="225"/>
      <c r="AN27" s="225"/>
      <c r="AO27" s="225"/>
      <c r="AP27" s="225"/>
      <c r="AQ27" s="225"/>
      <c r="AR27" s="225"/>
      <c r="AS27" s="225"/>
      <c r="AT27" s="225"/>
      <c r="AU27" s="225"/>
      <c r="AV27" s="225"/>
      <c r="AW27" s="225"/>
      <c r="AX27" s="225"/>
      <c r="AY27" s="225"/>
      <c r="AZ27" s="225"/>
      <c r="BA27" s="225"/>
      <c r="BB27" s="225"/>
    </row>
    <row r="28" ht="18.9" customHeight="1" spans="1:56">
      <c r="A28" s="202"/>
      <c r="B28" s="216" t="s">
        <v>2990</v>
      </c>
      <c r="C28" s="222" t="s">
        <v>1079</v>
      </c>
      <c r="D28" s="217"/>
      <c r="E28" s="216" t="s">
        <v>1080</v>
      </c>
      <c r="F28" s="222"/>
      <c r="G28" s="223"/>
      <c r="H28" s="223"/>
      <c r="I28" s="222"/>
      <c r="J28" s="206"/>
      <c r="K28" s="223"/>
      <c r="L28" s="223"/>
      <c r="M28" s="213"/>
      <c r="N28" s="237"/>
      <c r="O28" s="229"/>
      <c r="P28" s="206"/>
      <c r="Q28" s="206"/>
      <c r="R28" s="229"/>
      <c r="S28" s="206"/>
      <c r="T28" s="206"/>
      <c r="U28" s="206"/>
      <c r="V28" s="206"/>
      <c r="W28" s="206"/>
      <c r="X28" s="206"/>
      <c r="Y28" s="206"/>
      <c r="Z28" s="206"/>
      <c r="AA28" s="206"/>
      <c r="AB28" s="206"/>
      <c r="AC28" s="206"/>
      <c r="AD28" s="206"/>
      <c r="AE28" s="223"/>
      <c r="AF28" s="207"/>
      <c r="AG28" s="206"/>
      <c r="AH28" s="206"/>
      <c r="AI28" s="245"/>
      <c r="AJ28" s="209"/>
      <c r="AK28" s="209"/>
      <c r="AL28" s="209"/>
      <c r="AM28" s="209"/>
      <c r="AN28" s="209"/>
      <c r="AO28" s="209"/>
      <c r="AP28" s="209"/>
      <c r="AQ28" s="209"/>
      <c r="AR28" s="209"/>
      <c r="AS28" s="209"/>
      <c r="AT28" s="209"/>
      <c r="AU28" s="209"/>
      <c r="AV28" s="209"/>
      <c r="AW28" s="209"/>
      <c r="AX28" s="209"/>
      <c r="AY28" s="209"/>
      <c r="AZ28" s="209"/>
      <c r="BA28" s="209"/>
      <c r="BB28" s="209"/>
    </row>
    <row r="29" ht="20.1" customHeight="1" spans="1:56">
      <c r="A29" s="202"/>
      <c r="B29" s="203" t="s">
        <v>3046</v>
      </c>
      <c r="C29" s="204" t="s">
        <v>188</v>
      </c>
      <c r="D29" s="205"/>
      <c r="E29" s="204" t="s">
        <v>11</v>
      </c>
      <c r="F29" s="213"/>
      <c r="G29" s="213"/>
      <c r="H29" s="213"/>
      <c r="I29" s="213"/>
      <c r="J29" s="206"/>
      <c r="K29" s="213"/>
      <c r="L29" s="213"/>
      <c r="M29" s="213"/>
      <c r="N29" s="214"/>
      <c r="O29" s="213"/>
      <c r="P29" s="206"/>
      <c r="Q29" s="206"/>
      <c r="R29" s="214"/>
      <c r="S29" s="206"/>
      <c r="T29" s="206"/>
      <c r="U29" s="206"/>
      <c r="V29" s="206"/>
      <c r="W29" s="206"/>
      <c r="X29" s="206"/>
      <c r="Y29" s="206"/>
      <c r="Z29" s="206"/>
      <c r="AA29" s="206"/>
      <c r="AB29" s="206"/>
      <c r="AC29" s="206"/>
      <c r="AD29" s="206"/>
      <c r="AE29" s="214"/>
      <c r="AF29" s="207"/>
      <c r="AG29" s="206"/>
      <c r="AH29" s="206"/>
      <c r="AI29" s="246"/>
      <c r="AJ29" s="247"/>
      <c r="AK29" s="247"/>
      <c r="AL29" s="247"/>
      <c r="AM29" s="247"/>
      <c r="AN29" s="247"/>
      <c r="AO29" s="247"/>
      <c r="AP29" s="247"/>
      <c r="AQ29" s="247"/>
      <c r="AR29" s="247"/>
      <c r="AS29" s="247"/>
      <c r="AT29" s="247"/>
      <c r="AU29" s="247"/>
      <c r="AV29" s="247"/>
      <c r="AW29" s="247"/>
      <c r="AX29" s="247"/>
      <c r="AY29" s="247"/>
      <c r="AZ29" s="247"/>
      <c r="BA29" s="247"/>
      <c r="BB29" s="247"/>
      <c r="BC29" s="247"/>
      <c r="BD29" s="247"/>
    </row>
    <row r="30" ht="20.1" customHeight="1" spans="1:56">
      <c r="A30" s="202"/>
      <c r="B30" s="203" t="s">
        <v>3046</v>
      </c>
      <c r="C30" s="210" t="s">
        <v>191</v>
      </c>
      <c r="D30" s="211"/>
      <c r="E30" s="248" t="s">
        <v>11</v>
      </c>
      <c r="F30" s="213"/>
      <c r="G30" s="213"/>
      <c r="H30" s="213"/>
      <c r="I30" s="213"/>
      <c r="J30" s="206"/>
      <c r="K30" s="213"/>
      <c r="L30" s="213"/>
      <c r="M30" s="213"/>
      <c r="N30" s="214"/>
      <c r="O30" s="213"/>
      <c r="P30" s="206"/>
      <c r="Q30" s="206"/>
      <c r="R30" s="214"/>
      <c r="S30" s="206"/>
      <c r="T30" s="206"/>
      <c r="U30" s="206"/>
      <c r="V30" s="206"/>
      <c r="W30" s="206"/>
      <c r="X30" s="206"/>
      <c r="Y30" s="206"/>
      <c r="Z30" s="206"/>
      <c r="AA30" s="206"/>
      <c r="AB30" s="206"/>
      <c r="AC30" s="206"/>
      <c r="AD30" s="206"/>
      <c r="AE30" s="214"/>
      <c r="AF30" s="207"/>
      <c r="AG30" s="206"/>
      <c r="AH30" s="206"/>
      <c r="AI30" s="215"/>
      <c r="AJ30" s="209"/>
      <c r="AK30" s="209"/>
      <c r="AL30" s="209"/>
      <c r="AM30" s="209"/>
      <c r="AN30" s="209"/>
      <c r="AO30" s="209"/>
      <c r="AP30" s="209"/>
      <c r="AQ30" s="209"/>
      <c r="AR30" s="209"/>
      <c r="AS30" s="209"/>
      <c r="AT30" s="209"/>
      <c r="AU30" s="209"/>
      <c r="AV30" s="209"/>
      <c r="AW30" s="209"/>
      <c r="AX30" s="209"/>
      <c r="AY30" s="209"/>
      <c r="AZ30" s="209"/>
      <c r="BA30" s="209"/>
      <c r="BB30" s="209"/>
    </row>
    <row r="31" ht="20.1" customHeight="1" spans="1:56">
      <c r="A31" s="202"/>
      <c r="B31" s="203" t="s">
        <v>3046</v>
      </c>
      <c r="C31" s="212" t="s">
        <v>189</v>
      </c>
      <c r="D31" s="211"/>
      <c r="E31" s="212" t="s">
        <v>11</v>
      </c>
      <c r="F31" s="213"/>
      <c r="G31" s="213"/>
      <c r="H31" s="213"/>
      <c r="I31" s="213"/>
      <c r="J31" s="206"/>
      <c r="K31" s="213"/>
      <c r="L31" s="213"/>
      <c r="M31" s="213"/>
      <c r="N31" s="214"/>
      <c r="O31" s="213"/>
      <c r="P31" s="206"/>
      <c r="Q31" s="206"/>
      <c r="R31" s="214"/>
      <c r="S31" s="206"/>
      <c r="T31" s="206"/>
      <c r="U31" s="206"/>
      <c r="V31" s="206"/>
      <c r="W31" s="206"/>
      <c r="X31" s="206"/>
      <c r="Y31" s="206"/>
      <c r="Z31" s="206"/>
      <c r="AA31" s="206"/>
      <c r="AB31" s="206"/>
      <c r="AC31" s="206"/>
      <c r="AD31" s="206"/>
      <c r="AE31" s="214"/>
      <c r="AF31" s="207"/>
      <c r="AG31" s="206"/>
      <c r="AH31" s="206"/>
      <c r="AI31" s="215"/>
      <c r="AJ31" s="249"/>
      <c r="AK31" s="249"/>
      <c r="AL31" s="249"/>
      <c r="AM31" s="249"/>
      <c r="AN31" s="249"/>
      <c r="AO31" s="249"/>
      <c r="AP31" s="209"/>
      <c r="AQ31" s="209"/>
      <c r="AR31" s="209"/>
      <c r="AS31" s="209"/>
      <c r="AT31" s="209"/>
      <c r="AU31" s="209"/>
      <c r="AV31" s="209"/>
      <c r="AW31" s="209"/>
      <c r="AX31" s="209"/>
      <c r="AY31" s="209"/>
      <c r="AZ31" s="209"/>
      <c r="BA31" s="209"/>
      <c r="BB31" s="209"/>
    </row>
    <row r="32" ht="20.1" customHeight="1" spans="1:56">
      <c r="A32" s="202"/>
      <c r="B32" s="203" t="s">
        <v>3046</v>
      </c>
      <c r="C32" s="212" t="s">
        <v>196</v>
      </c>
      <c r="D32" s="211"/>
      <c r="E32" s="212" t="s">
        <v>11</v>
      </c>
      <c r="F32" s="213"/>
      <c r="G32" s="213"/>
      <c r="H32" s="213"/>
      <c r="I32" s="213"/>
      <c r="J32" s="206"/>
      <c r="K32" s="213"/>
      <c r="L32" s="213"/>
      <c r="M32" s="213"/>
      <c r="N32" s="214"/>
      <c r="O32" s="213"/>
      <c r="P32" s="206"/>
      <c r="Q32" s="206"/>
      <c r="R32" s="214"/>
      <c r="S32" s="206"/>
      <c r="T32" s="206"/>
      <c r="U32" s="206"/>
      <c r="V32" s="206"/>
      <c r="W32" s="206"/>
      <c r="X32" s="206"/>
      <c r="Y32" s="206"/>
      <c r="Z32" s="206"/>
      <c r="AA32" s="206"/>
      <c r="AB32" s="206"/>
      <c r="AC32" s="206"/>
      <c r="AD32" s="206"/>
      <c r="AE32" s="214"/>
      <c r="AF32" s="207"/>
      <c r="AG32" s="206"/>
      <c r="AH32" s="206"/>
      <c r="AI32" s="215"/>
      <c r="AJ32" s="209"/>
      <c r="AK32" s="209"/>
      <c r="AL32" s="209"/>
      <c r="AM32" s="209"/>
      <c r="AN32" s="209"/>
      <c r="AO32" s="209"/>
      <c r="AP32" s="209"/>
      <c r="AQ32" s="209"/>
      <c r="AR32" s="209"/>
      <c r="AS32" s="209"/>
      <c r="AT32" s="209"/>
      <c r="AU32" s="209"/>
      <c r="AV32" s="209"/>
      <c r="AW32" s="209"/>
      <c r="AX32" s="209"/>
      <c r="AY32" s="209"/>
      <c r="AZ32" s="209"/>
      <c r="BA32" s="209"/>
      <c r="BB32" s="209"/>
    </row>
    <row r="33" ht="20.1" customHeight="1" spans="1:54">
      <c r="A33" s="202"/>
      <c r="B33" s="203" t="s">
        <v>3046</v>
      </c>
      <c r="C33" s="212" t="s">
        <v>187</v>
      </c>
      <c r="D33" s="211"/>
      <c r="E33" s="212" t="s">
        <v>11</v>
      </c>
      <c r="F33" s="213"/>
      <c r="G33" s="213"/>
      <c r="H33" s="213"/>
      <c r="I33" s="213"/>
      <c r="J33" s="206"/>
      <c r="K33" s="213"/>
      <c r="L33" s="213"/>
      <c r="M33" s="213"/>
      <c r="N33" s="214"/>
      <c r="O33" s="213"/>
      <c r="P33" s="206"/>
      <c r="Q33" s="206"/>
      <c r="R33" s="214"/>
      <c r="S33" s="206"/>
      <c r="T33" s="206"/>
      <c r="U33" s="206"/>
      <c r="V33" s="206"/>
      <c r="W33" s="206"/>
      <c r="X33" s="206"/>
      <c r="Y33" s="206"/>
      <c r="Z33" s="206"/>
      <c r="AA33" s="206"/>
      <c r="AB33" s="206"/>
      <c r="AC33" s="206"/>
      <c r="AD33" s="206"/>
      <c r="AE33" s="214"/>
      <c r="AF33" s="207"/>
      <c r="AG33" s="206"/>
      <c r="AH33" s="206"/>
      <c r="AI33" s="215"/>
      <c r="AJ33" s="209"/>
      <c r="AK33" s="209"/>
      <c r="AL33" s="209"/>
      <c r="AM33" s="209"/>
      <c r="AN33" s="209"/>
      <c r="AO33" s="209"/>
      <c r="AP33" s="209"/>
      <c r="AQ33" s="209"/>
      <c r="AR33" s="209"/>
      <c r="AS33" s="209"/>
      <c r="AT33" s="209"/>
      <c r="AU33" s="209"/>
      <c r="AV33" s="209"/>
      <c r="AW33" s="209"/>
      <c r="AX33" s="209"/>
      <c r="AY33" s="209"/>
      <c r="AZ33" s="209"/>
      <c r="BA33" s="209"/>
      <c r="BB33" s="209"/>
    </row>
    <row r="34" ht="20.1" customHeight="1" spans="1:54">
      <c r="A34" s="202"/>
      <c r="B34" s="203" t="s">
        <v>3046</v>
      </c>
      <c r="C34" s="212" t="s">
        <v>197</v>
      </c>
      <c r="D34" s="250" t="s">
        <v>3047</v>
      </c>
      <c r="E34" s="212" t="s">
        <v>11</v>
      </c>
      <c r="F34" s="244"/>
      <c r="G34" s="213"/>
      <c r="H34" s="213"/>
      <c r="I34" s="213"/>
      <c r="J34" s="206"/>
      <c r="K34" s="213"/>
      <c r="L34" s="213"/>
      <c r="M34" s="213"/>
      <c r="N34" s="214"/>
      <c r="O34" s="213"/>
      <c r="P34" s="206"/>
      <c r="Q34" s="206"/>
      <c r="R34" s="214"/>
      <c r="S34" s="206"/>
      <c r="T34" s="206"/>
      <c r="U34" s="206"/>
      <c r="V34" s="206"/>
      <c r="W34" s="206"/>
      <c r="X34" s="206"/>
      <c r="Y34" s="206"/>
      <c r="Z34" s="206"/>
      <c r="AA34" s="206"/>
      <c r="AB34" s="206"/>
      <c r="AC34" s="206"/>
      <c r="AD34" s="206"/>
      <c r="AE34" s="214"/>
      <c r="AF34" s="207"/>
      <c r="AG34" s="206"/>
      <c r="AH34" s="206"/>
      <c r="AI34" s="215"/>
      <c r="AJ34" s="209"/>
      <c r="AK34" s="209"/>
      <c r="AL34" s="209"/>
      <c r="AM34" s="209"/>
      <c r="AN34" s="209"/>
      <c r="AO34" s="209"/>
      <c r="AP34" s="209"/>
      <c r="AQ34" s="209"/>
      <c r="AR34" s="209"/>
      <c r="AS34" s="209"/>
      <c r="AT34" s="209"/>
      <c r="AU34" s="209"/>
      <c r="AV34" s="209"/>
      <c r="AW34" s="209"/>
      <c r="AX34" s="209"/>
      <c r="AY34" s="209"/>
      <c r="AZ34" s="209"/>
      <c r="BA34" s="209"/>
      <c r="BB34" s="209"/>
    </row>
    <row r="35" ht="20.1" customHeight="1" spans="1:54">
      <c r="A35" s="202"/>
      <c r="B35" s="203" t="s">
        <v>3046</v>
      </c>
      <c r="C35" s="212" t="s">
        <v>1120</v>
      </c>
      <c r="D35" s="211"/>
      <c r="E35" s="212" t="s">
        <v>795</v>
      </c>
      <c r="F35" s="213"/>
      <c r="G35" s="213"/>
      <c r="H35" s="213"/>
      <c r="I35" s="213"/>
      <c r="J35" s="206"/>
      <c r="K35" s="213"/>
      <c r="L35" s="213"/>
      <c r="M35" s="213"/>
      <c r="N35" s="214"/>
      <c r="O35" s="213"/>
      <c r="P35" s="206"/>
      <c r="Q35" s="206"/>
      <c r="R35" s="214"/>
      <c r="S35" s="206"/>
      <c r="T35" s="206"/>
      <c r="U35" s="206"/>
      <c r="V35" s="206"/>
      <c r="W35" s="206"/>
      <c r="X35" s="206"/>
      <c r="Y35" s="206"/>
      <c r="Z35" s="206"/>
      <c r="AA35" s="206"/>
      <c r="AB35" s="206"/>
      <c r="AC35" s="206"/>
      <c r="AD35" s="206"/>
      <c r="AE35" s="214"/>
      <c r="AF35" s="207"/>
      <c r="AG35" s="206"/>
      <c r="AH35" s="206"/>
      <c r="AI35" s="215"/>
      <c r="AJ35" s="209"/>
      <c r="AK35" s="209"/>
      <c r="AL35" s="209"/>
      <c r="AM35" s="209"/>
      <c r="AN35" s="209"/>
      <c r="AO35" s="209"/>
      <c r="AP35" s="209"/>
      <c r="AQ35" s="209"/>
      <c r="AR35" s="209"/>
      <c r="AS35" s="209"/>
      <c r="AT35" s="209"/>
      <c r="AU35" s="209"/>
      <c r="AV35" s="209"/>
      <c r="AW35" s="209"/>
      <c r="AX35" s="209"/>
      <c r="AY35" s="209"/>
      <c r="AZ35" s="209"/>
      <c r="BA35" s="209"/>
      <c r="BB35" s="209"/>
    </row>
    <row r="36" ht="20.1" customHeight="1" spans="1:54">
      <c r="A36" s="202"/>
      <c r="B36" s="203" t="s">
        <v>3046</v>
      </c>
      <c r="C36" s="212" t="s">
        <v>192</v>
      </c>
      <c r="D36" s="211"/>
      <c r="E36" s="212" t="s">
        <v>11</v>
      </c>
      <c r="F36" s="213"/>
      <c r="G36" s="213"/>
      <c r="H36" s="213"/>
      <c r="I36" s="213"/>
      <c r="J36" s="206"/>
      <c r="K36" s="213"/>
      <c r="L36" s="213"/>
      <c r="M36" s="213"/>
      <c r="N36" s="214"/>
      <c r="O36" s="213"/>
      <c r="P36" s="206"/>
      <c r="Q36" s="206"/>
      <c r="R36" s="214"/>
      <c r="S36" s="206"/>
      <c r="T36" s="206"/>
      <c r="U36" s="206"/>
      <c r="V36" s="206"/>
      <c r="W36" s="206"/>
      <c r="X36" s="206"/>
      <c r="Y36" s="206"/>
      <c r="Z36" s="206"/>
      <c r="AA36" s="206"/>
      <c r="AB36" s="206"/>
      <c r="AC36" s="206"/>
      <c r="AD36" s="206"/>
      <c r="AE36" s="214"/>
      <c r="AF36" s="207"/>
      <c r="AG36" s="206"/>
      <c r="AH36" s="206"/>
      <c r="AI36" s="215"/>
      <c r="AJ36" s="209"/>
      <c r="AK36" s="209"/>
      <c r="AL36" s="209"/>
      <c r="AM36" s="209"/>
      <c r="AN36" s="209"/>
      <c r="AO36" s="209"/>
      <c r="AP36" s="209"/>
      <c r="AQ36" s="209"/>
      <c r="AR36" s="209"/>
      <c r="AS36" s="209"/>
      <c r="AT36" s="209"/>
      <c r="AU36" s="209"/>
      <c r="AV36" s="209"/>
      <c r="AW36" s="209"/>
      <c r="AX36" s="209"/>
      <c r="AY36" s="209"/>
      <c r="AZ36" s="209"/>
      <c r="BA36" s="209"/>
      <c r="BB36" s="209"/>
    </row>
    <row r="37" ht="20.1" customHeight="1" spans="1:54">
      <c r="A37" s="202"/>
      <c r="B37" s="251" t="s">
        <v>3048</v>
      </c>
      <c r="C37" s="212" t="s">
        <v>1121</v>
      </c>
      <c r="D37" s="211"/>
      <c r="E37" s="212" t="s">
        <v>1129</v>
      </c>
      <c r="F37" s="213"/>
      <c r="G37" s="213"/>
      <c r="H37" s="213"/>
      <c r="I37" s="213"/>
      <c r="J37" s="206"/>
      <c r="K37" s="213"/>
      <c r="L37" s="213"/>
      <c r="M37" s="213"/>
      <c r="N37" s="214"/>
      <c r="O37" s="213"/>
      <c r="P37" s="206"/>
      <c r="Q37" s="206"/>
      <c r="R37" s="214"/>
      <c r="S37" s="206"/>
      <c r="T37" s="206"/>
      <c r="U37" s="206"/>
      <c r="V37" s="206"/>
      <c r="W37" s="206"/>
      <c r="X37" s="206"/>
      <c r="Y37" s="206"/>
      <c r="Z37" s="206"/>
      <c r="AA37" s="206"/>
      <c r="AB37" s="206"/>
      <c r="AC37" s="206"/>
      <c r="AD37" s="206"/>
      <c r="AE37" s="214"/>
      <c r="AF37" s="207"/>
      <c r="AG37" s="206"/>
      <c r="AH37" s="206"/>
      <c r="AI37" s="215"/>
      <c r="AJ37" s="209"/>
      <c r="AK37" s="209"/>
      <c r="AL37" s="209"/>
      <c r="AM37" s="209"/>
      <c r="AN37" s="209"/>
      <c r="AO37" s="209"/>
      <c r="AP37" s="209"/>
      <c r="AQ37" s="209"/>
      <c r="AR37" s="209"/>
      <c r="AS37" s="209"/>
      <c r="AT37" s="209"/>
      <c r="AU37" s="209"/>
      <c r="AV37" s="209"/>
      <c r="AW37" s="209"/>
      <c r="AX37" s="209"/>
      <c r="AY37" s="209"/>
      <c r="AZ37" s="209"/>
      <c r="BA37" s="209"/>
      <c r="BB37" s="209"/>
    </row>
    <row r="38" ht="20.1" customHeight="1" spans="1:54">
      <c r="A38" s="202"/>
      <c r="B38" s="251" t="s">
        <v>3048</v>
      </c>
      <c r="C38" s="212" t="s">
        <v>203</v>
      </c>
      <c r="D38" s="211" t="s">
        <v>3049</v>
      </c>
      <c r="E38" s="212" t="s">
        <v>11</v>
      </c>
      <c r="F38" s="213"/>
      <c r="G38" s="213"/>
      <c r="H38" s="213"/>
      <c r="I38" s="213"/>
      <c r="J38" s="206"/>
      <c r="K38" s="213"/>
      <c r="L38" s="213"/>
      <c r="M38" s="213"/>
      <c r="N38" s="214"/>
      <c r="O38" s="213"/>
      <c r="P38" s="206"/>
      <c r="Q38" s="206"/>
      <c r="R38" s="214"/>
      <c r="S38" s="206"/>
      <c r="T38" s="206"/>
      <c r="U38" s="206"/>
      <c r="V38" s="206"/>
      <c r="W38" s="206"/>
      <c r="X38" s="206"/>
      <c r="Y38" s="206"/>
      <c r="Z38" s="206"/>
      <c r="AA38" s="206"/>
      <c r="AB38" s="206"/>
      <c r="AC38" s="206"/>
      <c r="AD38" s="206"/>
      <c r="AE38" s="214"/>
      <c r="AF38" s="207"/>
      <c r="AG38" s="206"/>
      <c r="AH38" s="206"/>
      <c r="AI38" s="215"/>
      <c r="AJ38" s="209"/>
      <c r="AK38" s="209"/>
      <c r="AL38" s="209"/>
      <c r="AM38" s="209"/>
      <c r="AN38" s="209"/>
      <c r="AO38" s="209"/>
      <c r="AP38" s="209"/>
      <c r="AQ38" s="209"/>
      <c r="AR38" s="209"/>
      <c r="AS38" s="209"/>
      <c r="AT38" s="209"/>
      <c r="AU38" s="209"/>
      <c r="AV38" s="209"/>
      <c r="AW38" s="209"/>
      <c r="AX38" s="209"/>
      <c r="AY38" s="209"/>
      <c r="AZ38" s="209"/>
      <c r="BA38" s="209"/>
      <c r="BB38" s="209"/>
    </row>
    <row r="39" ht="20.1" customHeight="1" spans="1:54">
      <c r="A39" s="202"/>
      <c r="B39" s="203" t="s">
        <v>3048</v>
      </c>
      <c r="C39" s="212" t="s">
        <v>201</v>
      </c>
      <c r="D39" s="211" t="s">
        <v>2970</v>
      </c>
      <c r="E39" s="212" t="s">
        <v>11</v>
      </c>
      <c r="F39" s="213"/>
      <c r="G39" s="213"/>
      <c r="H39" s="213"/>
      <c r="I39" s="213"/>
      <c r="J39" s="206"/>
      <c r="K39" s="213"/>
      <c r="L39" s="213"/>
      <c r="M39" s="213"/>
      <c r="N39" s="214"/>
      <c r="O39" s="213"/>
      <c r="P39" s="206"/>
      <c r="Q39" s="206"/>
      <c r="R39" s="214"/>
      <c r="S39" s="206"/>
      <c r="T39" s="206"/>
      <c r="U39" s="206"/>
      <c r="V39" s="206"/>
      <c r="W39" s="206"/>
      <c r="X39" s="206"/>
      <c r="Y39" s="206"/>
      <c r="Z39" s="206"/>
      <c r="AA39" s="206"/>
      <c r="AB39" s="206"/>
      <c r="AC39" s="206"/>
      <c r="AD39" s="206"/>
      <c r="AE39" s="214"/>
      <c r="AF39" s="207"/>
      <c r="AG39" s="206"/>
      <c r="AH39" s="206"/>
      <c r="AI39" s="215"/>
      <c r="AJ39" s="209"/>
      <c r="AK39" s="209"/>
      <c r="AL39" s="209"/>
      <c r="AM39" s="209"/>
      <c r="AN39" s="209"/>
      <c r="AO39" s="209"/>
      <c r="AP39" s="209"/>
      <c r="AQ39" s="209"/>
      <c r="AR39" s="209"/>
      <c r="AS39" s="209"/>
      <c r="AT39" s="209"/>
      <c r="AU39" s="209"/>
      <c r="AV39" s="209"/>
      <c r="AW39" s="209"/>
      <c r="AX39" s="209"/>
      <c r="AY39" s="209"/>
      <c r="AZ39" s="209"/>
      <c r="BA39" s="209"/>
      <c r="BB39" s="209"/>
    </row>
    <row r="40" ht="20.1" customHeight="1" spans="1:54">
      <c r="A40" s="202"/>
      <c r="B40" s="251" t="s">
        <v>3048</v>
      </c>
      <c r="C40" s="212" t="s">
        <v>199</v>
      </c>
      <c r="D40" s="211" t="s">
        <v>2970</v>
      </c>
      <c r="E40" s="212" t="s">
        <v>11</v>
      </c>
      <c r="F40" s="213"/>
      <c r="G40" s="213"/>
      <c r="H40" s="213"/>
      <c r="I40" s="213"/>
      <c r="J40" s="206"/>
      <c r="K40" s="213"/>
      <c r="L40" s="213"/>
      <c r="M40" s="213"/>
      <c r="N40" s="213"/>
      <c r="O40" s="213"/>
      <c r="P40" s="206"/>
      <c r="Q40" s="206"/>
      <c r="R40" s="214"/>
      <c r="S40" s="206"/>
      <c r="T40" s="206"/>
      <c r="U40" s="206"/>
      <c r="V40" s="206"/>
      <c r="W40" s="206"/>
      <c r="X40" s="206"/>
      <c r="Y40" s="206"/>
      <c r="Z40" s="206"/>
      <c r="AA40" s="206"/>
      <c r="AB40" s="206"/>
      <c r="AC40" s="206"/>
      <c r="AD40" s="206"/>
      <c r="AE40" s="214"/>
      <c r="AF40" s="207"/>
      <c r="AG40" s="206"/>
      <c r="AH40" s="206"/>
      <c r="AI40" s="215"/>
      <c r="AJ40" s="209"/>
      <c r="AK40" s="209"/>
      <c r="AL40" s="209"/>
      <c r="AM40" s="209"/>
      <c r="AN40" s="209"/>
      <c r="AO40" s="209"/>
      <c r="AP40" s="209"/>
      <c r="AQ40" s="209"/>
      <c r="AR40" s="209"/>
      <c r="AS40" s="209"/>
      <c r="AT40" s="209"/>
      <c r="AU40" s="209"/>
      <c r="AV40" s="209"/>
      <c r="AW40" s="209"/>
      <c r="AX40" s="209"/>
      <c r="AY40" s="209"/>
      <c r="AZ40" s="209"/>
      <c r="BA40" s="209"/>
      <c r="BB40" s="209"/>
    </row>
    <row r="41" ht="20.1" customHeight="1" spans="1:54">
      <c r="A41" s="202"/>
      <c r="B41" s="251" t="s">
        <v>3048</v>
      </c>
      <c r="C41" s="212" t="s">
        <v>198</v>
      </c>
      <c r="D41" s="211"/>
      <c r="E41" s="212" t="s">
        <v>11</v>
      </c>
      <c r="F41" s="213"/>
      <c r="G41" s="213"/>
      <c r="H41" s="213"/>
      <c r="I41" s="213"/>
      <c r="J41" s="206"/>
      <c r="K41" s="213"/>
      <c r="L41" s="213"/>
      <c r="M41" s="213"/>
      <c r="N41" s="213"/>
      <c r="O41" s="213"/>
      <c r="P41" s="206"/>
      <c r="Q41" s="206"/>
      <c r="R41" s="214"/>
      <c r="S41" s="206"/>
      <c r="T41" s="206"/>
      <c r="U41" s="206"/>
      <c r="V41" s="206"/>
      <c r="W41" s="206"/>
      <c r="X41" s="206"/>
      <c r="Y41" s="206"/>
      <c r="Z41" s="206"/>
      <c r="AA41" s="206"/>
      <c r="AB41" s="206"/>
      <c r="AC41" s="206"/>
      <c r="AD41" s="206"/>
      <c r="AE41" s="214"/>
      <c r="AF41" s="207"/>
      <c r="AG41" s="206"/>
      <c r="AH41" s="206"/>
      <c r="AI41" s="215"/>
      <c r="AJ41" s="209"/>
      <c r="AK41" s="209"/>
      <c r="AL41" s="209"/>
      <c r="AM41" s="209"/>
      <c r="AN41" s="209"/>
      <c r="AO41" s="209"/>
      <c r="AP41" s="209"/>
      <c r="AQ41" s="209"/>
      <c r="AR41" s="209"/>
      <c r="AS41" s="209"/>
      <c r="AT41" s="209"/>
      <c r="AU41" s="209"/>
      <c r="AV41" s="209"/>
      <c r="AW41" s="209"/>
      <c r="AX41" s="209"/>
      <c r="AY41" s="209"/>
      <c r="AZ41" s="209"/>
      <c r="BA41" s="209"/>
      <c r="BB41" s="209"/>
    </row>
    <row r="42" ht="20.1" customHeight="1" spans="1:54">
      <c r="A42" s="202"/>
      <c r="B42" s="251" t="s">
        <v>3048</v>
      </c>
      <c r="C42" s="212" t="s">
        <v>195</v>
      </c>
      <c r="D42" s="211"/>
      <c r="E42" s="212" t="s">
        <v>11</v>
      </c>
      <c r="F42" s="213"/>
      <c r="G42" s="213"/>
      <c r="H42" s="213"/>
      <c r="I42" s="213"/>
      <c r="J42" s="206"/>
      <c r="K42" s="213"/>
      <c r="L42" s="213"/>
      <c r="M42" s="213"/>
      <c r="N42" s="214"/>
      <c r="O42" s="213"/>
      <c r="P42" s="206"/>
      <c r="Q42" s="206"/>
      <c r="R42" s="214"/>
      <c r="S42" s="206"/>
      <c r="T42" s="206"/>
      <c r="U42" s="206"/>
      <c r="V42" s="206"/>
      <c r="W42" s="206"/>
      <c r="X42" s="206"/>
      <c r="Y42" s="206"/>
      <c r="Z42" s="206"/>
      <c r="AA42" s="206"/>
      <c r="AB42" s="206"/>
      <c r="AC42" s="206"/>
      <c r="AD42" s="206"/>
      <c r="AE42" s="214"/>
      <c r="AF42" s="207"/>
      <c r="AG42" s="206"/>
      <c r="AH42" s="206"/>
      <c r="AI42" s="215"/>
      <c r="AJ42" s="209"/>
      <c r="AK42" s="209"/>
      <c r="AL42" s="209"/>
      <c r="AM42" s="209"/>
      <c r="AN42" s="209"/>
      <c r="AO42" s="209"/>
      <c r="AP42" s="209"/>
      <c r="AQ42" s="209"/>
      <c r="AR42" s="209"/>
      <c r="AS42" s="209"/>
      <c r="AT42" s="209"/>
      <c r="AU42" s="209"/>
      <c r="AV42" s="209"/>
      <c r="AW42" s="209"/>
      <c r="AX42" s="209"/>
      <c r="AY42" s="209"/>
      <c r="AZ42" s="209"/>
      <c r="BA42" s="209"/>
      <c r="BB42" s="209"/>
    </row>
    <row r="43" ht="23.1" customHeight="1" spans="1:54">
      <c r="A43" s="202"/>
      <c r="B43" s="251" t="s">
        <v>3048</v>
      </c>
      <c r="C43" s="227" t="s">
        <v>200</v>
      </c>
      <c r="D43" s="252"/>
      <c r="E43" s="212" t="s">
        <v>11</v>
      </c>
      <c r="F43" s="213"/>
      <c r="G43" s="213"/>
      <c r="H43" s="213"/>
      <c r="I43" s="213"/>
      <c r="J43" s="206"/>
      <c r="K43" s="213"/>
      <c r="L43" s="213"/>
      <c r="M43" s="213"/>
      <c r="N43" s="213"/>
      <c r="O43" s="213"/>
      <c r="P43" s="206"/>
      <c r="Q43" s="206"/>
      <c r="R43" s="214"/>
      <c r="S43" s="206"/>
      <c r="T43" s="206"/>
      <c r="U43" s="206"/>
      <c r="V43" s="206"/>
      <c r="W43" s="206"/>
      <c r="X43" s="206"/>
      <c r="Y43" s="206"/>
      <c r="Z43" s="206"/>
      <c r="AA43" s="206"/>
      <c r="AB43" s="206"/>
      <c r="AC43" s="206"/>
      <c r="AD43" s="206"/>
      <c r="AE43" s="214"/>
      <c r="AF43" s="207"/>
      <c r="AG43" s="206"/>
      <c r="AH43" s="206"/>
      <c r="AI43" s="215"/>
      <c r="AJ43" s="209"/>
      <c r="AK43" s="209"/>
      <c r="AL43" s="209"/>
      <c r="AM43" s="209"/>
      <c r="AN43" s="209"/>
      <c r="AO43" s="209"/>
      <c r="AP43" s="209"/>
      <c r="AQ43" s="209"/>
      <c r="AR43" s="209"/>
      <c r="AS43" s="209"/>
      <c r="AT43" s="209"/>
      <c r="AU43" s="209"/>
      <c r="AV43" s="209"/>
      <c r="AW43" s="209"/>
      <c r="AX43" s="209"/>
      <c r="AY43" s="209"/>
      <c r="AZ43" s="209"/>
      <c r="BA43" s="209"/>
      <c r="BB43" s="209"/>
    </row>
    <row r="44" ht="23.1" customHeight="1" spans="1:54">
      <c r="A44" s="202"/>
      <c r="B44" s="251" t="s">
        <v>3048</v>
      </c>
      <c r="C44" s="227" t="s">
        <v>202</v>
      </c>
      <c r="D44" s="252" t="s">
        <v>3050</v>
      </c>
      <c r="E44" s="212" t="s">
        <v>11</v>
      </c>
      <c r="F44" s="244"/>
      <c r="G44" s="213"/>
      <c r="H44" s="213"/>
      <c r="I44" s="213"/>
      <c r="J44" s="206"/>
      <c r="K44" s="213"/>
      <c r="L44" s="213"/>
      <c r="M44" s="213"/>
      <c r="N44" s="214"/>
      <c r="O44" s="213"/>
      <c r="P44" s="206"/>
      <c r="Q44" s="206"/>
      <c r="R44" s="214"/>
      <c r="S44" s="206"/>
      <c r="T44" s="206"/>
      <c r="U44" s="206"/>
      <c r="V44" s="206"/>
      <c r="W44" s="206"/>
      <c r="X44" s="206"/>
      <c r="Y44" s="206"/>
      <c r="Z44" s="206"/>
      <c r="AA44" s="206"/>
      <c r="AB44" s="206"/>
      <c r="AC44" s="206"/>
      <c r="AD44" s="206"/>
      <c r="AE44" s="214"/>
      <c r="AF44" s="207"/>
      <c r="AG44" s="206"/>
      <c r="AH44" s="206"/>
      <c r="AI44" s="215"/>
      <c r="AJ44" s="209"/>
      <c r="AK44" s="209"/>
      <c r="AL44" s="209"/>
      <c r="AM44" s="209"/>
      <c r="AN44" s="209"/>
      <c r="AO44" s="209"/>
      <c r="AP44" s="209"/>
      <c r="AQ44" s="209"/>
      <c r="AR44" s="209"/>
      <c r="AS44" s="209"/>
      <c r="AT44" s="209"/>
      <c r="AU44" s="209"/>
      <c r="AV44" s="209"/>
      <c r="AW44" s="209"/>
      <c r="AX44" s="209"/>
      <c r="AY44" s="209"/>
      <c r="AZ44" s="209"/>
      <c r="BA44" s="209"/>
      <c r="BB44" s="209"/>
    </row>
    <row r="45" ht="23.1" customHeight="1" spans="1:54">
      <c r="A45" s="202"/>
      <c r="B45" s="251" t="s">
        <v>3048</v>
      </c>
      <c r="C45" s="227" t="s">
        <v>190</v>
      </c>
      <c r="D45" s="252"/>
      <c r="E45" s="212" t="s">
        <v>11</v>
      </c>
      <c r="F45" s="213"/>
      <c r="G45" s="213"/>
      <c r="H45" s="213"/>
      <c r="I45" s="213"/>
      <c r="J45" s="206"/>
      <c r="K45" s="213"/>
      <c r="L45" s="213"/>
      <c r="M45" s="213"/>
      <c r="N45" s="214"/>
      <c r="O45" s="213"/>
      <c r="P45" s="206"/>
      <c r="Q45" s="206"/>
      <c r="R45" s="214"/>
      <c r="S45" s="206"/>
      <c r="T45" s="206"/>
      <c r="U45" s="206"/>
      <c r="V45" s="206"/>
      <c r="W45" s="206"/>
      <c r="X45" s="206"/>
      <c r="Y45" s="206"/>
      <c r="Z45" s="206"/>
      <c r="AA45" s="206"/>
      <c r="AB45" s="206"/>
      <c r="AC45" s="206"/>
      <c r="AD45" s="206"/>
      <c r="AE45" s="214"/>
      <c r="AF45" s="207"/>
      <c r="AG45" s="206"/>
      <c r="AH45" s="206"/>
      <c r="AI45" s="215"/>
      <c r="AJ45" s="209"/>
      <c r="AK45" s="209"/>
      <c r="AL45" s="209"/>
      <c r="AM45" s="209"/>
      <c r="AN45" s="209"/>
      <c r="AO45" s="209"/>
      <c r="AP45" s="209"/>
      <c r="AQ45" s="209"/>
      <c r="AR45" s="209"/>
      <c r="AS45" s="209"/>
      <c r="AT45" s="209"/>
      <c r="AU45" s="209"/>
      <c r="AV45" s="209"/>
      <c r="AW45" s="209"/>
      <c r="AX45" s="209"/>
      <c r="AY45" s="209"/>
      <c r="AZ45" s="209"/>
      <c r="BA45" s="209"/>
      <c r="BB45" s="209"/>
    </row>
    <row r="46" ht="24" customHeight="1" spans="1:54">
      <c r="A46" s="202"/>
      <c r="B46" s="251" t="s">
        <v>3048</v>
      </c>
      <c r="C46" s="227" t="s">
        <v>204</v>
      </c>
      <c r="D46" s="253"/>
      <c r="E46" s="212" t="s">
        <v>11</v>
      </c>
      <c r="F46" s="213"/>
      <c r="G46" s="213"/>
      <c r="H46" s="213"/>
      <c r="I46" s="213"/>
      <c r="J46" s="206"/>
      <c r="K46" s="213"/>
      <c r="L46" s="213"/>
      <c r="M46" s="213"/>
      <c r="N46" s="214"/>
      <c r="O46" s="213"/>
      <c r="P46" s="206"/>
      <c r="Q46" s="206"/>
      <c r="R46" s="214"/>
      <c r="S46" s="206"/>
      <c r="T46" s="206"/>
      <c r="U46" s="206"/>
      <c r="V46" s="206"/>
      <c r="W46" s="206"/>
      <c r="X46" s="206"/>
      <c r="Y46" s="206"/>
      <c r="Z46" s="206"/>
      <c r="AA46" s="206"/>
      <c r="AB46" s="206"/>
      <c r="AC46" s="206"/>
      <c r="AD46" s="206"/>
      <c r="AE46" s="214"/>
      <c r="AF46" s="207"/>
      <c r="AG46" s="206"/>
      <c r="AH46" s="206"/>
      <c r="AI46" s="215"/>
      <c r="AJ46" s="209"/>
      <c r="AK46" s="209"/>
      <c r="AL46" s="209"/>
      <c r="AM46" s="209"/>
      <c r="AN46" s="209"/>
      <c r="AO46" s="209"/>
      <c r="AP46" s="209"/>
      <c r="AQ46" s="209"/>
      <c r="AR46" s="209"/>
      <c r="AS46" s="209"/>
      <c r="AT46" s="209"/>
      <c r="AU46" s="209"/>
      <c r="AV46" s="209"/>
      <c r="AW46" s="209"/>
      <c r="AX46" s="209"/>
      <c r="AY46" s="209"/>
      <c r="AZ46" s="209"/>
      <c r="BA46" s="209"/>
      <c r="BB46" s="209"/>
    </row>
    <row r="47" ht="20.1" customHeight="1" spans="1:54">
      <c r="A47" s="202"/>
      <c r="B47" s="251" t="s">
        <v>3048</v>
      </c>
      <c r="C47" s="248" t="s">
        <v>421</v>
      </c>
      <c r="D47" s="252" t="s">
        <v>3051</v>
      </c>
      <c r="E47" s="248" t="s">
        <v>2974</v>
      </c>
      <c r="F47" s="213"/>
      <c r="G47" s="213"/>
      <c r="H47" s="213"/>
      <c r="I47" s="213"/>
      <c r="J47" s="206"/>
      <c r="K47" s="213"/>
      <c r="L47" s="213"/>
      <c r="M47" s="213"/>
      <c r="N47" s="214"/>
      <c r="O47" s="213"/>
      <c r="P47" s="206"/>
      <c r="Q47" s="206"/>
      <c r="R47" s="214"/>
      <c r="S47" s="206"/>
      <c r="T47" s="206"/>
      <c r="U47" s="206"/>
      <c r="V47" s="206"/>
      <c r="W47" s="206"/>
      <c r="X47" s="206"/>
      <c r="Y47" s="206"/>
      <c r="Z47" s="206"/>
      <c r="AA47" s="206"/>
      <c r="AB47" s="206"/>
      <c r="AC47" s="206"/>
      <c r="AD47" s="206"/>
      <c r="AE47" s="214"/>
      <c r="AF47" s="207"/>
      <c r="AG47" s="206"/>
      <c r="AH47" s="206"/>
      <c r="AI47" s="215"/>
      <c r="AJ47" s="209"/>
      <c r="AK47" s="209"/>
      <c r="AL47" s="209"/>
      <c r="AM47" s="209"/>
      <c r="AN47" s="209"/>
      <c r="AO47" s="209"/>
      <c r="AP47" s="209"/>
      <c r="AQ47" s="209"/>
      <c r="AR47" s="209"/>
      <c r="AS47" s="209"/>
      <c r="AT47" s="209"/>
      <c r="AU47" s="209"/>
      <c r="AV47" s="209"/>
      <c r="AW47" s="209"/>
      <c r="AX47" s="209"/>
      <c r="AY47" s="209"/>
      <c r="AZ47" s="209"/>
      <c r="BA47" s="209"/>
      <c r="BB47" s="209"/>
    </row>
    <row r="48" ht="20.1" customHeight="1" spans="1:54">
      <c r="A48" s="202"/>
      <c r="B48" s="251" t="s">
        <v>3048</v>
      </c>
      <c r="C48" s="212" t="s">
        <v>416</v>
      </c>
      <c r="D48" s="252" t="s">
        <v>3052</v>
      </c>
      <c r="E48" s="212" t="s">
        <v>781</v>
      </c>
      <c r="F48" s="213"/>
      <c r="G48" s="213"/>
      <c r="H48" s="213"/>
      <c r="I48" s="213"/>
      <c r="J48" s="206"/>
      <c r="K48" s="213"/>
      <c r="L48" s="213"/>
      <c r="M48" s="213"/>
      <c r="N48" s="214"/>
      <c r="O48" s="213"/>
      <c r="P48" s="206"/>
      <c r="Q48" s="206"/>
      <c r="R48" s="214"/>
      <c r="S48" s="206"/>
      <c r="T48" s="206"/>
      <c r="U48" s="206"/>
      <c r="V48" s="206"/>
      <c r="W48" s="206"/>
      <c r="X48" s="206"/>
      <c r="Y48" s="206"/>
      <c r="Z48" s="206"/>
      <c r="AA48" s="206"/>
      <c r="AB48" s="206"/>
      <c r="AC48" s="206"/>
      <c r="AD48" s="206"/>
      <c r="AE48" s="214"/>
      <c r="AF48" s="207"/>
      <c r="AG48" s="206"/>
      <c r="AH48" s="206"/>
      <c r="AI48" s="215"/>
      <c r="AJ48" s="209"/>
      <c r="AK48" s="209"/>
      <c r="AL48" s="209"/>
      <c r="AM48" s="209"/>
      <c r="AN48" s="209"/>
      <c r="AO48" s="209"/>
      <c r="AP48" s="209"/>
      <c r="AQ48" s="209"/>
      <c r="AR48" s="209"/>
      <c r="AS48" s="209"/>
      <c r="AT48" s="209"/>
      <c r="AU48" s="209"/>
      <c r="AV48" s="209"/>
      <c r="AW48" s="209"/>
      <c r="AX48" s="209"/>
      <c r="AY48" s="209"/>
      <c r="AZ48" s="209"/>
      <c r="BA48" s="209"/>
      <c r="BB48" s="209"/>
    </row>
    <row r="49" ht="20.1" customHeight="1" spans="1:54">
      <c r="A49" s="202"/>
      <c r="B49" s="251" t="s">
        <v>3048</v>
      </c>
      <c r="C49" s="212" t="s">
        <v>417</v>
      </c>
      <c r="D49" s="252"/>
      <c r="E49" s="212" t="s">
        <v>781</v>
      </c>
      <c r="F49" s="213"/>
      <c r="G49" s="213"/>
      <c r="H49" s="213"/>
      <c r="I49" s="213"/>
      <c r="J49" s="206"/>
      <c r="K49" s="213"/>
      <c r="L49" s="213"/>
      <c r="M49" s="213"/>
      <c r="N49" s="213"/>
      <c r="O49" s="213"/>
      <c r="P49" s="206"/>
      <c r="Q49" s="206"/>
      <c r="R49" s="214"/>
      <c r="S49" s="206"/>
      <c r="T49" s="206"/>
      <c r="U49" s="206"/>
      <c r="V49" s="206"/>
      <c r="W49" s="206"/>
      <c r="X49" s="206"/>
      <c r="Y49" s="206"/>
      <c r="Z49" s="206"/>
      <c r="AA49" s="206"/>
      <c r="AB49" s="206"/>
      <c r="AC49" s="206"/>
      <c r="AD49" s="206"/>
      <c r="AE49" s="214"/>
      <c r="AF49" s="207"/>
      <c r="AG49" s="206"/>
      <c r="AH49" s="206"/>
      <c r="AI49" s="215"/>
      <c r="AJ49" s="209"/>
      <c r="AK49" s="209"/>
      <c r="AL49" s="209"/>
      <c r="AM49" s="209"/>
      <c r="AN49" s="209"/>
      <c r="AO49" s="209"/>
      <c r="AP49" s="209"/>
      <c r="AQ49" s="209"/>
      <c r="AR49" s="209"/>
      <c r="AS49" s="209"/>
      <c r="AT49" s="209"/>
      <c r="AU49" s="209"/>
      <c r="AV49" s="209"/>
      <c r="AW49" s="209"/>
      <c r="AX49" s="209"/>
      <c r="AY49" s="209"/>
      <c r="AZ49" s="209"/>
      <c r="BA49" s="209"/>
      <c r="BB49" s="209"/>
    </row>
    <row r="50" ht="24" customHeight="1" spans="1:54">
      <c r="A50" s="202"/>
      <c r="B50" s="251" t="s">
        <v>3048</v>
      </c>
      <c r="C50" s="227" t="s">
        <v>418</v>
      </c>
      <c r="D50" s="252"/>
      <c r="E50" s="212" t="s">
        <v>781</v>
      </c>
      <c r="F50" s="213"/>
      <c r="G50" s="213"/>
      <c r="H50" s="213"/>
      <c r="I50" s="213"/>
      <c r="J50" s="206"/>
      <c r="K50" s="213"/>
      <c r="L50" s="213"/>
      <c r="M50" s="213"/>
      <c r="N50" s="214"/>
      <c r="O50" s="213"/>
      <c r="P50" s="206"/>
      <c r="Q50" s="206"/>
      <c r="R50" s="214"/>
      <c r="S50" s="206"/>
      <c r="T50" s="206"/>
      <c r="U50" s="206"/>
      <c r="V50" s="206"/>
      <c r="W50" s="206"/>
      <c r="X50" s="206"/>
      <c r="Y50" s="206"/>
      <c r="Z50" s="206"/>
      <c r="AA50" s="206"/>
      <c r="AB50" s="206"/>
      <c r="AC50" s="206"/>
      <c r="AD50" s="206"/>
      <c r="AE50" s="214"/>
      <c r="AF50" s="207"/>
      <c r="AG50" s="206"/>
      <c r="AH50" s="206"/>
      <c r="AI50" s="215"/>
      <c r="AJ50" s="209"/>
      <c r="AK50" s="209"/>
      <c r="AL50" s="209"/>
      <c r="AM50" s="209"/>
      <c r="AN50" s="209"/>
      <c r="AO50" s="209"/>
      <c r="AP50" s="209"/>
      <c r="AQ50" s="209"/>
      <c r="AR50" s="209"/>
      <c r="AS50" s="209"/>
      <c r="AT50" s="209"/>
      <c r="AU50" s="209"/>
      <c r="AV50" s="209"/>
      <c r="AW50" s="209"/>
      <c r="AX50" s="209"/>
      <c r="AY50" s="209"/>
      <c r="AZ50" s="209"/>
      <c r="BA50" s="209"/>
      <c r="BB50" s="209"/>
    </row>
    <row r="51" ht="20.1" customHeight="1" spans="1:54">
      <c r="A51" s="202"/>
      <c r="B51" s="232" t="s">
        <v>1127</v>
      </c>
      <c r="C51" s="204" t="s">
        <v>1143</v>
      </c>
      <c r="D51" s="250"/>
      <c r="E51" s="254" t="s">
        <v>1144</v>
      </c>
      <c r="F51" s="206"/>
      <c r="G51" s="206"/>
      <c r="H51" s="235"/>
      <c r="I51" s="235"/>
      <c r="J51" s="206"/>
      <c r="K51" s="236"/>
      <c r="L51" s="236"/>
      <c r="M51" s="236"/>
      <c r="N51" s="236"/>
      <c r="O51" s="236"/>
      <c r="P51" s="206"/>
      <c r="Q51" s="206"/>
      <c r="R51" s="214"/>
      <c r="S51" s="206"/>
      <c r="T51" s="206"/>
      <c r="U51" s="206"/>
      <c r="V51" s="206"/>
      <c r="W51" s="206"/>
      <c r="X51" s="206"/>
      <c r="Y51" s="206"/>
      <c r="Z51" s="206"/>
      <c r="AA51" s="206"/>
      <c r="AB51" s="206"/>
      <c r="AC51" s="206"/>
      <c r="AD51" s="206"/>
      <c r="AE51" s="214"/>
      <c r="AF51" s="207"/>
      <c r="AG51" s="206"/>
      <c r="AH51" s="206"/>
      <c r="AI51" s="215"/>
      <c r="AJ51" s="209"/>
      <c r="AK51" s="209"/>
      <c r="AL51" s="209"/>
      <c r="AM51" s="209"/>
      <c r="AN51" s="209"/>
      <c r="AO51" s="209"/>
      <c r="AP51" s="209"/>
      <c r="AQ51" s="209"/>
      <c r="AR51" s="209"/>
      <c r="AS51" s="209"/>
      <c r="AT51" s="209"/>
      <c r="AU51" s="209"/>
      <c r="AV51" s="209"/>
      <c r="AW51" s="209"/>
      <c r="AX51" s="209"/>
      <c r="AY51" s="209"/>
      <c r="AZ51" s="209"/>
      <c r="BA51" s="209"/>
      <c r="BB51" s="209"/>
    </row>
    <row r="52" ht="20.1" customHeight="1" spans="1:54">
      <c r="A52" s="202"/>
      <c r="B52" s="232" t="s">
        <v>1127</v>
      </c>
      <c r="C52" s="204" t="s">
        <v>1145</v>
      </c>
      <c r="D52" s="233"/>
      <c r="E52" s="254" t="s">
        <v>1129</v>
      </c>
      <c r="F52" s="206"/>
      <c r="G52" s="206"/>
      <c r="H52" s="235"/>
      <c r="I52" s="235"/>
      <c r="J52" s="206"/>
      <c r="K52" s="236"/>
      <c r="L52" s="236"/>
      <c r="M52" s="236"/>
      <c r="N52" s="236"/>
      <c r="O52" s="236"/>
      <c r="P52" s="206"/>
      <c r="Q52" s="206"/>
      <c r="R52" s="214"/>
      <c r="S52" s="206"/>
      <c r="T52" s="206"/>
      <c r="U52" s="206"/>
      <c r="V52" s="206"/>
      <c r="W52" s="206"/>
      <c r="X52" s="206"/>
      <c r="Y52" s="206"/>
      <c r="Z52" s="206"/>
      <c r="AA52" s="206"/>
      <c r="AB52" s="206"/>
      <c r="AC52" s="206"/>
      <c r="AD52" s="206"/>
      <c r="AE52" s="214"/>
      <c r="AF52" s="207"/>
      <c r="AG52" s="206"/>
      <c r="AH52" s="206"/>
      <c r="AI52" s="215"/>
      <c r="AJ52" s="209"/>
      <c r="AK52" s="209"/>
      <c r="AL52" s="209"/>
      <c r="AM52" s="209"/>
      <c r="AN52" s="209"/>
      <c r="AO52" s="209"/>
      <c r="AP52" s="209"/>
      <c r="AQ52" s="209"/>
      <c r="AR52" s="209"/>
      <c r="AS52" s="209"/>
      <c r="AT52" s="209"/>
      <c r="AU52" s="209"/>
      <c r="AV52" s="209"/>
      <c r="AW52" s="209"/>
      <c r="AX52" s="209"/>
      <c r="AY52" s="209"/>
      <c r="AZ52" s="209"/>
      <c r="BA52" s="209"/>
      <c r="BB52" s="209"/>
    </row>
    <row r="53" ht="20.1" customHeight="1" spans="1:54">
      <c r="A53" s="202"/>
      <c r="B53" s="232" t="s">
        <v>1127</v>
      </c>
      <c r="C53" s="204" t="s">
        <v>1146</v>
      </c>
      <c r="D53" s="233"/>
      <c r="E53" s="254" t="s">
        <v>1129</v>
      </c>
      <c r="F53" s="206"/>
      <c r="G53" s="206"/>
      <c r="H53" s="235"/>
      <c r="I53" s="235"/>
      <c r="J53" s="206"/>
      <c r="K53" s="236"/>
      <c r="L53" s="236"/>
      <c r="M53" s="236"/>
      <c r="N53" s="236"/>
      <c r="O53" s="236"/>
      <c r="P53" s="206"/>
      <c r="Q53" s="206"/>
      <c r="R53" s="214"/>
      <c r="S53" s="206"/>
      <c r="T53" s="206"/>
      <c r="U53" s="206"/>
      <c r="V53" s="206"/>
      <c r="W53" s="206"/>
      <c r="X53" s="206"/>
      <c r="Y53" s="206"/>
      <c r="Z53" s="206"/>
      <c r="AA53" s="206"/>
      <c r="AB53" s="206"/>
      <c r="AC53" s="206"/>
      <c r="AD53" s="206"/>
      <c r="AE53" s="214"/>
      <c r="AF53" s="207"/>
      <c r="AG53" s="206"/>
      <c r="AH53" s="206"/>
      <c r="AI53" s="215"/>
      <c r="AJ53" s="209"/>
      <c r="AK53" s="209"/>
      <c r="AL53" s="209"/>
      <c r="AM53" s="209"/>
      <c r="AN53" s="209"/>
      <c r="AO53" s="209"/>
      <c r="AP53" s="209"/>
      <c r="AQ53" s="209"/>
      <c r="AR53" s="209"/>
      <c r="AS53" s="209"/>
      <c r="AT53" s="209"/>
      <c r="AU53" s="209"/>
      <c r="AV53" s="209"/>
      <c r="AW53" s="209"/>
      <c r="AX53" s="209"/>
      <c r="AY53" s="209"/>
      <c r="AZ53" s="209"/>
      <c r="BA53" s="209"/>
      <c r="BB53" s="209"/>
    </row>
    <row r="54" ht="20.1" customHeight="1" spans="1:54">
      <c r="A54" s="202"/>
      <c r="B54" s="232" t="s">
        <v>1127</v>
      </c>
      <c r="C54" s="204" t="s">
        <v>1147</v>
      </c>
      <c r="D54" s="233"/>
      <c r="E54" s="234" t="s">
        <v>3053</v>
      </c>
      <c r="F54" s="206"/>
      <c r="G54" s="206"/>
      <c r="H54" s="235"/>
      <c r="I54" s="235"/>
      <c r="J54" s="206"/>
      <c r="K54" s="236"/>
      <c r="L54" s="236"/>
      <c r="M54" s="236"/>
      <c r="N54" s="236"/>
      <c r="O54" s="236"/>
      <c r="P54" s="206"/>
      <c r="Q54" s="206"/>
      <c r="R54" s="214"/>
      <c r="S54" s="206"/>
      <c r="T54" s="206"/>
      <c r="U54" s="206"/>
      <c r="V54" s="206"/>
      <c r="W54" s="206"/>
      <c r="X54" s="206"/>
      <c r="Y54" s="206"/>
      <c r="Z54" s="206"/>
      <c r="AA54" s="206"/>
      <c r="AB54" s="206"/>
      <c r="AC54" s="206"/>
      <c r="AD54" s="206"/>
      <c r="AE54" s="214"/>
      <c r="AF54" s="207"/>
      <c r="AG54" s="206"/>
      <c r="AH54" s="206"/>
      <c r="AI54" s="215"/>
      <c r="AJ54" s="209"/>
      <c r="AK54" s="209"/>
      <c r="AL54" s="209"/>
      <c r="AM54" s="209"/>
      <c r="AN54" s="209"/>
      <c r="AO54" s="209"/>
      <c r="AP54" s="209"/>
      <c r="AQ54" s="209"/>
      <c r="AR54" s="209"/>
      <c r="AS54" s="209"/>
      <c r="AT54" s="209"/>
      <c r="AU54" s="209"/>
      <c r="AV54" s="209"/>
      <c r="AW54" s="209"/>
      <c r="AX54" s="209"/>
      <c r="AY54" s="209"/>
      <c r="AZ54" s="209"/>
      <c r="BA54" s="209"/>
      <c r="BB54" s="209"/>
    </row>
    <row r="55" ht="20.1" customHeight="1" spans="1:54">
      <c r="A55" s="202"/>
      <c r="B55" s="232" t="s">
        <v>1127</v>
      </c>
      <c r="C55" s="204" t="s">
        <v>1148</v>
      </c>
      <c r="D55" s="233"/>
      <c r="E55" s="234" t="s">
        <v>3053</v>
      </c>
      <c r="F55" s="206"/>
      <c r="G55" s="206"/>
      <c r="H55" s="235"/>
      <c r="I55" s="235"/>
      <c r="J55" s="206"/>
      <c r="K55" s="236"/>
      <c r="L55" s="236"/>
      <c r="M55" s="236"/>
      <c r="N55" s="236"/>
      <c r="O55" s="236"/>
      <c r="P55" s="206"/>
      <c r="Q55" s="206"/>
      <c r="R55" s="214"/>
      <c r="S55" s="206"/>
      <c r="T55" s="206"/>
      <c r="U55" s="206"/>
      <c r="V55" s="206"/>
      <c r="W55" s="206"/>
      <c r="X55" s="206"/>
      <c r="Y55" s="206"/>
      <c r="Z55" s="206"/>
      <c r="AA55" s="206"/>
      <c r="AB55" s="206"/>
      <c r="AC55" s="206"/>
      <c r="AD55" s="206"/>
      <c r="AE55" s="214"/>
      <c r="AF55" s="207"/>
      <c r="AG55" s="206"/>
      <c r="AH55" s="206"/>
      <c r="AI55" s="215"/>
      <c r="AJ55" s="209"/>
      <c r="AK55" s="209"/>
      <c r="AL55" s="209"/>
      <c r="AM55" s="209"/>
      <c r="AN55" s="209"/>
      <c r="AO55" s="209"/>
      <c r="AP55" s="209"/>
      <c r="AQ55" s="209"/>
      <c r="AR55" s="209"/>
      <c r="AS55" s="209"/>
      <c r="AT55" s="209"/>
      <c r="AU55" s="209"/>
      <c r="AV55" s="209"/>
      <c r="AW55" s="209"/>
      <c r="AX55" s="209"/>
      <c r="AY55" s="209"/>
      <c r="AZ55" s="209"/>
      <c r="BA55" s="209"/>
      <c r="BB55" s="209"/>
    </row>
    <row r="56" ht="18" customHeight="1" spans="1:54">
      <c r="A56" s="255" t="s">
        <v>3054</v>
      </c>
      <c r="B56" s="192"/>
      <c r="C56" s="256"/>
      <c r="D56" s="257"/>
      <c r="E56" s="258"/>
      <c r="F56" s="259"/>
      <c r="G56" s="259"/>
      <c r="H56" s="259"/>
      <c r="I56" s="259"/>
      <c r="J56" s="259"/>
      <c r="K56" s="259"/>
      <c r="L56" s="259"/>
      <c r="M56" s="259"/>
      <c r="N56" s="259"/>
      <c r="O56" s="259"/>
      <c r="P56" s="259"/>
      <c r="Q56" s="259"/>
      <c r="R56" s="259"/>
      <c r="S56" s="259"/>
      <c r="T56" s="259"/>
      <c r="U56" s="259"/>
      <c r="V56" s="259"/>
      <c r="W56" s="259"/>
      <c r="X56" s="259"/>
      <c r="Y56" s="259"/>
      <c r="Z56" s="259"/>
      <c r="AA56" s="259"/>
      <c r="AB56" s="259"/>
      <c r="AC56" s="259"/>
      <c r="AD56" s="259"/>
      <c r="AE56" s="259"/>
      <c r="AF56" s="259"/>
      <c r="AG56" s="259"/>
      <c r="AH56" s="259"/>
      <c r="AI56" s="259"/>
      <c r="AJ56" s="260"/>
      <c r="AK56" s="260"/>
      <c r="AL56" s="260"/>
      <c r="AM56" s="260"/>
      <c r="AN56" s="260"/>
      <c r="AO56" s="260"/>
      <c r="AP56" s="260"/>
      <c r="AQ56" s="260"/>
      <c r="AR56" s="260"/>
    </row>
    <row r="57" ht="18" customHeight="1" spans="1:54">
      <c r="A57" s="261"/>
      <c r="B57" s="262" t="s">
        <v>3055</v>
      </c>
      <c r="C57" s="261"/>
      <c r="D57" s="263"/>
      <c r="E57" s="264"/>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c r="AD57" s="265"/>
      <c r="AE57" s="265"/>
      <c r="AF57" s="265"/>
      <c r="AG57" s="265"/>
      <c r="AH57" s="265"/>
      <c r="AI57" s="265"/>
      <c r="AJ57" s="266"/>
      <c r="AK57" s="249"/>
      <c r="AL57" s="183"/>
      <c r="AM57" s="183"/>
      <c r="AN57" s="183"/>
      <c r="AO57" s="183"/>
      <c r="AP57" s="183"/>
      <c r="AQ57" s="183"/>
      <c r="AR57" s="183"/>
      <c r="AS57" s="183"/>
      <c r="AT57" s="183"/>
      <c r="AU57" s="183"/>
      <c r="AV57" s="183"/>
      <c r="AW57" s="183"/>
      <c r="AX57" s="183"/>
      <c r="AY57" s="183"/>
      <c r="AZ57" s="183"/>
      <c r="BA57" s="183"/>
      <c r="BB57" s="183"/>
    </row>
    <row r="58" ht="18" customHeight="1" spans="1:54">
      <c r="A58" s="267"/>
      <c r="B58" s="268" t="s">
        <v>3004</v>
      </c>
      <c r="C58" s="269"/>
      <c r="D58" s="270"/>
      <c r="E58" s="271" t="s">
        <v>3035</v>
      </c>
      <c r="F58" s="269"/>
      <c r="G58" s="269"/>
      <c r="H58" s="269"/>
      <c r="I58" s="269"/>
      <c r="J58" s="269"/>
      <c r="K58" s="269"/>
      <c r="L58" s="269" t="s">
        <v>3005</v>
      </c>
      <c r="M58" s="269"/>
      <c r="N58" s="272"/>
      <c r="O58" s="269"/>
      <c r="P58" s="270"/>
      <c r="Q58" s="270"/>
      <c r="R58" s="270" t="s">
        <v>3006</v>
      </c>
      <c r="S58" s="270"/>
      <c r="T58" s="270"/>
      <c r="U58" s="270" t="s">
        <v>3007</v>
      </c>
      <c r="V58" s="270"/>
      <c r="W58" s="270"/>
      <c r="X58" s="270"/>
      <c r="Y58" s="270"/>
      <c r="Z58" s="270"/>
      <c r="AA58" s="273"/>
      <c r="AB58" s="273" t="s">
        <v>3008</v>
      </c>
      <c r="AC58" s="270"/>
      <c r="AD58" s="270"/>
      <c r="AE58" s="270"/>
      <c r="AF58" s="270"/>
      <c r="AG58" s="274"/>
      <c r="AH58" s="275" t="s">
        <v>3009</v>
      </c>
      <c r="AI58" s="274"/>
      <c r="AJ58" s="276"/>
      <c r="AK58" s="276"/>
      <c r="AL58" s="276"/>
      <c r="AM58" s="276"/>
      <c r="AN58" s="276"/>
      <c r="AO58" s="276"/>
      <c r="AP58" s="276"/>
      <c r="AQ58" s="276"/>
      <c r="AR58" s="276"/>
    </row>
    <row r="59" ht="10.2" customHeight="1" spans="1:54">
      <c r="A59" s="267"/>
      <c r="B59" s="268"/>
      <c r="C59" s="269"/>
      <c r="D59" s="270"/>
      <c r="E59" s="269"/>
      <c r="F59" s="269"/>
      <c r="G59" s="269"/>
      <c r="H59" s="269"/>
      <c r="I59" s="269"/>
      <c r="J59" s="269"/>
      <c r="K59" s="269"/>
      <c r="L59" s="269"/>
      <c r="M59" s="269"/>
      <c r="N59" s="272"/>
      <c r="O59" s="269"/>
      <c r="P59" s="269"/>
      <c r="Q59" s="277"/>
      <c r="R59" s="277"/>
      <c r="S59" s="277"/>
      <c r="T59" s="277"/>
      <c r="U59" s="277"/>
      <c r="V59" s="277"/>
      <c r="W59" s="277"/>
      <c r="X59" s="277"/>
      <c r="Y59" s="277"/>
      <c r="Z59" s="277"/>
      <c r="AA59" s="277"/>
      <c r="AB59" s="277"/>
      <c r="AC59" s="277"/>
      <c r="AD59" s="277"/>
      <c r="AE59" s="277"/>
      <c r="AF59" s="277"/>
      <c r="AG59" s="277"/>
      <c r="AH59" s="277"/>
      <c r="AI59" s="277"/>
      <c r="AJ59" s="278"/>
      <c r="AK59" s="278"/>
      <c r="AL59" s="278"/>
      <c r="AM59" s="278"/>
      <c r="AN59" s="278"/>
      <c r="AO59" s="278"/>
      <c r="AP59" s="278"/>
      <c r="AQ59" s="278"/>
      <c r="AR59" s="278"/>
    </row>
    <row r="60" ht="10.2" customHeight="1" spans="1:54">
      <c r="A60" s="267"/>
      <c r="B60" s="268"/>
      <c r="C60" s="269"/>
      <c r="D60" s="270"/>
      <c r="E60" s="269"/>
      <c r="F60" s="269"/>
      <c r="G60" s="269"/>
      <c r="H60" s="269"/>
      <c r="I60" s="269"/>
      <c r="J60" s="269"/>
      <c r="K60" s="269"/>
      <c r="L60" s="269"/>
      <c r="M60" s="269"/>
      <c r="N60" s="272"/>
      <c r="O60" s="269"/>
      <c r="P60" s="269"/>
      <c r="Q60" s="277"/>
      <c r="R60" s="277"/>
      <c r="S60" s="277"/>
      <c r="T60" s="277"/>
      <c r="U60" s="277"/>
      <c r="V60" s="277"/>
      <c r="W60" s="277"/>
      <c r="X60" s="277"/>
      <c r="Y60" s="277"/>
      <c r="Z60" s="277"/>
      <c r="AA60" s="272"/>
      <c r="AB60" s="272"/>
      <c r="AC60" s="272"/>
      <c r="AD60" s="272"/>
      <c r="AE60" s="272"/>
      <c r="AF60" s="272"/>
      <c r="AG60" s="272"/>
      <c r="AH60" s="272"/>
      <c r="AI60" s="277"/>
      <c r="AJ60" s="278"/>
      <c r="AK60" s="278"/>
      <c r="AL60" s="278"/>
      <c r="AM60" s="278"/>
      <c r="AN60" s="278"/>
      <c r="AO60" s="278"/>
      <c r="AP60" s="278"/>
      <c r="AQ60" s="278"/>
      <c r="AR60" s="278"/>
    </row>
    <row r="61" ht="10.2" customHeight="1" spans="1:54">
      <c r="A61" s="279" t="s">
        <v>3011</v>
      </c>
      <c r="B61" s="268"/>
      <c r="C61" s="269"/>
      <c r="D61" s="270"/>
      <c r="E61" s="269"/>
      <c r="F61" s="269"/>
      <c r="G61" s="269"/>
      <c r="H61" s="269"/>
      <c r="I61" s="269"/>
      <c r="J61" s="269"/>
      <c r="K61" s="269"/>
      <c r="L61" s="269"/>
      <c r="M61" s="269"/>
      <c r="N61" s="272"/>
      <c r="O61" s="269"/>
      <c r="P61" s="269"/>
      <c r="Q61" s="277"/>
      <c r="R61" s="277"/>
      <c r="S61" s="277"/>
      <c r="T61" s="277"/>
      <c r="U61" s="277"/>
      <c r="V61" s="277"/>
      <c r="W61" s="277"/>
      <c r="X61" s="277"/>
      <c r="Y61" s="277"/>
      <c r="Z61" s="277"/>
      <c r="AA61" s="277"/>
      <c r="AB61" s="277"/>
      <c r="AC61" s="277"/>
      <c r="AD61" s="277"/>
      <c r="AE61" s="277"/>
      <c r="AF61" s="277"/>
      <c r="AG61" s="277"/>
      <c r="AH61" s="277"/>
      <c r="AI61" s="277"/>
      <c r="AJ61" s="278"/>
      <c r="AK61" s="278"/>
      <c r="AL61" s="278"/>
      <c r="AM61" s="278"/>
      <c r="AN61" s="278"/>
      <c r="AO61" s="278"/>
      <c r="AP61" s="278"/>
      <c r="AQ61" s="278"/>
      <c r="AR61" s="278"/>
    </row>
    <row r="62" ht="11.4" customHeight="1" spans="1:54">
      <c r="A62" s="185"/>
      <c r="B62" s="178"/>
      <c r="C62" s="179"/>
      <c r="D62" s="180"/>
      <c r="E62" s="179"/>
      <c r="F62" s="179"/>
      <c r="G62" s="179"/>
      <c r="H62" s="179"/>
      <c r="I62" s="179"/>
      <c r="J62" s="179"/>
      <c r="K62" s="179"/>
      <c r="L62" s="179"/>
      <c r="M62" s="181"/>
      <c r="N62" s="179"/>
      <c r="O62" s="179"/>
      <c r="P62" s="182"/>
      <c r="Q62" s="182"/>
      <c r="R62" s="182"/>
      <c r="S62" s="182"/>
      <c r="T62" s="182"/>
      <c r="U62" s="182"/>
      <c r="V62" s="182"/>
      <c r="W62" s="182"/>
      <c r="X62" s="182"/>
      <c r="Y62" s="182"/>
      <c r="Z62" s="182"/>
      <c r="AA62" s="182"/>
      <c r="AB62" s="182"/>
      <c r="AC62" s="182"/>
      <c r="AD62" s="182"/>
      <c r="AE62" s="182"/>
      <c r="AF62" s="182"/>
      <c r="AG62" s="182"/>
      <c r="AH62" s="182"/>
      <c r="AI62" s="183"/>
      <c r="AJ62" s="183"/>
      <c r="AK62" s="183"/>
      <c r="AL62" s="183"/>
      <c r="AM62" s="183"/>
      <c r="AN62" s="183"/>
      <c r="AO62" s="183"/>
      <c r="AP62" s="183"/>
      <c r="AQ62" s="183"/>
      <c r="AR62" s="183"/>
      <c r="AS62" s="183"/>
      <c r="AT62" s="183"/>
      <c r="AU62" s="183"/>
      <c r="AV62" s="183"/>
      <c r="AW62" s="183"/>
      <c r="AX62" s="183"/>
      <c r="AY62" s="183"/>
      <c r="AZ62" s="183"/>
      <c r="BA62" s="183"/>
    </row>
    <row r="63" ht="10.8" customHeight="1" spans="1:54">
      <c r="A63" s="280"/>
      <c r="B63" s="281"/>
      <c r="C63" s="282"/>
      <c r="D63" s="250"/>
      <c r="E63" s="282"/>
      <c r="F63" s="282"/>
      <c r="G63" s="282"/>
      <c r="H63" s="282"/>
      <c r="I63" s="282"/>
      <c r="J63" s="282"/>
      <c r="K63" s="282"/>
      <c r="L63" s="282"/>
      <c r="M63" s="282"/>
      <c r="N63" s="283"/>
      <c r="O63" s="282"/>
      <c r="P63" s="282"/>
      <c r="Q63" s="284"/>
      <c r="R63" s="284"/>
      <c r="S63" s="284"/>
      <c r="T63" s="284"/>
      <c r="U63" s="284"/>
      <c r="V63" s="284"/>
      <c r="W63" s="284"/>
      <c r="X63" s="284"/>
      <c r="Y63" s="284"/>
      <c r="Z63" s="284"/>
      <c r="AA63" s="284"/>
      <c r="AB63" s="284"/>
      <c r="AC63" s="284"/>
      <c r="AD63" s="284"/>
      <c r="AE63" s="284"/>
      <c r="AF63" s="284"/>
      <c r="AG63" s="284"/>
      <c r="AH63" s="284"/>
      <c r="AI63" s="284"/>
      <c r="AJ63" s="176"/>
      <c r="AK63" s="176"/>
      <c r="AL63" s="176"/>
      <c r="AM63" s="176"/>
      <c r="AN63" s="176"/>
      <c r="AO63" s="176"/>
      <c r="AP63" s="176"/>
      <c r="AQ63" s="176"/>
      <c r="AR63" s="176"/>
      <c r="AS63" s="176"/>
      <c r="AT63" s="176"/>
      <c r="AU63" s="176"/>
      <c r="AV63" s="176"/>
      <c r="AW63" s="176"/>
      <c r="AX63" s="176"/>
      <c r="AY63" s="176"/>
      <c r="AZ63" s="176"/>
      <c r="BA63" s="176"/>
      <c r="BB63" s="176"/>
    </row>
    <row r="64" ht="10.8" customHeight="1" spans="1:54">
      <c r="A64" s="280"/>
      <c r="B64" s="281"/>
      <c r="C64" s="282"/>
      <c r="D64" s="250"/>
      <c r="E64" s="282"/>
      <c r="F64" s="282"/>
      <c r="G64" s="282"/>
      <c r="H64" s="282"/>
      <c r="I64" s="282"/>
      <c r="J64" s="282"/>
      <c r="K64" s="282"/>
      <c r="L64" s="282"/>
      <c r="M64" s="282"/>
      <c r="N64" s="283"/>
      <c r="O64" s="282"/>
      <c r="P64" s="282"/>
      <c r="Q64" s="284"/>
      <c r="R64" s="284"/>
      <c r="S64" s="284"/>
      <c r="T64" s="284"/>
      <c r="U64" s="284"/>
      <c r="V64" s="284"/>
      <c r="W64" s="284"/>
      <c r="X64" s="284"/>
      <c r="Y64" s="284"/>
      <c r="Z64" s="284"/>
      <c r="AA64" s="284"/>
      <c r="AB64" s="284"/>
      <c r="AC64" s="284"/>
      <c r="AD64" s="284"/>
      <c r="AE64" s="284"/>
      <c r="AF64" s="284"/>
      <c r="AG64" s="284"/>
      <c r="AH64" s="284"/>
      <c r="AI64" s="284"/>
      <c r="AJ64" s="176"/>
      <c r="AK64" s="176"/>
      <c r="AL64" s="176"/>
      <c r="AM64" s="176"/>
      <c r="AN64" s="176"/>
      <c r="AO64" s="176"/>
      <c r="AP64" s="176"/>
      <c r="AQ64" s="176"/>
      <c r="AR64" s="176"/>
      <c r="AS64" s="176"/>
      <c r="AT64" s="176"/>
      <c r="AU64" s="176"/>
      <c r="AV64" s="176"/>
      <c r="AW64" s="176"/>
      <c r="AX64" s="176"/>
      <c r="AY64" s="176"/>
      <c r="AZ64" s="176"/>
      <c r="BA64" s="176"/>
      <c r="BB64" s="176"/>
    </row>
    <row r="65" ht="10.8" customHeight="1" spans="1:54">
      <c r="A65" s="280"/>
      <c r="B65" s="281"/>
      <c r="C65" s="282"/>
      <c r="D65" s="250"/>
      <c r="E65" s="282"/>
      <c r="F65" s="282"/>
      <c r="G65" s="282"/>
      <c r="H65" s="282"/>
      <c r="I65" s="282"/>
      <c r="J65" s="282"/>
      <c r="K65" s="282"/>
      <c r="L65" s="282"/>
      <c r="M65" s="282"/>
      <c r="N65" s="283"/>
      <c r="O65" s="282"/>
      <c r="P65" s="282"/>
      <c r="Q65" s="284"/>
      <c r="R65" s="284"/>
      <c r="S65" s="284"/>
      <c r="T65" s="284"/>
      <c r="U65" s="284"/>
      <c r="V65" s="284"/>
      <c r="W65" s="284"/>
      <c r="X65" s="284"/>
      <c r="Y65" s="284"/>
      <c r="Z65" s="284"/>
      <c r="AA65" s="284"/>
      <c r="AB65" s="284"/>
      <c r="AC65" s="284"/>
      <c r="AD65" s="284"/>
      <c r="AE65" s="284"/>
      <c r="AF65" s="284"/>
      <c r="AG65" s="284"/>
      <c r="AH65" s="284"/>
      <c r="AI65" s="284"/>
      <c r="AJ65" s="176"/>
      <c r="AK65" s="176"/>
      <c r="AL65" s="176"/>
      <c r="AM65" s="176"/>
      <c r="AN65" s="176"/>
      <c r="AO65" s="176"/>
      <c r="AP65" s="176"/>
      <c r="AQ65" s="176"/>
      <c r="AR65" s="176"/>
      <c r="AS65" s="176"/>
      <c r="AT65" s="176"/>
      <c r="AU65" s="176"/>
      <c r="AV65" s="176"/>
      <c r="AW65" s="176"/>
      <c r="AX65" s="176"/>
      <c r="AY65" s="176"/>
      <c r="AZ65" s="176"/>
      <c r="BA65" s="176"/>
      <c r="BB65" s="176"/>
    </row>
    <row r="66" ht="10.8" customHeight="1" spans="1:54">
      <c r="A66" s="280"/>
      <c r="B66" s="281"/>
      <c r="C66" s="282"/>
      <c r="D66" s="250"/>
      <c r="E66" s="282"/>
      <c r="F66" s="282"/>
      <c r="G66" s="282"/>
      <c r="H66" s="282"/>
      <c r="I66" s="282"/>
      <c r="J66" s="282"/>
      <c r="K66" s="282"/>
      <c r="L66" s="282"/>
      <c r="M66" s="282"/>
      <c r="N66" s="283"/>
      <c r="O66" s="282"/>
      <c r="P66" s="282"/>
      <c r="Q66" s="284"/>
      <c r="R66" s="284"/>
      <c r="S66" s="284"/>
      <c r="T66" s="284"/>
      <c r="U66" s="284"/>
      <c r="V66" s="284"/>
      <c r="W66" s="284"/>
      <c r="X66" s="284"/>
      <c r="Y66" s="284"/>
      <c r="Z66" s="284"/>
      <c r="AA66" s="284"/>
      <c r="AB66" s="284"/>
      <c r="AC66" s="284"/>
      <c r="AD66" s="284"/>
      <c r="AE66" s="284"/>
      <c r="AF66" s="284"/>
      <c r="AG66" s="284"/>
      <c r="AH66" s="284"/>
      <c r="AI66" s="284"/>
      <c r="AJ66" s="176"/>
      <c r="AK66" s="176"/>
      <c r="AL66" s="176"/>
      <c r="AM66" s="176"/>
      <c r="AN66" s="176"/>
      <c r="AO66" s="176"/>
      <c r="AP66" s="176"/>
      <c r="AQ66" s="176"/>
      <c r="AR66" s="176"/>
      <c r="AS66" s="176"/>
      <c r="AT66" s="176"/>
      <c r="AU66" s="176"/>
      <c r="AV66" s="176"/>
      <c r="AW66" s="176"/>
      <c r="AX66" s="176"/>
      <c r="AY66" s="176"/>
      <c r="AZ66" s="176"/>
      <c r="BA66" s="176"/>
      <c r="BB66" s="176"/>
    </row>
    <row r="67" ht="10.8" customHeight="1" spans="1:54">
      <c r="A67" s="280"/>
      <c r="B67" s="281"/>
      <c r="C67" s="282"/>
      <c r="D67" s="250"/>
      <c r="E67" s="282"/>
      <c r="F67" s="282"/>
      <c r="G67" s="282"/>
      <c r="H67" s="282"/>
      <c r="I67" s="282"/>
      <c r="J67" s="282"/>
      <c r="K67" s="282"/>
      <c r="L67" s="282"/>
      <c r="M67" s="282"/>
      <c r="N67" s="283"/>
      <c r="O67" s="282"/>
      <c r="P67" s="282"/>
      <c r="Q67" s="284"/>
      <c r="R67" s="284"/>
      <c r="S67" s="284"/>
      <c r="T67" s="284"/>
      <c r="U67" s="284"/>
      <c r="V67" s="284"/>
      <c r="W67" s="284"/>
      <c r="X67" s="284"/>
      <c r="Y67" s="284"/>
      <c r="Z67" s="284"/>
      <c r="AA67" s="284"/>
      <c r="AB67" s="284"/>
      <c r="AC67" s="284"/>
      <c r="AD67" s="284"/>
      <c r="AE67" s="284"/>
      <c r="AF67" s="284"/>
      <c r="AG67" s="284"/>
      <c r="AH67" s="284"/>
      <c r="AI67" s="284"/>
      <c r="AJ67" s="176"/>
      <c r="AK67" s="176"/>
      <c r="AL67" s="176"/>
      <c r="AM67" s="176"/>
      <c r="AN67" s="176"/>
      <c r="AO67" s="176"/>
      <c r="AP67" s="176"/>
      <c r="AQ67" s="176"/>
      <c r="AR67" s="176"/>
      <c r="AS67" s="176"/>
      <c r="AT67" s="176"/>
      <c r="AU67" s="176"/>
      <c r="AV67" s="176"/>
      <c r="AW67" s="176"/>
      <c r="AX67" s="176"/>
      <c r="AY67" s="176"/>
      <c r="AZ67" s="176"/>
      <c r="BA67" s="176"/>
      <c r="BB67" s="176"/>
    </row>
    <row r="68" ht="10.8" customHeight="1" spans="1:54">
      <c r="A68" s="280"/>
      <c r="B68" s="281"/>
      <c r="C68" s="282"/>
      <c r="D68" s="250"/>
      <c r="E68" s="282"/>
      <c r="F68" s="282"/>
      <c r="G68" s="282"/>
      <c r="H68" s="282"/>
      <c r="I68" s="282"/>
      <c r="J68" s="282"/>
      <c r="K68" s="282"/>
      <c r="L68" s="282"/>
      <c r="M68" s="282"/>
      <c r="N68" s="283"/>
      <c r="O68" s="282"/>
      <c r="P68" s="282"/>
      <c r="Q68" s="284"/>
      <c r="R68" s="284"/>
      <c r="S68" s="284"/>
      <c r="T68" s="284"/>
      <c r="U68" s="284"/>
      <c r="V68" s="284"/>
      <c r="W68" s="284"/>
      <c r="X68" s="284"/>
      <c r="Y68" s="284"/>
      <c r="Z68" s="284"/>
      <c r="AA68" s="284"/>
      <c r="AB68" s="284"/>
      <c r="AC68" s="284"/>
      <c r="AD68" s="284"/>
      <c r="AE68" s="284"/>
      <c r="AF68" s="284"/>
      <c r="AG68" s="284"/>
      <c r="AH68" s="284"/>
      <c r="AI68" s="284"/>
      <c r="AJ68" s="176"/>
      <c r="AK68" s="176"/>
      <c r="AL68" s="176"/>
      <c r="AM68" s="176"/>
      <c r="AN68" s="176"/>
      <c r="AO68" s="176"/>
      <c r="AP68" s="176"/>
      <c r="AQ68" s="176"/>
      <c r="AR68" s="176"/>
      <c r="AS68" s="176"/>
      <c r="AT68" s="176"/>
      <c r="AU68" s="176"/>
      <c r="AV68" s="176"/>
      <c r="AW68" s="176"/>
      <c r="AX68" s="176"/>
      <c r="AY68" s="176"/>
      <c r="AZ68" s="176"/>
      <c r="BA68" s="176"/>
      <c r="BB68" s="176"/>
    </row>
    <row r="69" ht="10.8" customHeight="1" spans="1:54">
      <c r="A69" s="280"/>
      <c r="B69" s="281"/>
      <c r="C69" s="282"/>
      <c r="D69" s="250"/>
      <c r="E69" s="282"/>
      <c r="F69" s="282"/>
      <c r="G69" s="282"/>
      <c r="H69" s="282"/>
      <c r="I69" s="282"/>
      <c r="J69" s="282"/>
      <c r="K69" s="282"/>
      <c r="L69" s="282"/>
      <c r="M69" s="282"/>
      <c r="N69" s="283"/>
      <c r="O69" s="282"/>
      <c r="P69" s="282"/>
      <c r="Q69" s="284"/>
      <c r="R69" s="284"/>
      <c r="S69" s="284"/>
      <c r="T69" s="284"/>
      <c r="U69" s="284"/>
      <c r="V69" s="284"/>
      <c r="W69" s="284"/>
      <c r="X69" s="284"/>
      <c r="Y69" s="284"/>
      <c r="Z69" s="284"/>
      <c r="AA69" s="284"/>
      <c r="AB69" s="284"/>
      <c r="AC69" s="284"/>
      <c r="AD69" s="284"/>
      <c r="AE69" s="284"/>
      <c r="AF69" s="284"/>
      <c r="AG69" s="284"/>
      <c r="AH69" s="284"/>
      <c r="AI69" s="284"/>
      <c r="AJ69" s="176"/>
      <c r="AK69" s="176"/>
      <c r="AL69" s="176"/>
      <c r="AM69" s="176"/>
      <c r="AN69" s="176"/>
      <c r="AO69" s="176"/>
      <c r="AP69" s="176"/>
      <c r="AQ69" s="176"/>
      <c r="AR69" s="176"/>
      <c r="AS69" s="176"/>
      <c r="AT69" s="176"/>
      <c r="AU69" s="176"/>
      <c r="AV69" s="176"/>
      <c r="AW69" s="176"/>
      <c r="AX69" s="176"/>
      <c r="AY69" s="176"/>
      <c r="AZ69" s="176"/>
      <c r="BA69" s="176"/>
      <c r="BB69" s="176"/>
    </row>
    <row r="70" ht="10.8" customHeight="1" spans="1:54">
      <c r="A70" s="280"/>
      <c r="B70" s="281"/>
      <c r="C70" s="282"/>
      <c r="D70" s="250"/>
      <c r="E70" s="282"/>
      <c r="F70" s="282"/>
      <c r="G70" s="282"/>
      <c r="H70" s="282"/>
      <c r="I70" s="282"/>
      <c r="J70" s="282"/>
      <c r="K70" s="282"/>
      <c r="L70" s="282"/>
      <c r="M70" s="282"/>
      <c r="N70" s="283"/>
      <c r="O70" s="282"/>
      <c r="P70" s="282"/>
      <c r="Q70" s="284"/>
      <c r="R70" s="284"/>
      <c r="S70" s="284"/>
      <c r="T70" s="284"/>
      <c r="U70" s="284"/>
      <c r="V70" s="284"/>
      <c r="W70" s="284"/>
      <c r="X70" s="284"/>
      <c r="Y70" s="284"/>
      <c r="Z70" s="284"/>
      <c r="AA70" s="284"/>
      <c r="AB70" s="284"/>
      <c r="AC70" s="284"/>
      <c r="AD70" s="284"/>
      <c r="AE70" s="284"/>
      <c r="AF70" s="284"/>
      <c r="AG70" s="284"/>
      <c r="AH70" s="284"/>
      <c r="AI70" s="284"/>
      <c r="AJ70" s="176"/>
      <c r="AK70" s="176"/>
      <c r="AL70" s="176"/>
      <c r="AM70" s="176"/>
      <c r="AN70" s="176"/>
      <c r="AO70" s="176"/>
      <c r="AP70" s="176"/>
      <c r="AQ70" s="176"/>
      <c r="AR70" s="176"/>
      <c r="AS70" s="176"/>
      <c r="AT70" s="176"/>
      <c r="AU70" s="176"/>
      <c r="AV70" s="176"/>
      <c r="AW70" s="176"/>
      <c r="AX70" s="176"/>
      <c r="AY70" s="176"/>
      <c r="AZ70" s="176"/>
      <c r="BA70" s="176"/>
      <c r="BB70" s="176"/>
    </row>
    <row r="71" ht="10.8" customHeight="1" spans="1:54">
      <c r="A71" s="280"/>
      <c r="B71" s="281"/>
      <c r="C71" s="282"/>
      <c r="D71" s="250"/>
      <c r="E71" s="282"/>
      <c r="F71" s="282"/>
      <c r="G71" s="282"/>
      <c r="H71" s="282"/>
      <c r="I71" s="282"/>
      <c r="J71" s="282"/>
      <c r="K71" s="282"/>
      <c r="L71" s="282"/>
      <c r="M71" s="282"/>
      <c r="N71" s="283"/>
      <c r="O71" s="282"/>
      <c r="P71" s="282"/>
      <c r="Q71" s="284"/>
      <c r="R71" s="284"/>
      <c r="S71" s="284"/>
      <c r="T71" s="284"/>
      <c r="U71" s="284"/>
      <c r="V71" s="284"/>
      <c r="W71" s="284"/>
      <c r="X71" s="284"/>
      <c r="Y71" s="284"/>
      <c r="Z71" s="284"/>
      <c r="AA71" s="284"/>
      <c r="AB71" s="284"/>
      <c r="AC71" s="284"/>
      <c r="AD71" s="284"/>
      <c r="AE71" s="284"/>
      <c r="AF71" s="284"/>
      <c r="AG71" s="284"/>
      <c r="AH71" s="284"/>
      <c r="AI71" s="284"/>
      <c r="AJ71" s="176"/>
      <c r="AK71" s="176"/>
      <c r="AL71" s="176"/>
      <c r="AM71" s="176"/>
      <c r="AN71" s="176"/>
      <c r="AO71" s="176"/>
      <c r="AP71" s="176"/>
      <c r="AQ71" s="176"/>
      <c r="AR71" s="176"/>
      <c r="AS71" s="176"/>
      <c r="AT71" s="176"/>
      <c r="AU71" s="176"/>
      <c r="AV71" s="176"/>
      <c r="AW71" s="176"/>
      <c r="AX71" s="176"/>
      <c r="AY71" s="176"/>
      <c r="AZ71" s="176"/>
      <c r="BA71" s="176"/>
      <c r="BB71" s="176"/>
    </row>
    <row r="72" ht="10.8" customHeight="1" spans="1:54">
      <c r="A72" s="280"/>
      <c r="B72" s="281"/>
      <c r="C72" s="282"/>
      <c r="D72" s="250"/>
      <c r="E72" s="282"/>
      <c r="F72" s="282"/>
      <c r="G72" s="282"/>
      <c r="H72" s="282"/>
      <c r="I72" s="282"/>
      <c r="J72" s="282"/>
      <c r="K72" s="282"/>
      <c r="L72" s="282"/>
      <c r="M72" s="282"/>
      <c r="N72" s="283"/>
      <c r="O72" s="282"/>
      <c r="P72" s="282"/>
      <c r="Q72" s="284"/>
      <c r="R72" s="284"/>
      <c r="S72" s="284"/>
      <c r="T72" s="284"/>
      <c r="U72" s="284"/>
      <c r="V72" s="284"/>
      <c r="W72" s="284"/>
      <c r="X72" s="284"/>
      <c r="Y72" s="284"/>
      <c r="Z72" s="284"/>
      <c r="AA72" s="284"/>
      <c r="AB72" s="284"/>
      <c r="AC72" s="284"/>
      <c r="AD72" s="284"/>
      <c r="AE72" s="284"/>
      <c r="AF72" s="284"/>
      <c r="AG72" s="284"/>
      <c r="AH72" s="284"/>
      <c r="AI72" s="284"/>
      <c r="AJ72" s="176"/>
      <c r="AK72" s="176"/>
      <c r="AL72" s="176"/>
      <c r="AM72" s="176"/>
      <c r="AN72" s="176"/>
      <c r="AO72" s="176"/>
      <c r="AP72" s="176"/>
      <c r="AQ72" s="176"/>
      <c r="AR72" s="176"/>
      <c r="AS72" s="176"/>
      <c r="AT72" s="176"/>
      <c r="AU72" s="176"/>
      <c r="AV72" s="176"/>
      <c r="AW72" s="176"/>
      <c r="AX72" s="176"/>
      <c r="AY72" s="176"/>
      <c r="AZ72" s="176"/>
      <c r="BA72" s="176"/>
      <c r="BB72" s="176"/>
    </row>
    <row r="73" ht="10.8" customHeight="1" spans="1:54">
      <c r="A73" s="280"/>
      <c r="B73" s="281"/>
      <c r="C73" s="282"/>
      <c r="D73" s="250"/>
      <c r="E73" s="282"/>
      <c r="F73" s="282"/>
      <c r="G73" s="282"/>
      <c r="H73" s="282"/>
      <c r="I73" s="282"/>
      <c r="J73" s="282"/>
      <c r="K73" s="282"/>
      <c r="L73" s="282"/>
      <c r="M73" s="282"/>
      <c r="N73" s="283"/>
      <c r="O73" s="282"/>
      <c r="P73" s="282"/>
      <c r="Q73" s="284"/>
      <c r="R73" s="284"/>
      <c r="S73" s="284"/>
      <c r="T73" s="284"/>
      <c r="U73" s="284"/>
      <c r="V73" s="284"/>
      <c r="W73" s="284"/>
      <c r="X73" s="284"/>
      <c r="Y73" s="284"/>
      <c r="Z73" s="284"/>
      <c r="AA73" s="284"/>
      <c r="AB73" s="284"/>
      <c r="AC73" s="284"/>
      <c r="AD73" s="284"/>
      <c r="AE73" s="284"/>
      <c r="AF73" s="284"/>
      <c r="AG73" s="284"/>
      <c r="AH73" s="284"/>
      <c r="AI73" s="284"/>
      <c r="AJ73" s="176"/>
      <c r="AK73" s="176"/>
      <c r="AL73" s="176"/>
      <c r="AM73" s="176"/>
      <c r="AN73" s="176"/>
      <c r="AO73" s="176"/>
      <c r="AP73" s="176"/>
      <c r="AQ73" s="176"/>
      <c r="AR73" s="176"/>
      <c r="AS73" s="176"/>
      <c r="AT73" s="176"/>
      <c r="AU73" s="176"/>
      <c r="AV73" s="176"/>
      <c r="AW73" s="176"/>
      <c r="AX73" s="176"/>
      <c r="AY73" s="176"/>
      <c r="AZ73" s="176"/>
      <c r="BA73" s="176"/>
      <c r="BB73" s="176"/>
    </row>
    <row r="74" ht="10.8" customHeight="1" spans="1:54">
      <c r="A74" s="280"/>
      <c r="B74" s="281"/>
      <c r="C74" s="282"/>
      <c r="D74" s="250"/>
      <c r="E74" s="282"/>
      <c r="F74" s="282"/>
      <c r="G74" s="282"/>
      <c r="H74" s="282"/>
      <c r="I74" s="282"/>
      <c r="J74" s="282"/>
      <c r="K74" s="282"/>
      <c r="L74" s="282"/>
      <c r="M74" s="282"/>
      <c r="N74" s="283"/>
      <c r="O74" s="282"/>
      <c r="P74" s="282"/>
      <c r="Q74" s="284"/>
      <c r="R74" s="284"/>
      <c r="S74" s="284"/>
      <c r="T74" s="284"/>
      <c r="U74" s="284"/>
      <c r="V74" s="284"/>
      <c r="W74" s="284"/>
      <c r="X74" s="284"/>
      <c r="Y74" s="284"/>
      <c r="Z74" s="284"/>
      <c r="AA74" s="284"/>
      <c r="AB74" s="284"/>
      <c r="AC74" s="284"/>
      <c r="AD74" s="284"/>
      <c r="AE74" s="284"/>
      <c r="AF74" s="284"/>
      <c r="AG74" s="284"/>
      <c r="AH74" s="284"/>
      <c r="AI74" s="284"/>
      <c r="AJ74" s="176"/>
      <c r="AK74" s="176"/>
      <c r="AL74" s="176"/>
      <c r="AM74" s="176"/>
      <c r="AN74" s="176"/>
      <c r="AO74" s="176"/>
      <c r="AP74" s="176"/>
      <c r="AQ74" s="176"/>
      <c r="AR74" s="176"/>
      <c r="AS74" s="176"/>
      <c r="AT74" s="176"/>
      <c r="AU74" s="176"/>
      <c r="AV74" s="176"/>
      <c r="AW74" s="176"/>
      <c r="AX74" s="176"/>
      <c r="AY74" s="176"/>
      <c r="AZ74" s="176"/>
      <c r="BA74" s="176"/>
      <c r="BB74" s="176"/>
    </row>
    <row r="75" ht="10.8" customHeight="1" spans="1:54">
      <c r="A75" s="280"/>
      <c r="B75" s="281"/>
      <c r="C75" s="282"/>
      <c r="D75" s="250"/>
      <c r="E75" s="282"/>
      <c r="F75" s="282"/>
      <c r="G75" s="282"/>
      <c r="H75" s="282"/>
      <c r="I75" s="282"/>
      <c r="J75" s="282"/>
      <c r="K75" s="282"/>
      <c r="L75" s="282"/>
      <c r="M75" s="282"/>
      <c r="N75" s="283"/>
      <c r="O75" s="282"/>
      <c r="P75" s="282"/>
      <c r="Q75" s="284"/>
      <c r="R75" s="284"/>
      <c r="S75" s="284"/>
      <c r="T75" s="284"/>
      <c r="U75" s="284"/>
      <c r="V75" s="284"/>
      <c r="W75" s="284"/>
      <c r="X75" s="284"/>
      <c r="Y75" s="284"/>
      <c r="Z75" s="284"/>
      <c r="AA75" s="284"/>
      <c r="AB75" s="284"/>
      <c r="AC75" s="284"/>
      <c r="AD75" s="284"/>
      <c r="AE75" s="284"/>
      <c r="AF75" s="284"/>
      <c r="AG75" s="284"/>
      <c r="AH75" s="284"/>
      <c r="AI75" s="284"/>
      <c r="AJ75" s="176"/>
      <c r="AK75" s="176"/>
      <c r="AL75" s="176"/>
      <c r="AM75" s="176"/>
      <c r="AN75" s="176"/>
      <c r="AO75" s="176"/>
      <c r="AP75" s="176"/>
      <c r="AQ75" s="176"/>
      <c r="AR75" s="176"/>
      <c r="AS75" s="176"/>
      <c r="AT75" s="176"/>
      <c r="AU75" s="176"/>
      <c r="AV75" s="176"/>
      <c r="AW75" s="176"/>
      <c r="AX75" s="176"/>
      <c r="AY75" s="176"/>
      <c r="AZ75" s="176"/>
      <c r="BA75" s="176"/>
      <c r="BB75" s="176"/>
    </row>
    <row r="76" ht="10.8" customHeight="1" spans="1:54">
      <c r="A76" s="280"/>
      <c r="B76" s="281"/>
      <c r="C76" s="282"/>
      <c r="D76" s="250"/>
      <c r="E76" s="282"/>
      <c r="F76" s="282"/>
      <c r="G76" s="282"/>
      <c r="H76" s="282"/>
      <c r="I76" s="282"/>
      <c r="J76" s="282"/>
      <c r="K76" s="282"/>
      <c r="L76" s="282"/>
      <c r="M76" s="282"/>
      <c r="N76" s="283"/>
      <c r="O76" s="282"/>
      <c r="P76" s="282"/>
      <c r="Q76" s="284"/>
      <c r="R76" s="284"/>
      <c r="S76" s="284"/>
      <c r="T76" s="284"/>
      <c r="U76" s="284"/>
      <c r="V76" s="284"/>
      <c r="W76" s="284"/>
      <c r="X76" s="284"/>
      <c r="Y76" s="284"/>
      <c r="Z76" s="284"/>
      <c r="AA76" s="284"/>
      <c r="AB76" s="284"/>
      <c r="AC76" s="284"/>
      <c r="AD76" s="284"/>
      <c r="AE76" s="284"/>
      <c r="AF76" s="284"/>
      <c r="AG76" s="284"/>
      <c r="AH76" s="284"/>
      <c r="AI76" s="284"/>
      <c r="AJ76" s="176"/>
      <c r="AK76" s="176"/>
      <c r="AL76" s="176"/>
      <c r="AM76" s="176"/>
      <c r="AN76" s="176"/>
      <c r="AO76" s="176"/>
      <c r="AP76" s="176"/>
      <c r="AQ76" s="176"/>
      <c r="AR76" s="176"/>
      <c r="AS76" s="176"/>
      <c r="AT76" s="176"/>
      <c r="AU76" s="176"/>
      <c r="AV76" s="176"/>
      <c r="AW76" s="176"/>
      <c r="AX76" s="176"/>
      <c r="AY76" s="176"/>
      <c r="AZ76" s="176"/>
      <c r="BA76" s="176"/>
      <c r="BB76" s="176"/>
    </row>
    <row r="77" ht="10.8" customHeight="1" spans="1:54">
      <c r="A77" s="280"/>
      <c r="B77" s="281"/>
      <c r="C77" s="282"/>
      <c r="D77" s="250"/>
      <c r="E77" s="282"/>
      <c r="F77" s="282"/>
      <c r="G77" s="282"/>
      <c r="H77" s="282"/>
      <c r="I77" s="282"/>
      <c r="J77" s="282"/>
      <c r="K77" s="282"/>
      <c r="L77" s="282"/>
      <c r="M77" s="282"/>
      <c r="N77" s="283"/>
      <c r="O77" s="282"/>
      <c r="P77" s="282"/>
      <c r="Q77" s="284"/>
      <c r="R77" s="284"/>
      <c r="S77" s="284"/>
      <c r="T77" s="284"/>
      <c r="U77" s="284"/>
      <c r="V77" s="284"/>
      <c r="W77" s="284"/>
      <c r="X77" s="284"/>
      <c r="Y77" s="284"/>
      <c r="Z77" s="284"/>
      <c r="AA77" s="284"/>
      <c r="AB77" s="284"/>
      <c r="AC77" s="284"/>
      <c r="AD77" s="284"/>
      <c r="AE77" s="284"/>
      <c r="AF77" s="284"/>
      <c r="AG77" s="284"/>
      <c r="AH77" s="284"/>
      <c r="AI77" s="284"/>
      <c r="AJ77" s="176"/>
      <c r="AK77" s="176"/>
      <c r="AL77" s="176"/>
      <c r="AM77" s="176"/>
      <c r="AN77" s="176"/>
      <c r="AO77" s="176"/>
      <c r="AP77" s="176"/>
      <c r="AQ77" s="176"/>
      <c r="AR77" s="176"/>
      <c r="AS77" s="176"/>
      <c r="AT77" s="176"/>
      <c r="AU77" s="176"/>
      <c r="AV77" s="176"/>
      <c r="AW77" s="176"/>
      <c r="AX77" s="176"/>
      <c r="AY77" s="176"/>
      <c r="AZ77" s="176"/>
      <c r="BA77" s="176"/>
      <c r="BB77" s="176"/>
    </row>
    <row r="78" ht="10.8" customHeight="1" spans="1:54">
      <c r="A78" s="280"/>
      <c r="B78" s="281"/>
      <c r="C78" s="282"/>
      <c r="D78" s="250"/>
      <c r="E78" s="282"/>
      <c r="F78" s="282"/>
      <c r="G78" s="282"/>
      <c r="H78" s="282"/>
      <c r="I78" s="282"/>
      <c r="J78" s="282"/>
      <c r="K78" s="282"/>
      <c r="L78" s="282"/>
      <c r="M78" s="282"/>
      <c r="N78" s="283"/>
      <c r="O78" s="282"/>
      <c r="P78" s="282"/>
      <c r="Q78" s="284"/>
      <c r="R78" s="284"/>
      <c r="S78" s="284"/>
      <c r="T78" s="284"/>
      <c r="U78" s="284"/>
      <c r="V78" s="284"/>
      <c r="W78" s="284"/>
      <c r="X78" s="284"/>
      <c r="Y78" s="284"/>
      <c r="Z78" s="284"/>
      <c r="AA78" s="284"/>
      <c r="AB78" s="284"/>
      <c r="AC78" s="284"/>
      <c r="AD78" s="284"/>
      <c r="AE78" s="284"/>
      <c r="AF78" s="284"/>
      <c r="AG78" s="284"/>
      <c r="AH78" s="284"/>
      <c r="AI78" s="284"/>
      <c r="AJ78" s="176"/>
      <c r="AK78" s="176"/>
      <c r="AL78" s="176"/>
      <c r="AM78" s="176"/>
      <c r="AN78" s="176"/>
      <c r="AO78" s="176"/>
      <c r="AP78" s="176"/>
      <c r="AQ78" s="176"/>
      <c r="AR78" s="176"/>
      <c r="AS78" s="176"/>
      <c r="AT78" s="176"/>
      <c r="AU78" s="176"/>
      <c r="AV78" s="176"/>
      <c r="AW78" s="176"/>
      <c r="AX78" s="176"/>
      <c r="AY78" s="176"/>
      <c r="AZ78" s="176"/>
      <c r="BA78" s="176"/>
      <c r="BB78" s="176"/>
    </row>
    <row r="79" ht="10.8" customHeight="1" spans="1:54">
      <c r="A79" s="280"/>
      <c r="B79" s="281"/>
      <c r="C79" s="282"/>
      <c r="D79" s="250"/>
      <c r="E79" s="282"/>
      <c r="F79" s="282"/>
      <c r="G79" s="282"/>
      <c r="H79" s="282"/>
      <c r="I79" s="282"/>
      <c r="J79" s="282"/>
      <c r="K79" s="282"/>
      <c r="L79" s="282"/>
      <c r="M79" s="282"/>
      <c r="N79" s="283"/>
      <c r="O79" s="282"/>
      <c r="P79" s="282"/>
      <c r="Q79" s="284"/>
      <c r="R79" s="284"/>
      <c r="S79" s="284"/>
      <c r="T79" s="284"/>
      <c r="U79" s="284"/>
      <c r="V79" s="284"/>
      <c r="W79" s="284"/>
      <c r="X79" s="284"/>
      <c r="Y79" s="284"/>
      <c r="Z79" s="284"/>
      <c r="AA79" s="284"/>
      <c r="AB79" s="284"/>
      <c r="AC79" s="284"/>
      <c r="AD79" s="284"/>
      <c r="AE79" s="284"/>
      <c r="AF79" s="284"/>
      <c r="AG79" s="284"/>
      <c r="AH79" s="284"/>
      <c r="AI79" s="284"/>
      <c r="AJ79" s="176"/>
      <c r="AK79" s="176"/>
      <c r="AL79" s="176"/>
      <c r="AM79" s="176"/>
      <c r="AN79" s="176"/>
      <c r="AO79" s="176"/>
      <c r="AP79" s="176"/>
      <c r="AQ79" s="176"/>
      <c r="AR79" s="176"/>
      <c r="AS79" s="176"/>
      <c r="AT79" s="176"/>
      <c r="AU79" s="176"/>
      <c r="AV79" s="176"/>
      <c r="AW79" s="176"/>
      <c r="AX79" s="176"/>
      <c r="AY79" s="176"/>
      <c r="AZ79" s="176"/>
      <c r="BA79" s="176"/>
      <c r="BB79" s="176"/>
    </row>
    <row r="80" ht="10.8" customHeight="1" spans="1:54">
      <c r="A80" s="280"/>
      <c r="B80" s="281"/>
      <c r="C80" s="282"/>
      <c r="D80" s="250"/>
      <c r="E80" s="282"/>
      <c r="F80" s="282"/>
      <c r="G80" s="282"/>
      <c r="H80" s="282"/>
      <c r="I80" s="282"/>
      <c r="J80" s="282"/>
      <c r="K80" s="282"/>
      <c r="L80" s="282"/>
      <c r="M80" s="282"/>
      <c r="N80" s="283"/>
      <c r="O80" s="282"/>
      <c r="P80" s="282"/>
      <c r="Q80" s="284"/>
      <c r="R80" s="284"/>
      <c r="S80" s="284"/>
      <c r="T80" s="284"/>
      <c r="U80" s="284"/>
      <c r="V80" s="284"/>
      <c r="W80" s="284"/>
      <c r="X80" s="284"/>
      <c r="Y80" s="284"/>
      <c r="Z80" s="284"/>
      <c r="AA80" s="284"/>
      <c r="AB80" s="284"/>
      <c r="AC80" s="284"/>
      <c r="AD80" s="284"/>
      <c r="AE80" s="284"/>
      <c r="AF80" s="284"/>
      <c r="AG80" s="284"/>
      <c r="AH80" s="284"/>
      <c r="AI80" s="284"/>
      <c r="AJ80" s="176"/>
      <c r="AK80" s="176"/>
      <c r="AL80" s="176"/>
      <c r="AM80" s="176"/>
      <c r="AN80" s="176"/>
      <c r="AO80" s="176"/>
      <c r="AP80" s="176"/>
      <c r="AQ80" s="176"/>
      <c r="AR80" s="176"/>
      <c r="AS80" s="176"/>
      <c r="AT80" s="176"/>
      <c r="AU80" s="176"/>
      <c r="AV80" s="176"/>
      <c r="AW80" s="176"/>
      <c r="AX80" s="176"/>
      <c r="AY80" s="176"/>
      <c r="AZ80" s="176"/>
      <c r="BA80" s="176"/>
      <c r="BB80" s="176"/>
    </row>
    <row r="81" ht="10.8" customHeight="1" spans="1:54">
      <c r="A81" s="280"/>
      <c r="B81" s="281"/>
      <c r="C81" s="282"/>
      <c r="D81" s="250"/>
      <c r="E81" s="282"/>
      <c r="F81" s="282"/>
      <c r="G81" s="282"/>
      <c r="H81" s="282"/>
      <c r="I81" s="282"/>
      <c r="J81" s="282"/>
      <c r="K81" s="282"/>
      <c r="L81" s="282"/>
      <c r="M81" s="282"/>
      <c r="N81" s="283"/>
      <c r="O81" s="282"/>
      <c r="P81" s="282"/>
      <c r="Q81" s="284"/>
      <c r="R81" s="284"/>
      <c r="S81" s="284"/>
      <c r="T81" s="284"/>
      <c r="U81" s="284"/>
      <c r="V81" s="284"/>
      <c r="W81" s="284"/>
      <c r="X81" s="284"/>
      <c r="Y81" s="284"/>
      <c r="Z81" s="284"/>
      <c r="AA81" s="284"/>
      <c r="AB81" s="284"/>
      <c r="AC81" s="284"/>
      <c r="AD81" s="284"/>
      <c r="AE81" s="284"/>
      <c r="AF81" s="284"/>
      <c r="AG81" s="284"/>
      <c r="AH81" s="284"/>
      <c r="AI81" s="284"/>
      <c r="AJ81" s="176"/>
      <c r="AK81" s="176"/>
      <c r="AL81" s="176"/>
      <c r="AM81" s="176"/>
      <c r="AN81" s="176"/>
      <c r="AO81" s="176"/>
      <c r="AP81" s="176"/>
      <c r="AQ81" s="176"/>
      <c r="AR81" s="176"/>
      <c r="AS81" s="176"/>
      <c r="AT81" s="176"/>
      <c r="AU81" s="176"/>
      <c r="AV81" s="176"/>
      <c r="AW81" s="176"/>
      <c r="AX81" s="176"/>
      <c r="AY81" s="176"/>
      <c r="AZ81" s="176"/>
      <c r="BA81" s="176"/>
      <c r="BB81" s="176"/>
    </row>
    <row r="82" ht="10.8" customHeight="1" spans="1:54">
      <c r="A82" s="280"/>
      <c r="B82" s="281"/>
      <c r="C82" s="282"/>
      <c r="D82" s="250"/>
      <c r="E82" s="282"/>
      <c r="F82" s="282"/>
      <c r="G82" s="282"/>
      <c r="H82" s="282"/>
      <c r="I82" s="282"/>
      <c r="J82" s="282"/>
      <c r="K82" s="282"/>
      <c r="L82" s="282"/>
      <c r="M82" s="282"/>
      <c r="N82" s="283"/>
      <c r="O82" s="282"/>
      <c r="P82" s="282"/>
      <c r="Q82" s="284"/>
      <c r="R82" s="284"/>
      <c r="S82" s="284"/>
      <c r="T82" s="284"/>
      <c r="U82" s="284"/>
      <c r="V82" s="284"/>
      <c r="W82" s="284"/>
      <c r="X82" s="284"/>
      <c r="Y82" s="284"/>
      <c r="Z82" s="284"/>
      <c r="AA82" s="284"/>
      <c r="AB82" s="284"/>
      <c r="AC82" s="284"/>
      <c r="AD82" s="284"/>
      <c r="AE82" s="284"/>
      <c r="AF82" s="284"/>
      <c r="AG82" s="284"/>
      <c r="AH82" s="284"/>
      <c r="AI82" s="284"/>
      <c r="AJ82" s="176"/>
      <c r="AK82" s="176"/>
      <c r="AL82" s="176"/>
      <c r="AM82" s="176"/>
      <c r="AN82" s="176"/>
      <c r="AO82" s="176"/>
      <c r="AP82" s="176"/>
      <c r="AQ82" s="176"/>
      <c r="AR82" s="176"/>
      <c r="AS82" s="176"/>
      <c r="AT82" s="176"/>
      <c r="AU82" s="176"/>
      <c r="AV82" s="176"/>
      <c r="AW82" s="176"/>
      <c r="AX82" s="176"/>
      <c r="AY82" s="176"/>
      <c r="AZ82" s="176"/>
      <c r="BA82" s="176"/>
      <c r="BB82" s="176"/>
    </row>
    <row r="83" ht="10.8" customHeight="1" spans="1:54">
      <c r="A83" s="280"/>
      <c r="B83" s="281"/>
      <c r="C83" s="282"/>
      <c r="D83" s="250"/>
      <c r="E83" s="282"/>
      <c r="F83" s="282"/>
      <c r="G83" s="282"/>
      <c r="H83" s="282"/>
      <c r="I83" s="282"/>
      <c r="J83" s="282"/>
      <c r="K83" s="282"/>
      <c r="L83" s="282"/>
      <c r="M83" s="282"/>
      <c r="N83" s="283"/>
      <c r="O83" s="282"/>
      <c r="P83" s="282"/>
      <c r="Q83" s="284"/>
      <c r="R83" s="284"/>
      <c r="S83" s="284"/>
      <c r="T83" s="284"/>
      <c r="U83" s="284"/>
      <c r="V83" s="284"/>
      <c r="W83" s="284"/>
      <c r="X83" s="284"/>
      <c r="Y83" s="284"/>
      <c r="Z83" s="284"/>
      <c r="AA83" s="284"/>
      <c r="AB83" s="284"/>
      <c r="AC83" s="284"/>
      <c r="AD83" s="284"/>
      <c r="AE83" s="284"/>
      <c r="AF83" s="284"/>
      <c r="AG83" s="284"/>
      <c r="AH83" s="284"/>
      <c r="AI83" s="284"/>
      <c r="AJ83" s="176"/>
      <c r="AK83" s="176"/>
      <c r="AL83" s="176"/>
      <c r="AM83" s="176"/>
      <c r="AN83" s="176"/>
      <c r="AO83" s="176"/>
      <c r="AP83" s="176"/>
      <c r="AQ83" s="176"/>
      <c r="AR83" s="176"/>
      <c r="AS83" s="176"/>
      <c r="AT83" s="176"/>
      <c r="AU83" s="176"/>
      <c r="AV83" s="176"/>
      <c r="AW83" s="176"/>
      <c r="AX83" s="176"/>
      <c r="AY83" s="176"/>
      <c r="AZ83" s="176"/>
      <c r="BA83" s="176"/>
      <c r="BB83" s="176"/>
    </row>
    <row r="84" ht="10.8" customHeight="1" spans="1:54">
      <c r="A84" s="280"/>
      <c r="B84" s="281"/>
      <c r="C84" s="282"/>
      <c r="D84" s="250"/>
      <c r="E84" s="282"/>
      <c r="F84" s="282"/>
      <c r="G84" s="282"/>
      <c r="H84" s="282"/>
      <c r="I84" s="282"/>
      <c r="J84" s="282"/>
      <c r="K84" s="282"/>
      <c r="L84" s="282"/>
      <c r="M84" s="282"/>
      <c r="N84" s="283"/>
      <c r="O84" s="282"/>
      <c r="P84" s="282"/>
      <c r="Q84" s="284"/>
      <c r="R84" s="284"/>
      <c r="S84" s="284"/>
      <c r="T84" s="284"/>
      <c r="U84" s="284"/>
      <c r="V84" s="284"/>
      <c r="W84" s="284"/>
      <c r="X84" s="284"/>
      <c r="Y84" s="284"/>
      <c r="Z84" s="284"/>
      <c r="AA84" s="284"/>
      <c r="AB84" s="284"/>
      <c r="AC84" s="284"/>
      <c r="AD84" s="284"/>
      <c r="AE84" s="284"/>
      <c r="AF84" s="284"/>
      <c r="AG84" s="284"/>
      <c r="AH84" s="284"/>
      <c r="AI84" s="284"/>
      <c r="AJ84" s="176"/>
      <c r="AK84" s="176"/>
      <c r="AL84" s="176"/>
      <c r="AM84" s="176"/>
      <c r="AN84" s="176"/>
      <c r="AO84" s="176"/>
      <c r="AP84" s="176"/>
      <c r="AQ84" s="176"/>
      <c r="AR84" s="176"/>
      <c r="AS84" s="176"/>
      <c r="AT84" s="176"/>
      <c r="AU84" s="176"/>
      <c r="AV84" s="176"/>
      <c r="AW84" s="176"/>
      <c r="AX84" s="176"/>
      <c r="AY84" s="176"/>
      <c r="AZ84" s="176"/>
      <c r="BA84" s="176"/>
      <c r="BB84" s="176"/>
    </row>
    <row r="85" ht="10.8" customHeight="1" spans="1:54">
      <c r="A85" s="280"/>
      <c r="B85" s="281"/>
      <c r="C85" s="282"/>
      <c r="D85" s="250"/>
      <c r="E85" s="282"/>
      <c r="F85" s="282"/>
      <c r="G85" s="282"/>
      <c r="H85" s="282"/>
      <c r="I85" s="282"/>
      <c r="J85" s="282"/>
      <c r="K85" s="282"/>
      <c r="L85" s="282"/>
      <c r="M85" s="282"/>
      <c r="N85" s="283"/>
      <c r="O85" s="282"/>
      <c r="P85" s="282"/>
      <c r="Q85" s="284"/>
      <c r="R85" s="284"/>
      <c r="S85" s="284"/>
      <c r="T85" s="284"/>
      <c r="U85" s="284"/>
      <c r="V85" s="284"/>
      <c r="W85" s="284"/>
      <c r="X85" s="284"/>
      <c r="Y85" s="284"/>
      <c r="Z85" s="284"/>
      <c r="AA85" s="284"/>
      <c r="AB85" s="284"/>
      <c r="AC85" s="284"/>
      <c r="AD85" s="284"/>
      <c r="AE85" s="284"/>
      <c r="AF85" s="284"/>
      <c r="AG85" s="284"/>
      <c r="AH85" s="284"/>
      <c r="AI85" s="284"/>
      <c r="AJ85" s="176"/>
      <c r="AK85" s="176"/>
      <c r="AL85" s="176"/>
      <c r="AM85" s="176"/>
      <c r="AN85" s="176"/>
      <c r="AO85" s="176"/>
      <c r="AP85" s="176"/>
      <c r="AQ85" s="176"/>
      <c r="AR85" s="176"/>
      <c r="AS85" s="176"/>
      <c r="AT85" s="176"/>
      <c r="AU85" s="176"/>
      <c r="AV85" s="176"/>
      <c r="AW85" s="176"/>
      <c r="AX85" s="176"/>
      <c r="AY85" s="176"/>
      <c r="AZ85" s="176"/>
      <c r="BA85" s="176"/>
      <c r="BB85" s="176"/>
    </row>
    <row r="86" ht="10.8" customHeight="1" spans="1:54">
      <c r="A86" s="280"/>
      <c r="B86" s="281"/>
      <c r="C86" s="282"/>
      <c r="D86" s="250"/>
      <c r="E86" s="282"/>
      <c r="F86" s="282"/>
      <c r="G86" s="282"/>
      <c r="H86" s="282"/>
      <c r="I86" s="282"/>
      <c r="J86" s="282"/>
      <c r="K86" s="282"/>
      <c r="L86" s="282"/>
      <c r="M86" s="282"/>
      <c r="N86" s="283"/>
      <c r="O86" s="282"/>
      <c r="P86" s="282"/>
      <c r="Q86" s="284"/>
      <c r="R86" s="284"/>
      <c r="S86" s="284"/>
      <c r="T86" s="284"/>
      <c r="U86" s="284"/>
      <c r="V86" s="284"/>
      <c r="W86" s="284"/>
      <c r="X86" s="284"/>
      <c r="Y86" s="284"/>
      <c r="Z86" s="284"/>
      <c r="AA86" s="284"/>
      <c r="AB86" s="284"/>
      <c r="AC86" s="284"/>
      <c r="AD86" s="284"/>
      <c r="AE86" s="284"/>
      <c r="AF86" s="284"/>
      <c r="AG86" s="284"/>
      <c r="AH86" s="284"/>
      <c r="AI86" s="284"/>
      <c r="AJ86" s="176"/>
      <c r="AK86" s="176"/>
      <c r="AL86" s="176"/>
      <c r="AM86" s="176"/>
      <c r="AN86" s="176"/>
      <c r="AO86" s="176"/>
      <c r="AP86" s="176"/>
      <c r="AQ86" s="176"/>
      <c r="AR86" s="176"/>
      <c r="AS86" s="176"/>
      <c r="AT86" s="176"/>
      <c r="AU86" s="176"/>
      <c r="AV86" s="176"/>
      <c r="AW86" s="176"/>
      <c r="AX86" s="176"/>
      <c r="AY86" s="176"/>
      <c r="AZ86" s="176"/>
      <c r="BA86" s="176"/>
      <c r="BB86" s="176"/>
    </row>
    <row r="87" ht="10.8" customHeight="1" spans="1:54">
      <c r="A87" s="280"/>
      <c r="B87" s="281"/>
      <c r="C87" s="282"/>
      <c r="D87" s="250"/>
      <c r="E87" s="282"/>
      <c r="F87" s="282"/>
      <c r="G87" s="282"/>
      <c r="H87" s="282"/>
      <c r="I87" s="282"/>
      <c r="J87" s="282"/>
      <c r="K87" s="282"/>
      <c r="L87" s="282"/>
      <c r="M87" s="282"/>
      <c r="N87" s="283"/>
      <c r="O87" s="282"/>
      <c r="P87" s="282"/>
      <c r="Q87" s="284"/>
      <c r="R87" s="284"/>
      <c r="S87" s="284"/>
      <c r="T87" s="284"/>
      <c r="U87" s="284"/>
      <c r="V87" s="284"/>
      <c r="W87" s="284"/>
      <c r="X87" s="284"/>
      <c r="Y87" s="284"/>
      <c r="Z87" s="284"/>
      <c r="AA87" s="284"/>
      <c r="AB87" s="284"/>
      <c r="AC87" s="284"/>
      <c r="AD87" s="284"/>
      <c r="AE87" s="284"/>
      <c r="AF87" s="284"/>
      <c r="AG87" s="284"/>
      <c r="AH87" s="284"/>
      <c r="AI87" s="284"/>
      <c r="AJ87" s="176"/>
      <c r="AK87" s="176"/>
      <c r="AL87" s="176"/>
      <c r="AM87" s="176"/>
      <c r="AN87" s="176"/>
      <c r="AO87" s="176"/>
      <c r="AP87" s="176"/>
      <c r="AQ87" s="176"/>
      <c r="AR87" s="176"/>
      <c r="AS87" s="176"/>
      <c r="AT87" s="176"/>
      <c r="AU87" s="176"/>
      <c r="AV87" s="176"/>
      <c r="AW87" s="176"/>
      <c r="AX87" s="176"/>
      <c r="AY87" s="176"/>
      <c r="AZ87" s="176"/>
      <c r="BA87" s="176"/>
      <c r="BB87" s="176"/>
    </row>
    <row r="88" ht="10.8" customHeight="1" spans="1:54">
      <c r="A88" s="280"/>
      <c r="B88" s="281"/>
      <c r="C88" s="282"/>
      <c r="D88" s="250"/>
      <c r="E88" s="282"/>
      <c r="F88" s="282"/>
      <c r="G88" s="282"/>
      <c r="H88" s="282"/>
      <c r="I88" s="282"/>
      <c r="J88" s="282"/>
      <c r="K88" s="282"/>
      <c r="L88" s="282"/>
      <c r="M88" s="282"/>
      <c r="N88" s="283"/>
      <c r="O88" s="282"/>
      <c r="P88" s="282"/>
      <c r="Q88" s="284"/>
      <c r="R88" s="284"/>
      <c r="S88" s="284"/>
      <c r="T88" s="284"/>
      <c r="U88" s="284"/>
      <c r="V88" s="284"/>
      <c r="W88" s="284"/>
      <c r="X88" s="284"/>
      <c r="Y88" s="284"/>
      <c r="Z88" s="284"/>
      <c r="AA88" s="284"/>
      <c r="AB88" s="284"/>
      <c r="AC88" s="284"/>
      <c r="AD88" s="284"/>
      <c r="AE88" s="284"/>
      <c r="AF88" s="284"/>
      <c r="AG88" s="284"/>
      <c r="AH88" s="284"/>
      <c r="AI88" s="284"/>
      <c r="AJ88" s="176"/>
      <c r="AK88" s="176"/>
      <c r="AL88" s="176"/>
      <c r="AM88" s="176"/>
      <c r="AN88" s="176"/>
      <c r="AO88" s="176"/>
      <c r="AP88" s="176"/>
      <c r="AQ88" s="176"/>
      <c r="AR88" s="176"/>
      <c r="AS88" s="176"/>
      <c r="AT88" s="176"/>
      <c r="AU88" s="176"/>
      <c r="AV88" s="176"/>
      <c r="AW88" s="176"/>
      <c r="AX88" s="176"/>
      <c r="AY88" s="176"/>
      <c r="AZ88" s="176"/>
      <c r="BA88" s="176"/>
      <c r="BB88" s="176"/>
    </row>
    <row r="89" ht="10.8" customHeight="1" spans="1:54">
      <c r="A89" s="280"/>
      <c r="B89" s="281"/>
      <c r="C89" s="282"/>
      <c r="D89" s="250"/>
      <c r="E89" s="282"/>
      <c r="F89" s="282"/>
      <c r="G89" s="282"/>
      <c r="H89" s="282"/>
      <c r="I89" s="282"/>
      <c r="J89" s="282"/>
      <c r="K89" s="282"/>
      <c r="L89" s="282"/>
      <c r="M89" s="282"/>
      <c r="N89" s="283"/>
      <c r="O89" s="282"/>
      <c r="P89" s="282"/>
      <c r="Q89" s="284"/>
      <c r="R89" s="284"/>
      <c r="S89" s="284"/>
      <c r="T89" s="284"/>
      <c r="U89" s="284"/>
      <c r="V89" s="284"/>
      <c r="W89" s="284"/>
      <c r="X89" s="284"/>
      <c r="Y89" s="284"/>
      <c r="Z89" s="284"/>
      <c r="AA89" s="284"/>
      <c r="AB89" s="284"/>
      <c r="AC89" s="284"/>
      <c r="AD89" s="284"/>
      <c r="AE89" s="284"/>
      <c r="AF89" s="284"/>
      <c r="AG89" s="284"/>
      <c r="AH89" s="284"/>
      <c r="AI89" s="284"/>
      <c r="AJ89" s="176"/>
      <c r="AK89" s="176"/>
      <c r="AL89" s="176"/>
      <c r="AM89" s="176"/>
      <c r="AN89" s="176"/>
      <c r="AO89" s="176"/>
      <c r="AP89" s="176"/>
      <c r="AQ89" s="176"/>
      <c r="AR89" s="176"/>
      <c r="AS89" s="176"/>
      <c r="AT89" s="176"/>
      <c r="AU89" s="176"/>
      <c r="AV89" s="176"/>
      <c r="AW89" s="176"/>
      <c r="AX89" s="176"/>
      <c r="AY89" s="176"/>
      <c r="AZ89" s="176"/>
      <c r="BA89" s="176"/>
      <c r="BB89" s="176"/>
    </row>
    <row r="90" ht="10.8" customHeight="1" spans="1:54">
      <c r="A90" s="280"/>
      <c r="B90" s="281"/>
      <c r="C90" s="282"/>
      <c r="D90" s="250"/>
      <c r="E90" s="282"/>
      <c r="F90" s="282"/>
      <c r="G90" s="282"/>
      <c r="H90" s="282"/>
      <c r="I90" s="282"/>
      <c r="J90" s="282"/>
      <c r="K90" s="282"/>
      <c r="L90" s="282"/>
      <c r="M90" s="282"/>
      <c r="N90" s="283"/>
      <c r="O90" s="282"/>
      <c r="P90" s="282"/>
      <c r="Q90" s="284"/>
      <c r="R90" s="284"/>
      <c r="S90" s="284"/>
      <c r="T90" s="284"/>
      <c r="U90" s="284"/>
      <c r="V90" s="284"/>
      <c r="W90" s="284"/>
      <c r="X90" s="284"/>
      <c r="Y90" s="284"/>
      <c r="Z90" s="284"/>
      <c r="AA90" s="284"/>
      <c r="AB90" s="284"/>
      <c r="AC90" s="284"/>
      <c r="AD90" s="284"/>
      <c r="AE90" s="284"/>
      <c r="AF90" s="284"/>
      <c r="AG90" s="284"/>
      <c r="AH90" s="284"/>
      <c r="AI90" s="284"/>
      <c r="AJ90" s="176"/>
      <c r="AK90" s="176"/>
      <c r="AL90" s="176"/>
      <c r="AM90" s="176"/>
      <c r="AN90" s="176"/>
      <c r="AO90" s="176"/>
      <c r="AP90" s="176"/>
      <c r="AQ90" s="176"/>
      <c r="AR90" s="176"/>
      <c r="AS90" s="176"/>
      <c r="AT90" s="176"/>
      <c r="AU90" s="176"/>
      <c r="AV90" s="176"/>
      <c r="AW90" s="176"/>
      <c r="AX90" s="176"/>
      <c r="AY90" s="176"/>
      <c r="AZ90" s="176"/>
      <c r="BA90" s="176"/>
      <c r="BB90" s="176"/>
    </row>
    <row r="91" ht="10.8" customHeight="1" spans="1:54">
      <c r="A91" s="280"/>
      <c r="B91" s="281"/>
      <c r="C91" s="282"/>
      <c r="D91" s="250"/>
      <c r="E91" s="282"/>
      <c r="F91" s="282"/>
      <c r="G91" s="282"/>
      <c r="H91" s="282"/>
      <c r="I91" s="282"/>
      <c r="J91" s="282"/>
      <c r="K91" s="282"/>
      <c r="L91" s="282"/>
      <c r="M91" s="282"/>
      <c r="N91" s="283"/>
      <c r="O91" s="282"/>
      <c r="P91" s="282"/>
      <c r="Q91" s="284"/>
      <c r="R91" s="284"/>
      <c r="S91" s="284"/>
      <c r="T91" s="284"/>
      <c r="U91" s="284"/>
      <c r="V91" s="284"/>
      <c r="W91" s="284"/>
      <c r="X91" s="284"/>
      <c r="Y91" s="284"/>
      <c r="Z91" s="284"/>
      <c r="AA91" s="284"/>
      <c r="AB91" s="284"/>
      <c r="AC91" s="284"/>
      <c r="AD91" s="284"/>
      <c r="AE91" s="284"/>
      <c r="AF91" s="284"/>
      <c r="AG91" s="284"/>
      <c r="AH91" s="284"/>
      <c r="AI91" s="284"/>
      <c r="AJ91" s="176"/>
      <c r="AK91" s="176"/>
      <c r="AL91" s="176"/>
      <c r="AM91" s="176"/>
      <c r="AN91" s="176"/>
      <c r="AO91" s="176"/>
      <c r="AP91" s="176"/>
      <c r="AQ91" s="176"/>
      <c r="AR91" s="176"/>
      <c r="AS91" s="176"/>
      <c r="AT91" s="176"/>
      <c r="AU91" s="176"/>
      <c r="AV91" s="176"/>
      <c r="AW91" s="176"/>
      <c r="AX91" s="176"/>
      <c r="AY91" s="176"/>
      <c r="AZ91" s="176"/>
      <c r="BA91" s="176"/>
      <c r="BB91" s="176"/>
    </row>
    <row r="92" ht="10.8" customHeight="1" spans="1:54">
      <c r="A92" s="280"/>
      <c r="B92" s="281"/>
      <c r="C92" s="282"/>
      <c r="D92" s="250"/>
      <c r="E92" s="282"/>
      <c r="F92" s="282"/>
      <c r="G92" s="282"/>
      <c r="H92" s="282"/>
      <c r="I92" s="282"/>
      <c r="J92" s="282"/>
      <c r="K92" s="282"/>
      <c r="L92" s="282"/>
      <c r="M92" s="282"/>
      <c r="N92" s="283"/>
      <c r="O92" s="282"/>
      <c r="P92" s="282"/>
      <c r="Q92" s="284"/>
      <c r="R92" s="284"/>
      <c r="S92" s="284"/>
      <c r="T92" s="284"/>
      <c r="U92" s="284"/>
      <c r="V92" s="284"/>
      <c r="W92" s="284"/>
      <c r="X92" s="284"/>
      <c r="Y92" s="284"/>
      <c r="Z92" s="284"/>
      <c r="AA92" s="284"/>
      <c r="AB92" s="284"/>
      <c r="AC92" s="284"/>
      <c r="AD92" s="284"/>
      <c r="AE92" s="284"/>
      <c r="AF92" s="284"/>
      <c r="AG92" s="284"/>
      <c r="AH92" s="284"/>
      <c r="AI92" s="284"/>
      <c r="AJ92" s="176"/>
      <c r="AK92" s="176"/>
      <c r="AL92" s="176"/>
      <c r="AM92" s="176"/>
      <c r="AN92" s="176"/>
      <c r="AO92" s="176"/>
      <c r="AP92" s="176"/>
      <c r="AQ92" s="176"/>
      <c r="AR92" s="176"/>
      <c r="AS92" s="176"/>
      <c r="AT92" s="176"/>
      <c r="AU92" s="176"/>
      <c r="AV92" s="176"/>
      <c r="AW92" s="176"/>
      <c r="AX92" s="176"/>
      <c r="AY92" s="176"/>
      <c r="AZ92" s="176"/>
      <c r="BA92" s="176"/>
      <c r="BB92" s="176"/>
    </row>
    <row r="93" ht="10.8" customHeight="1" spans="1:54">
      <c r="A93" s="280"/>
      <c r="B93" s="281"/>
      <c r="C93" s="282"/>
      <c r="D93" s="250"/>
      <c r="E93" s="282"/>
      <c r="F93" s="282"/>
      <c r="G93" s="282"/>
      <c r="H93" s="282"/>
      <c r="I93" s="282"/>
      <c r="J93" s="282"/>
      <c r="K93" s="282"/>
      <c r="L93" s="282"/>
      <c r="M93" s="282"/>
      <c r="N93" s="283"/>
      <c r="O93" s="282"/>
      <c r="P93" s="282"/>
      <c r="Q93" s="284"/>
      <c r="R93" s="284"/>
      <c r="S93" s="284"/>
      <c r="T93" s="284"/>
      <c r="U93" s="284"/>
      <c r="V93" s="284"/>
      <c r="W93" s="284"/>
      <c r="X93" s="284"/>
      <c r="Y93" s="284"/>
      <c r="Z93" s="284"/>
      <c r="AA93" s="284"/>
      <c r="AB93" s="284"/>
      <c r="AC93" s="284"/>
      <c r="AD93" s="284"/>
      <c r="AE93" s="284"/>
      <c r="AF93" s="284"/>
      <c r="AG93" s="284"/>
      <c r="AH93" s="284"/>
      <c r="AI93" s="284"/>
      <c r="AJ93" s="176"/>
      <c r="AK93" s="176"/>
      <c r="AL93" s="176"/>
      <c r="AM93" s="176"/>
      <c r="AN93" s="176"/>
      <c r="AO93" s="176"/>
      <c r="AP93" s="176"/>
      <c r="AQ93" s="176"/>
      <c r="AR93" s="176"/>
      <c r="AS93" s="176"/>
      <c r="AT93" s="176"/>
      <c r="AU93" s="176"/>
      <c r="AV93" s="176"/>
      <c r="AW93" s="176"/>
      <c r="AX93" s="176"/>
      <c r="AY93" s="176"/>
      <c r="AZ93" s="176"/>
      <c r="BA93" s="176"/>
      <c r="BB93" s="176"/>
    </row>
    <row r="94" ht="10.8" customHeight="1" spans="1:54">
      <c r="A94" s="280"/>
      <c r="B94" s="281"/>
      <c r="C94" s="282"/>
      <c r="D94" s="250"/>
      <c r="E94" s="282"/>
      <c r="F94" s="282"/>
      <c r="G94" s="282"/>
      <c r="H94" s="282"/>
      <c r="I94" s="282"/>
      <c r="J94" s="282"/>
      <c r="K94" s="282"/>
      <c r="L94" s="282"/>
      <c r="M94" s="282"/>
      <c r="N94" s="283"/>
      <c r="O94" s="282"/>
      <c r="P94" s="282"/>
      <c r="Q94" s="284"/>
      <c r="R94" s="284"/>
      <c r="S94" s="284"/>
      <c r="T94" s="284"/>
      <c r="U94" s="284"/>
      <c r="V94" s="284"/>
      <c r="W94" s="284"/>
      <c r="X94" s="284"/>
      <c r="Y94" s="284"/>
      <c r="Z94" s="284"/>
      <c r="AA94" s="284"/>
      <c r="AB94" s="284"/>
      <c r="AC94" s="284"/>
      <c r="AD94" s="284"/>
      <c r="AE94" s="284"/>
      <c r="AF94" s="284"/>
      <c r="AG94" s="284"/>
      <c r="AH94" s="284"/>
      <c r="AI94" s="284"/>
      <c r="AJ94" s="176"/>
      <c r="AK94" s="176"/>
      <c r="AL94" s="176"/>
      <c r="AM94" s="176"/>
      <c r="AN94" s="176"/>
      <c r="AO94" s="176"/>
      <c r="AP94" s="176"/>
      <c r="AQ94" s="176"/>
      <c r="AR94" s="176"/>
      <c r="AS94" s="176"/>
      <c r="AT94" s="176"/>
      <c r="AU94" s="176"/>
      <c r="AV94" s="176"/>
      <c r="AW94" s="176"/>
      <c r="AX94" s="176"/>
      <c r="AY94" s="176"/>
      <c r="AZ94" s="176"/>
      <c r="BA94" s="176"/>
      <c r="BB94" s="176"/>
    </row>
    <row r="95" ht="10.8" customHeight="1" spans="1:54">
      <c r="A95" s="280"/>
      <c r="B95" s="281"/>
      <c r="C95" s="282"/>
      <c r="D95" s="250"/>
      <c r="E95" s="282"/>
      <c r="F95" s="282"/>
      <c r="G95" s="282"/>
      <c r="H95" s="282"/>
      <c r="I95" s="282"/>
      <c r="J95" s="282"/>
      <c r="K95" s="282"/>
      <c r="L95" s="282"/>
      <c r="M95" s="282"/>
      <c r="N95" s="283"/>
      <c r="O95" s="282"/>
      <c r="P95" s="282"/>
      <c r="Q95" s="284"/>
      <c r="R95" s="284"/>
      <c r="S95" s="284"/>
      <c r="T95" s="284"/>
      <c r="U95" s="284"/>
      <c r="V95" s="284"/>
      <c r="W95" s="284"/>
      <c r="X95" s="284"/>
      <c r="Y95" s="284"/>
      <c r="Z95" s="284"/>
      <c r="AA95" s="284"/>
      <c r="AB95" s="284"/>
      <c r="AC95" s="284"/>
      <c r="AD95" s="284"/>
      <c r="AE95" s="284"/>
      <c r="AF95" s="284"/>
      <c r="AG95" s="284"/>
      <c r="AH95" s="284"/>
      <c r="AI95" s="284"/>
      <c r="AJ95" s="176"/>
      <c r="AK95" s="176"/>
      <c r="AL95" s="176"/>
      <c r="AM95" s="176"/>
      <c r="AN95" s="176"/>
      <c r="AO95" s="176"/>
      <c r="AP95" s="176"/>
      <c r="AQ95" s="176"/>
      <c r="AR95" s="176"/>
      <c r="AS95" s="176"/>
      <c r="AT95" s="176"/>
      <c r="AU95" s="176"/>
      <c r="AV95" s="176"/>
      <c r="AW95" s="176"/>
      <c r="AX95" s="176"/>
      <c r="AY95" s="176"/>
      <c r="AZ95" s="176"/>
      <c r="BA95" s="176"/>
      <c r="BB95" s="176"/>
    </row>
    <row r="96" ht="10.8" customHeight="1" spans="1:54">
      <c r="A96" s="280"/>
      <c r="B96" s="281"/>
      <c r="C96" s="282"/>
      <c r="D96" s="250"/>
      <c r="E96" s="282"/>
      <c r="F96" s="282"/>
      <c r="G96" s="282"/>
      <c r="H96" s="282"/>
      <c r="I96" s="282"/>
      <c r="J96" s="282"/>
      <c r="K96" s="282"/>
      <c r="L96" s="282"/>
      <c r="M96" s="282"/>
      <c r="N96" s="283"/>
      <c r="O96" s="282"/>
      <c r="P96" s="282"/>
      <c r="Q96" s="284"/>
      <c r="R96" s="284"/>
      <c r="S96" s="284"/>
      <c r="T96" s="284"/>
      <c r="U96" s="284"/>
      <c r="V96" s="284"/>
      <c r="W96" s="284"/>
      <c r="X96" s="284"/>
      <c r="Y96" s="284"/>
      <c r="Z96" s="284"/>
      <c r="AA96" s="284"/>
      <c r="AB96" s="284"/>
      <c r="AC96" s="284"/>
      <c r="AD96" s="284"/>
      <c r="AE96" s="284"/>
      <c r="AF96" s="284"/>
      <c r="AG96" s="284"/>
      <c r="AH96" s="284"/>
      <c r="AI96" s="284"/>
      <c r="AJ96" s="176"/>
      <c r="AK96" s="176"/>
      <c r="AL96" s="176"/>
      <c r="AM96" s="176"/>
      <c r="AN96" s="176"/>
      <c r="AO96" s="176"/>
      <c r="AP96" s="176"/>
      <c r="AQ96" s="176"/>
      <c r="AR96" s="176"/>
      <c r="AS96" s="176"/>
      <c r="AT96" s="176"/>
      <c r="AU96" s="176"/>
      <c r="AV96" s="176"/>
      <c r="AW96" s="176"/>
      <c r="AX96" s="176"/>
      <c r="AY96" s="176"/>
      <c r="AZ96" s="176"/>
      <c r="BA96" s="176"/>
      <c r="BB96" s="176"/>
    </row>
    <row r="97" ht="10.8" customHeight="1" spans="1:54">
      <c r="A97" s="280"/>
      <c r="B97" s="281"/>
      <c r="C97" s="282"/>
      <c r="D97" s="250"/>
      <c r="E97" s="282"/>
      <c r="F97" s="282"/>
      <c r="G97" s="282"/>
      <c r="H97" s="282"/>
      <c r="I97" s="282"/>
      <c r="J97" s="282"/>
      <c r="K97" s="282"/>
      <c r="L97" s="282"/>
      <c r="M97" s="282"/>
      <c r="N97" s="283"/>
      <c r="O97" s="282"/>
      <c r="P97" s="282"/>
      <c r="Q97" s="284"/>
      <c r="R97" s="284"/>
      <c r="S97" s="284"/>
      <c r="T97" s="284"/>
      <c r="U97" s="284"/>
      <c r="V97" s="284"/>
      <c r="W97" s="284"/>
      <c r="X97" s="284"/>
      <c r="Y97" s="284"/>
      <c r="Z97" s="284"/>
      <c r="AA97" s="284"/>
      <c r="AB97" s="284"/>
      <c r="AC97" s="284"/>
      <c r="AD97" s="284"/>
      <c r="AE97" s="284"/>
      <c r="AF97" s="284"/>
      <c r="AG97" s="284"/>
      <c r="AH97" s="284"/>
      <c r="AI97" s="284"/>
      <c r="AJ97" s="176"/>
      <c r="AK97" s="176"/>
      <c r="AL97" s="176"/>
      <c r="AM97" s="176"/>
      <c r="AN97" s="176"/>
      <c r="AO97" s="176"/>
      <c r="AP97" s="176"/>
      <c r="AQ97" s="176"/>
      <c r="AR97" s="176"/>
      <c r="AS97" s="176"/>
      <c r="AT97" s="176"/>
      <c r="AU97" s="176"/>
      <c r="AV97" s="176"/>
      <c r="AW97" s="176"/>
      <c r="AX97" s="176"/>
      <c r="AY97" s="176"/>
      <c r="AZ97" s="176"/>
      <c r="BA97" s="176"/>
      <c r="BB97" s="176"/>
    </row>
    <row r="98" ht="10.8" customHeight="1" spans="1:54">
      <c r="A98" s="280"/>
      <c r="B98" s="281"/>
      <c r="C98" s="282"/>
      <c r="D98" s="250"/>
      <c r="E98" s="282"/>
      <c r="F98" s="282"/>
      <c r="G98" s="282"/>
      <c r="H98" s="282"/>
      <c r="I98" s="282"/>
      <c r="J98" s="282"/>
      <c r="K98" s="282"/>
      <c r="L98" s="282"/>
      <c r="M98" s="282"/>
      <c r="N98" s="283"/>
      <c r="O98" s="282"/>
      <c r="P98" s="282"/>
      <c r="Q98" s="284"/>
      <c r="R98" s="284"/>
      <c r="S98" s="284"/>
      <c r="T98" s="284"/>
      <c r="U98" s="284"/>
      <c r="V98" s="284"/>
      <c r="W98" s="284"/>
      <c r="X98" s="284"/>
      <c r="Y98" s="284"/>
      <c r="Z98" s="284"/>
      <c r="AA98" s="284"/>
      <c r="AB98" s="284"/>
      <c r="AC98" s="284"/>
      <c r="AD98" s="284"/>
      <c r="AE98" s="284"/>
      <c r="AF98" s="284"/>
      <c r="AG98" s="284"/>
      <c r="AH98" s="284"/>
      <c r="AI98" s="284"/>
      <c r="AJ98" s="176"/>
      <c r="AK98" s="176"/>
      <c r="AL98" s="176"/>
      <c r="AM98" s="176"/>
      <c r="AN98" s="176"/>
      <c r="AO98" s="176"/>
      <c r="AP98" s="176"/>
      <c r="AQ98" s="176"/>
      <c r="AR98" s="176"/>
      <c r="AS98" s="176"/>
      <c r="AT98" s="176"/>
      <c r="AU98" s="176"/>
      <c r="AV98" s="176"/>
      <c r="AW98" s="176"/>
      <c r="AX98" s="176"/>
      <c r="AY98" s="176"/>
      <c r="AZ98" s="176"/>
      <c r="BA98" s="176"/>
      <c r="BB98" s="176"/>
    </row>
    <row r="99" ht="10.8" customHeight="1" spans="1:54">
      <c r="A99" s="280"/>
      <c r="B99" s="281"/>
      <c r="C99" s="282"/>
      <c r="D99" s="250"/>
      <c r="E99" s="282"/>
      <c r="F99" s="282"/>
      <c r="G99" s="282"/>
      <c r="H99" s="282"/>
      <c r="I99" s="282"/>
      <c r="J99" s="282"/>
      <c r="K99" s="282"/>
      <c r="L99" s="282"/>
      <c r="M99" s="282"/>
      <c r="N99" s="283"/>
      <c r="O99" s="282"/>
      <c r="P99" s="282"/>
      <c r="Q99" s="284"/>
      <c r="R99" s="284"/>
      <c r="S99" s="284"/>
      <c r="T99" s="284"/>
      <c r="U99" s="284"/>
      <c r="V99" s="284"/>
      <c r="W99" s="284"/>
      <c r="X99" s="284"/>
      <c r="Y99" s="284"/>
      <c r="Z99" s="284"/>
      <c r="AA99" s="284"/>
      <c r="AB99" s="284"/>
      <c r="AC99" s="284"/>
      <c r="AD99" s="284"/>
      <c r="AE99" s="284"/>
      <c r="AF99" s="284"/>
      <c r="AG99" s="284"/>
      <c r="AH99" s="284"/>
      <c r="AI99" s="284"/>
      <c r="AJ99" s="176"/>
      <c r="AK99" s="176"/>
      <c r="AL99" s="176"/>
      <c r="AM99" s="176"/>
      <c r="AN99" s="176"/>
      <c r="AO99" s="176"/>
      <c r="AP99" s="176"/>
      <c r="AQ99" s="176"/>
      <c r="AR99" s="176"/>
      <c r="AS99" s="176"/>
      <c r="AT99" s="176"/>
      <c r="AU99" s="176"/>
      <c r="AV99" s="176"/>
      <c r="AW99" s="176"/>
      <c r="AX99" s="176"/>
      <c r="AY99" s="176"/>
      <c r="AZ99" s="176"/>
      <c r="BA99" s="176"/>
      <c r="BB99" s="176"/>
    </row>
    <row r="100" ht="10.8" customHeight="1" spans="1:54">
      <c r="A100" s="280"/>
      <c r="B100" s="281"/>
      <c r="C100" s="282"/>
      <c r="D100" s="250"/>
      <c r="E100" s="282"/>
      <c r="F100" s="282"/>
      <c r="G100" s="282"/>
      <c r="H100" s="282"/>
      <c r="I100" s="282"/>
      <c r="J100" s="282"/>
      <c r="K100" s="282"/>
      <c r="L100" s="282"/>
      <c r="M100" s="282"/>
      <c r="N100" s="283"/>
      <c r="O100" s="282"/>
      <c r="P100" s="282"/>
      <c r="Q100" s="284"/>
      <c r="R100" s="284"/>
      <c r="S100" s="284"/>
      <c r="T100" s="284"/>
      <c r="U100" s="284"/>
      <c r="V100" s="284"/>
      <c r="W100" s="284"/>
      <c r="X100" s="284"/>
      <c r="Y100" s="284"/>
      <c r="Z100" s="284"/>
      <c r="AA100" s="284"/>
      <c r="AB100" s="284"/>
      <c r="AC100" s="284"/>
      <c r="AD100" s="284"/>
      <c r="AE100" s="284"/>
      <c r="AF100" s="284"/>
      <c r="AG100" s="284"/>
      <c r="AH100" s="284"/>
      <c r="AI100" s="284"/>
      <c r="AJ100" s="176"/>
      <c r="AK100" s="176"/>
      <c r="AL100" s="176"/>
      <c r="AM100" s="176"/>
      <c r="AN100" s="176"/>
      <c r="AO100" s="176"/>
      <c r="AP100" s="176"/>
      <c r="AQ100" s="176"/>
      <c r="AR100" s="176"/>
      <c r="AS100" s="176"/>
      <c r="AT100" s="176"/>
      <c r="AU100" s="176"/>
      <c r="AV100" s="176"/>
      <c r="AW100" s="176"/>
      <c r="AX100" s="176"/>
      <c r="AY100" s="176"/>
      <c r="AZ100" s="176"/>
      <c r="BA100" s="176"/>
      <c r="BB100" s="176"/>
    </row>
    <row r="101" ht="10.8" customHeight="1" spans="1:54">
      <c r="A101" s="280"/>
      <c r="B101" s="281"/>
      <c r="C101" s="282"/>
      <c r="D101" s="250"/>
      <c r="E101" s="282"/>
      <c r="F101" s="282"/>
      <c r="G101" s="282"/>
      <c r="H101" s="282"/>
      <c r="I101" s="282"/>
      <c r="J101" s="282"/>
      <c r="K101" s="282"/>
      <c r="L101" s="282"/>
      <c r="M101" s="282"/>
      <c r="N101" s="283"/>
      <c r="O101" s="282"/>
      <c r="P101" s="282"/>
      <c r="Q101" s="284"/>
      <c r="R101" s="284"/>
      <c r="S101" s="284"/>
      <c r="T101" s="284"/>
      <c r="U101" s="284"/>
      <c r="V101" s="284"/>
      <c r="W101" s="284"/>
      <c r="X101" s="284"/>
      <c r="Y101" s="284"/>
      <c r="Z101" s="284"/>
      <c r="AA101" s="284"/>
      <c r="AB101" s="284"/>
      <c r="AC101" s="284"/>
      <c r="AD101" s="284"/>
      <c r="AE101" s="284"/>
      <c r="AF101" s="284"/>
      <c r="AG101" s="284"/>
      <c r="AH101" s="284"/>
      <c r="AI101" s="284"/>
      <c r="AJ101" s="176"/>
      <c r="AK101" s="176"/>
      <c r="AL101" s="176"/>
      <c r="AM101" s="176"/>
      <c r="AN101" s="176"/>
      <c r="AO101" s="176"/>
      <c r="AP101" s="176"/>
      <c r="AQ101" s="176"/>
      <c r="AR101" s="176"/>
      <c r="AS101" s="176"/>
      <c r="AT101" s="176"/>
      <c r="AU101" s="176"/>
      <c r="AV101" s="176"/>
      <c r="AW101" s="176"/>
      <c r="AX101" s="176"/>
      <c r="AY101" s="176"/>
      <c r="AZ101" s="176"/>
      <c r="BA101" s="176"/>
      <c r="BB101" s="176"/>
    </row>
    <row r="102" ht="10.8" customHeight="1" spans="1:54">
      <c r="A102" s="280"/>
      <c r="B102" s="281"/>
      <c r="C102" s="282"/>
      <c r="D102" s="250"/>
      <c r="E102" s="282"/>
      <c r="F102" s="282"/>
      <c r="G102" s="282"/>
      <c r="H102" s="282"/>
      <c r="I102" s="282"/>
      <c r="J102" s="282"/>
      <c r="K102" s="282"/>
      <c r="L102" s="282"/>
      <c r="M102" s="282"/>
      <c r="N102" s="283"/>
      <c r="O102" s="282"/>
      <c r="P102" s="282"/>
      <c r="Q102" s="284"/>
      <c r="R102" s="284"/>
      <c r="S102" s="284"/>
      <c r="T102" s="284"/>
      <c r="U102" s="284"/>
      <c r="V102" s="284"/>
      <c r="W102" s="284"/>
      <c r="X102" s="284"/>
      <c r="Y102" s="284"/>
      <c r="Z102" s="284"/>
      <c r="AA102" s="284"/>
      <c r="AB102" s="284"/>
      <c r="AC102" s="284"/>
      <c r="AD102" s="284"/>
      <c r="AE102" s="284"/>
      <c r="AF102" s="284"/>
      <c r="AG102" s="284"/>
      <c r="AH102" s="284"/>
      <c r="AI102" s="284"/>
      <c r="AJ102" s="176"/>
      <c r="AK102" s="176"/>
      <c r="AL102" s="176"/>
      <c r="AM102" s="176"/>
      <c r="AN102" s="176"/>
      <c r="AO102" s="176"/>
      <c r="AP102" s="176"/>
      <c r="AQ102" s="176"/>
      <c r="AR102" s="176"/>
      <c r="AS102" s="176"/>
      <c r="AT102" s="176"/>
      <c r="AU102" s="176"/>
      <c r="AV102" s="176"/>
      <c r="AW102" s="176"/>
      <c r="AX102" s="176"/>
      <c r="AY102" s="176"/>
      <c r="AZ102" s="176"/>
      <c r="BA102" s="176"/>
      <c r="BB102" s="176"/>
    </row>
    <row r="103" ht="10.8" customHeight="1" spans="1:54">
      <c r="A103" s="280"/>
      <c r="B103" s="281"/>
      <c r="C103" s="282"/>
      <c r="D103" s="250"/>
      <c r="E103" s="282"/>
      <c r="F103" s="282"/>
      <c r="G103" s="282"/>
      <c r="H103" s="282"/>
      <c r="I103" s="282"/>
      <c r="J103" s="282"/>
      <c r="K103" s="282"/>
      <c r="L103" s="282"/>
      <c r="M103" s="282"/>
      <c r="N103" s="283"/>
      <c r="O103" s="282"/>
      <c r="P103" s="282"/>
      <c r="Q103" s="284"/>
      <c r="R103" s="284"/>
      <c r="S103" s="284"/>
      <c r="T103" s="284"/>
      <c r="U103" s="284"/>
      <c r="V103" s="284"/>
      <c r="W103" s="284"/>
      <c r="X103" s="284"/>
      <c r="Y103" s="284"/>
      <c r="Z103" s="284"/>
      <c r="AA103" s="284"/>
      <c r="AB103" s="284"/>
      <c r="AC103" s="284"/>
      <c r="AD103" s="284"/>
      <c r="AE103" s="284"/>
      <c r="AF103" s="284"/>
      <c r="AG103" s="284"/>
      <c r="AH103" s="284"/>
      <c r="AI103" s="284"/>
      <c r="AJ103" s="176"/>
      <c r="AK103" s="176"/>
      <c r="AL103" s="176"/>
      <c r="AM103" s="176"/>
      <c r="AN103" s="176"/>
      <c r="AO103" s="176"/>
      <c r="AP103" s="176"/>
      <c r="AQ103" s="176"/>
      <c r="AR103" s="176"/>
      <c r="AS103" s="176"/>
      <c r="AT103" s="176"/>
      <c r="AU103" s="176"/>
      <c r="AV103" s="176"/>
      <c r="AW103" s="176"/>
      <c r="AX103" s="176"/>
      <c r="AY103" s="176"/>
      <c r="AZ103" s="176"/>
      <c r="BA103" s="176"/>
      <c r="BB103" s="176"/>
    </row>
    <row r="104" ht="10.8" customHeight="1" spans="1:54">
      <c r="A104" s="280"/>
      <c r="B104" s="281"/>
      <c r="C104" s="282"/>
      <c r="D104" s="250"/>
      <c r="E104" s="282"/>
      <c r="F104" s="282"/>
      <c r="G104" s="282"/>
      <c r="H104" s="282"/>
      <c r="I104" s="282"/>
      <c r="J104" s="282"/>
      <c r="K104" s="282"/>
      <c r="L104" s="282"/>
      <c r="M104" s="282"/>
      <c r="N104" s="283"/>
      <c r="O104" s="282"/>
      <c r="P104" s="282"/>
      <c r="Q104" s="284"/>
      <c r="R104" s="284"/>
      <c r="S104" s="284"/>
      <c r="T104" s="284"/>
      <c r="U104" s="284"/>
      <c r="V104" s="284"/>
      <c r="W104" s="284"/>
      <c r="X104" s="284"/>
      <c r="Y104" s="284"/>
      <c r="Z104" s="284"/>
      <c r="AA104" s="284"/>
      <c r="AB104" s="284"/>
      <c r="AC104" s="284"/>
      <c r="AD104" s="284"/>
      <c r="AE104" s="284"/>
      <c r="AF104" s="284"/>
      <c r="AG104" s="284"/>
      <c r="AH104" s="284"/>
      <c r="AI104" s="284"/>
      <c r="AJ104" s="176"/>
      <c r="AK104" s="176"/>
      <c r="AL104" s="176"/>
      <c r="AM104" s="176"/>
      <c r="AN104" s="176"/>
      <c r="AO104" s="176"/>
      <c r="AP104" s="176"/>
      <c r="AQ104" s="176"/>
      <c r="AR104" s="176"/>
      <c r="AS104" s="176"/>
      <c r="AT104" s="176"/>
      <c r="AU104" s="176"/>
      <c r="AV104" s="176"/>
      <c r="AW104" s="176"/>
      <c r="AX104" s="176"/>
      <c r="AY104" s="176"/>
      <c r="AZ104" s="176"/>
      <c r="BA104" s="176"/>
      <c r="BB104" s="176"/>
    </row>
    <row r="105" ht="10.8" customHeight="1" spans="1:54">
      <c r="A105" s="280"/>
      <c r="B105" s="281"/>
      <c r="C105" s="282"/>
      <c r="D105" s="250"/>
      <c r="E105" s="282"/>
      <c r="F105" s="282"/>
      <c r="G105" s="282"/>
      <c r="H105" s="282"/>
      <c r="I105" s="282"/>
      <c r="J105" s="282"/>
      <c r="K105" s="282"/>
      <c r="L105" s="282"/>
      <c r="M105" s="282"/>
      <c r="N105" s="283"/>
      <c r="O105" s="282"/>
      <c r="P105" s="282"/>
      <c r="Q105" s="284"/>
      <c r="R105" s="284"/>
      <c r="S105" s="284"/>
      <c r="T105" s="284"/>
      <c r="U105" s="284"/>
      <c r="V105" s="284"/>
      <c r="W105" s="284"/>
      <c r="X105" s="284"/>
      <c r="Y105" s="284"/>
      <c r="Z105" s="284"/>
      <c r="AA105" s="284"/>
      <c r="AB105" s="284"/>
      <c r="AC105" s="284"/>
      <c r="AD105" s="284"/>
      <c r="AE105" s="284"/>
      <c r="AF105" s="284"/>
      <c r="AG105" s="284"/>
      <c r="AH105" s="284"/>
      <c r="AI105" s="284"/>
      <c r="AJ105" s="176"/>
      <c r="AK105" s="176"/>
      <c r="AL105" s="176"/>
      <c r="AM105" s="176"/>
      <c r="AN105" s="176"/>
      <c r="AO105" s="176"/>
      <c r="AP105" s="176"/>
      <c r="AQ105" s="176"/>
      <c r="AR105" s="176"/>
      <c r="AS105" s="176"/>
      <c r="AT105" s="176"/>
      <c r="AU105" s="176"/>
      <c r="AV105" s="176"/>
      <c r="AW105" s="176"/>
      <c r="AX105" s="176"/>
      <c r="AY105" s="176"/>
      <c r="AZ105" s="176"/>
      <c r="BA105" s="176"/>
      <c r="BB105" s="176"/>
    </row>
    <row r="106" ht="10.8" customHeight="1" spans="1:54">
      <c r="A106" s="280"/>
      <c r="B106" s="281"/>
      <c r="C106" s="282"/>
      <c r="D106" s="250"/>
      <c r="E106" s="282"/>
      <c r="F106" s="282"/>
      <c r="G106" s="282"/>
      <c r="H106" s="282"/>
      <c r="I106" s="282"/>
      <c r="J106" s="282"/>
      <c r="K106" s="282"/>
      <c r="L106" s="282"/>
      <c r="M106" s="282"/>
      <c r="N106" s="283"/>
      <c r="O106" s="282"/>
      <c r="P106" s="282"/>
      <c r="Q106" s="284"/>
      <c r="R106" s="284"/>
      <c r="S106" s="284"/>
      <c r="T106" s="284"/>
      <c r="U106" s="284"/>
      <c r="V106" s="284"/>
      <c r="W106" s="284"/>
      <c r="X106" s="284"/>
      <c r="Y106" s="284"/>
      <c r="Z106" s="284"/>
      <c r="AA106" s="284"/>
      <c r="AB106" s="284"/>
      <c r="AC106" s="284"/>
      <c r="AD106" s="284"/>
      <c r="AE106" s="284"/>
      <c r="AF106" s="284"/>
      <c r="AG106" s="284"/>
      <c r="AH106" s="284"/>
      <c r="AI106" s="284"/>
      <c r="AJ106" s="176"/>
      <c r="AK106" s="176"/>
      <c r="AL106" s="176"/>
      <c r="AM106" s="176"/>
      <c r="AN106" s="176"/>
      <c r="AO106" s="176"/>
      <c r="AP106" s="176"/>
      <c r="AQ106" s="176"/>
      <c r="AR106" s="176"/>
      <c r="AS106" s="176"/>
      <c r="AT106" s="176"/>
      <c r="AU106" s="176"/>
      <c r="AV106" s="176"/>
      <c r="AW106" s="176"/>
      <c r="AX106" s="176"/>
      <c r="AY106" s="176"/>
      <c r="AZ106" s="176"/>
      <c r="BA106" s="176"/>
      <c r="BB106" s="176"/>
    </row>
    <row r="107" ht="10.8" customHeight="1" spans="1:54">
      <c r="A107" s="280"/>
      <c r="B107" s="281"/>
      <c r="C107" s="282"/>
      <c r="D107" s="250"/>
      <c r="E107" s="282"/>
      <c r="F107" s="282"/>
      <c r="G107" s="282"/>
      <c r="H107" s="282"/>
      <c r="I107" s="282"/>
      <c r="J107" s="282"/>
      <c r="K107" s="282"/>
      <c r="L107" s="282"/>
      <c r="M107" s="282"/>
      <c r="N107" s="283"/>
      <c r="O107" s="282"/>
      <c r="P107" s="282"/>
      <c r="Q107" s="284"/>
      <c r="R107" s="284"/>
      <c r="S107" s="284"/>
      <c r="T107" s="284"/>
      <c r="U107" s="284"/>
      <c r="V107" s="284"/>
      <c r="W107" s="284"/>
      <c r="X107" s="284"/>
      <c r="Y107" s="284"/>
      <c r="Z107" s="284"/>
      <c r="AA107" s="284"/>
      <c r="AB107" s="284"/>
      <c r="AC107" s="284"/>
      <c r="AD107" s="284"/>
      <c r="AE107" s="284"/>
      <c r="AF107" s="284"/>
      <c r="AG107" s="284"/>
      <c r="AH107" s="284"/>
      <c r="AI107" s="284"/>
      <c r="AJ107" s="176"/>
      <c r="AK107" s="176"/>
      <c r="AL107" s="176"/>
      <c r="AM107" s="176"/>
      <c r="AN107" s="176"/>
      <c r="AO107" s="176"/>
      <c r="AP107" s="176"/>
      <c r="AQ107" s="176"/>
      <c r="AR107" s="176"/>
      <c r="AS107" s="176"/>
      <c r="AT107" s="176"/>
      <c r="AU107" s="176"/>
      <c r="AV107" s="176"/>
      <c r="AW107" s="176"/>
      <c r="AX107" s="176"/>
      <c r="AY107" s="176"/>
      <c r="AZ107" s="176"/>
      <c r="BA107" s="176"/>
      <c r="BB107" s="176"/>
    </row>
    <row r="108" ht="10.8" customHeight="1" spans="1:54">
      <c r="A108" s="280"/>
      <c r="B108" s="281"/>
      <c r="C108" s="282"/>
      <c r="D108" s="250"/>
      <c r="E108" s="282"/>
      <c r="F108" s="282"/>
      <c r="G108" s="282"/>
      <c r="H108" s="282"/>
      <c r="I108" s="282"/>
      <c r="J108" s="282"/>
      <c r="K108" s="282"/>
      <c r="L108" s="282"/>
      <c r="M108" s="282"/>
      <c r="N108" s="283"/>
      <c r="O108" s="282"/>
      <c r="P108" s="282"/>
      <c r="Q108" s="284"/>
      <c r="R108" s="284"/>
      <c r="S108" s="284"/>
      <c r="T108" s="284"/>
      <c r="U108" s="284"/>
      <c r="V108" s="284"/>
      <c r="W108" s="284"/>
      <c r="X108" s="284"/>
      <c r="Y108" s="284"/>
      <c r="Z108" s="284"/>
      <c r="AA108" s="284"/>
      <c r="AB108" s="284"/>
      <c r="AC108" s="284"/>
      <c r="AD108" s="284"/>
      <c r="AE108" s="284"/>
      <c r="AF108" s="284"/>
      <c r="AG108" s="284"/>
      <c r="AH108" s="284"/>
      <c r="AI108" s="284"/>
      <c r="AJ108" s="176"/>
      <c r="AK108" s="176"/>
      <c r="AL108" s="176"/>
      <c r="AM108" s="176"/>
      <c r="AN108" s="176"/>
      <c r="AO108" s="176"/>
      <c r="AP108" s="176"/>
      <c r="AQ108" s="176"/>
      <c r="AR108" s="176"/>
      <c r="AS108" s="176"/>
      <c r="AT108" s="176"/>
      <c r="AU108" s="176"/>
      <c r="AV108" s="176"/>
      <c r="AW108" s="176"/>
      <c r="AX108" s="176"/>
      <c r="AY108" s="176"/>
      <c r="AZ108" s="176"/>
      <c r="BA108" s="176"/>
      <c r="BB108" s="176"/>
    </row>
    <row r="109" ht="10.8" customHeight="1" spans="1:54">
      <c r="A109" s="280"/>
      <c r="B109" s="281"/>
      <c r="C109" s="282"/>
      <c r="D109" s="250"/>
      <c r="E109" s="282"/>
      <c r="F109" s="282"/>
      <c r="G109" s="282"/>
      <c r="H109" s="282"/>
      <c r="I109" s="282"/>
      <c r="J109" s="282"/>
      <c r="K109" s="282"/>
      <c r="L109" s="282"/>
      <c r="M109" s="282"/>
      <c r="N109" s="283"/>
      <c r="O109" s="282"/>
      <c r="P109" s="282"/>
      <c r="Q109" s="284"/>
      <c r="R109" s="284"/>
      <c r="S109" s="284"/>
      <c r="T109" s="284"/>
      <c r="U109" s="284"/>
      <c r="V109" s="284"/>
      <c r="W109" s="284"/>
      <c r="X109" s="284"/>
      <c r="Y109" s="284"/>
      <c r="Z109" s="284"/>
      <c r="AA109" s="284"/>
      <c r="AB109" s="284"/>
      <c r="AC109" s="284"/>
      <c r="AD109" s="284"/>
      <c r="AE109" s="284"/>
      <c r="AF109" s="284"/>
      <c r="AG109" s="284"/>
      <c r="AH109" s="284"/>
      <c r="AI109" s="284"/>
      <c r="AJ109" s="176"/>
      <c r="AK109" s="176"/>
      <c r="AL109" s="176"/>
      <c r="AM109" s="176"/>
      <c r="AN109" s="176"/>
      <c r="AO109" s="176"/>
      <c r="AP109" s="176"/>
      <c r="AQ109" s="176"/>
      <c r="AR109" s="176"/>
      <c r="AS109" s="176"/>
      <c r="AT109" s="176"/>
      <c r="AU109" s="176"/>
      <c r="AV109" s="176"/>
      <c r="AW109" s="176"/>
      <c r="AX109" s="176"/>
      <c r="AY109" s="176"/>
      <c r="AZ109" s="176"/>
      <c r="BA109" s="176"/>
      <c r="BB109" s="176"/>
    </row>
    <row r="110" ht="10.8" customHeight="1" spans="1:54">
      <c r="A110" s="280"/>
      <c r="B110" s="281"/>
      <c r="C110" s="282"/>
      <c r="D110" s="250"/>
      <c r="E110" s="282"/>
      <c r="F110" s="282"/>
      <c r="G110" s="282"/>
      <c r="H110" s="282"/>
      <c r="I110" s="282"/>
      <c r="J110" s="282"/>
      <c r="K110" s="282"/>
      <c r="L110" s="282"/>
      <c r="M110" s="282"/>
      <c r="N110" s="283"/>
      <c r="O110" s="282"/>
      <c r="P110" s="282"/>
      <c r="Q110" s="284"/>
      <c r="R110" s="284"/>
      <c r="S110" s="284"/>
      <c r="T110" s="284"/>
      <c r="U110" s="284"/>
      <c r="V110" s="284"/>
      <c r="W110" s="284"/>
      <c r="X110" s="284"/>
      <c r="Y110" s="284"/>
      <c r="Z110" s="284"/>
      <c r="AA110" s="284"/>
      <c r="AB110" s="284"/>
      <c r="AC110" s="284"/>
      <c r="AD110" s="284"/>
      <c r="AE110" s="284"/>
      <c r="AF110" s="284"/>
      <c r="AG110" s="284"/>
      <c r="AH110" s="284"/>
      <c r="AI110" s="284"/>
      <c r="AJ110" s="176"/>
      <c r="AK110" s="176"/>
      <c r="AL110" s="176"/>
      <c r="AM110" s="176"/>
      <c r="AN110" s="176"/>
      <c r="AO110" s="176"/>
      <c r="AP110" s="176"/>
      <c r="AQ110" s="176"/>
      <c r="AR110" s="176"/>
      <c r="AS110" s="176"/>
      <c r="AT110" s="176"/>
      <c r="AU110" s="176"/>
      <c r="AV110" s="176"/>
      <c r="AW110" s="176"/>
      <c r="AX110" s="176"/>
      <c r="AY110" s="176"/>
      <c r="AZ110" s="176"/>
      <c r="BA110" s="176"/>
      <c r="BB110" s="176"/>
    </row>
    <row r="111" ht="10.8" customHeight="1" spans="1:54">
      <c r="A111" s="280"/>
      <c r="B111" s="281"/>
      <c r="C111" s="282"/>
      <c r="D111" s="250"/>
      <c r="E111" s="282"/>
      <c r="F111" s="282"/>
      <c r="G111" s="282"/>
      <c r="H111" s="282"/>
      <c r="I111" s="282"/>
      <c r="J111" s="282"/>
      <c r="K111" s="282"/>
      <c r="L111" s="282"/>
      <c r="M111" s="282"/>
      <c r="N111" s="283"/>
      <c r="O111" s="282"/>
      <c r="P111" s="282"/>
      <c r="Q111" s="284"/>
      <c r="R111" s="284"/>
      <c r="S111" s="284"/>
      <c r="T111" s="284"/>
      <c r="U111" s="284"/>
      <c r="V111" s="284"/>
      <c r="W111" s="284"/>
      <c r="X111" s="284"/>
      <c r="Y111" s="284"/>
      <c r="Z111" s="284"/>
      <c r="AA111" s="284"/>
      <c r="AB111" s="284"/>
      <c r="AC111" s="284"/>
      <c r="AD111" s="284"/>
      <c r="AE111" s="284"/>
      <c r="AF111" s="284"/>
      <c r="AG111" s="284"/>
      <c r="AH111" s="284"/>
      <c r="AI111" s="284"/>
      <c r="AJ111" s="176"/>
      <c r="AK111" s="176"/>
      <c r="AL111" s="176"/>
      <c r="AM111" s="176"/>
      <c r="AN111" s="176"/>
      <c r="AO111" s="176"/>
      <c r="AP111" s="176"/>
      <c r="AQ111" s="176"/>
      <c r="AR111" s="176"/>
      <c r="AS111" s="176"/>
      <c r="AT111" s="176"/>
      <c r="AU111" s="176"/>
      <c r="AV111" s="176"/>
      <c r="AW111" s="176"/>
      <c r="AX111" s="176"/>
      <c r="AY111" s="176"/>
      <c r="AZ111" s="176"/>
      <c r="BA111" s="176"/>
      <c r="BB111" s="176"/>
    </row>
    <row r="112" ht="10.8" customHeight="1" spans="1:54">
      <c r="A112" s="280"/>
      <c r="B112" s="281"/>
      <c r="C112" s="282"/>
      <c r="D112" s="250"/>
      <c r="E112" s="282"/>
      <c r="F112" s="282"/>
      <c r="G112" s="282"/>
      <c r="H112" s="282"/>
      <c r="I112" s="282"/>
      <c r="J112" s="282"/>
      <c r="K112" s="282"/>
      <c r="L112" s="282"/>
      <c r="M112" s="282"/>
      <c r="N112" s="283"/>
      <c r="O112" s="282"/>
      <c r="P112" s="282"/>
      <c r="Q112" s="284"/>
      <c r="R112" s="284"/>
      <c r="S112" s="284"/>
      <c r="T112" s="284"/>
      <c r="U112" s="284"/>
      <c r="V112" s="284"/>
      <c r="W112" s="284"/>
      <c r="X112" s="284"/>
      <c r="Y112" s="284"/>
      <c r="Z112" s="284"/>
      <c r="AA112" s="284"/>
      <c r="AB112" s="284"/>
      <c r="AC112" s="284"/>
      <c r="AD112" s="284"/>
      <c r="AE112" s="284"/>
      <c r="AF112" s="284"/>
      <c r="AG112" s="284"/>
      <c r="AH112" s="284"/>
      <c r="AI112" s="284"/>
      <c r="AJ112" s="176"/>
      <c r="AK112" s="176"/>
      <c r="AL112" s="176"/>
      <c r="AM112" s="176"/>
      <c r="AN112" s="176"/>
      <c r="AO112" s="176"/>
      <c r="AP112" s="176"/>
      <c r="AQ112" s="176"/>
      <c r="AR112" s="176"/>
      <c r="AS112" s="176"/>
      <c r="AT112" s="176"/>
      <c r="AU112" s="176"/>
      <c r="AV112" s="176"/>
      <c r="AW112" s="176"/>
      <c r="AX112" s="176"/>
      <c r="AY112" s="176"/>
      <c r="AZ112" s="176"/>
      <c r="BA112" s="176"/>
      <c r="BB112" s="176"/>
    </row>
    <row r="113" ht="10.8" customHeight="1" spans="1:54">
      <c r="A113" s="280"/>
      <c r="B113" s="281"/>
      <c r="C113" s="282"/>
      <c r="D113" s="250"/>
      <c r="E113" s="282"/>
      <c r="F113" s="282"/>
      <c r="G113" s="282"/>
      <c r="H113" s="282"/>
      <c r="I113" s="282"/>
      <c r="J113" s="282"/>
      <c r="K113" s="282"/>
      <c r="L113" s="282"/>
      <c r="M113" s="282"/>
      <c r="N113" s="283"/>
      <c r="O113" s="282"/>
      <c r="P113" s="282"/>
      <c r="Q113" s="284"/>
      <c r="R113" s="284"/>
      <c r="S113" s="284"/>
      <c r="T113" s="284"/>
      <c r="U113" s="284"/>
      <c r="V113" s="284"/>
      <c r="W113" s="284"/>
      <c r="X113" s="284"/>
      <c r="Y113" s="284"/>
      <c r="Z113" s="284"/>
      <c r="AA113" s="284"/>
      <c r="AB113" s="284"/>
      <c r="AC113" s="284"/>
      <c r="AD113" s="284"/>
      <c r="AE113" s="284"/>
      <c r="AF113" s="284"/>
      <c r="AG113" s="284"/>
      <c r="AH113" s="284"/>
      <c r="AI113" s="284"/>
      <c r="AJ113" s="176"/>
      <c r="AK113" s="176"/>
      <c r="AL113" s="176"/>
      <c r="AM113" s="176"/>
      <c r="AN113" s="176"/>
      <c r="AO113" s="176"/>
      <c r="AP113" s="176"/>
      <c r="AQ113" s="176"/>
      <c r="AR113" s="176"/>
      <c r="AS113" s="176"/>
      <c r="AT113" s="176"/>
      <c r="AU113" s="176"/>
      <c r="AV113" s="176"/>
      <c r="AW113" s="176"/>
      <c r="AX113" s="176"/>
      <c r="AY113" s="176"/>
      <c r="AZ113" s="176"/>
      <c r="BA113" s="176"/>
      <c r="BB113" s="176"/>
    </row>
    <row r="114" ht="10.8" customHeight="1" spans="1:54">
      <c r="A114" s="280"/>
      <c r="B114" s="281"/>
      <c r="C114" s="282"/>
      <c r="D114" s="250"/>
      <c r="E114" s="282"/>
      <c r="F114" s="282"/>
      <c r="G114" s="282"/>
      <c r="H114" s="282"/>
      <c r="I114" s="282"/>
      <c r="J114" s="282"/>
      <c r="K114" s="282"/>
      <c r="L114" s="282"/>
      <c r="M114" s="282"/>
      <c r="N114" s="283"/>
      <c r="O114" s="282"/>
      <c r="P114" s="282"/>
      <c r="Q114" s="284"/>
      <c r="R114" s="284"/>
      <c r="S114" s="284"/>
      <c r="T114" s="284"/>
      <c r="U114" s="284"/>
      <c r="V114" s="284"/>
      <c r="W114" s="284"/>
      <c r="X114" s="284"/>
      <c r="Y114" s="284"/>
      <c r="Z114" s="284"/>
      <c r="AA114" s="284"/>
      <c r="AB114" s="284"/>
      <c r="AC114" s="284"/>
      <c r="AD114" s="284"/>
      <c r="AE114" s="284"/>
      <c r="AF114" s="284"/>
      <c r="AG114" s="284"/>
      <c r="AH114" s="284"/>
      <c r="AI114" s="284"/>
      <c r="AJ114" s="176"/>
      <c r="AK114" s="176"/>
      <c r="AL114" s="176"/>
      <c r="AM114" s="176"/>
      <c r="AN114" s="176"/>
      <c r="AO114" s="176"/>
      <c r="AP114" s="176"/>
      <c r="AQ114" s="176"/>
      <c r="AR114" s="176"/>
      <c r="AS114" s="176"/>
      <c r="AT114" s="176"/>
      <c r="AU114" s="176"/>
      <c r="AV114" s="176"/>
      <c r="AW114" s="176"/>
      <c r="AX114" s="176"/>
      <c r="AY114" s="176"/>
      <c r="AZ114" s="176"/>
      <c r="BA114" s="176"/>
      <c r="BB114" s="176"/>
    </row>
    <row r="115" ht="10.8" customHeight="1" spans="1:54">
      <c r="A115" s="280"/>
      <c r="B115" s="281"/>
      <c r="C115" s="282"/>
      <c r="D115" s="250"/>
      <c r="E115" s="282"/>
      <c r="F115" s="282"/>
      <c r="G115" s="282"/>
      <c r="H115" s="282"/>
      <c r="I115" s="282"/>
      <c r="J115" s="282"/>
      <c r="K115" s="282"/>
      <c r="L115" s="282"/>
      <c r="M115" s="282"/>
      <c r="N115" s="283"/>
      <c r="O115" s="282"/>
      <c r="P115" s="282"/>
      <c r="Q115" s="284"/>
      <c r="R115" s="284"/>
      <c r="S115" s="284"/>
      <c r="T115" s="284"/>
      <c r="U115" s="284"/>
      <c r="V115" s="284"/>
      <c r="W115" s="284"/>
      <c r="X115" s="284"/>
      <c r="Y115" s="284"/>
      <c r="Z115" s="284"/>
      <c r="AA115" s="284"/>
      <c r="AB115" s="284"/>
      <c r="AC115" s="284"/>
      <c r="AD115" s="284"/>
      <c r="AE115" s="284"/>
      <c r="AF115" s="284"/>
      <c r="AG115" s="284"/>
      <c r="AH115" s="284"/>
      <c r="AI115" s="284"/>
      <c r="AJ115" s="176"/>
      <c r="AK115" s="176"/>
      <c r="AL115" s="176"/>
      <c r="AM115" s="176"/>
      <c r="AN115" s="176"/>
      <c r="AO115" s="176"/>
      <c r="AP115" s="176"/>
      <c r="AQ115" s="176"/>
      <c r="AR115" s="176"/>
      <c r="AS115" s="176"/>
      <c r="AT115" s="176"/>
      <c r="AU115" s="176"/>
      <c r="AV115" s="176"/>
      <c r="AW115" s="176"/>
      <c r="AX115" s="176"/>
      <c r="AY115" s="176"/>
      <c r="AZ115" s="176"/>
      <c r="BA115" s="176"/>
      <c r="BB115" s="176"/>
    </row>
    <row r="116" ht="10.8" customHeight="1" spans="1:54">
      <c r="A116" s="280"/>
      <c r="B116" s="281"/>
      <c r="C116" s="282"/>
      <c r="D116" s="250"/>
      <c r="E116" s="282"/>
      <c r="F116" s="282"/>
      <c r="G116" s="282"/>
      <c r="H116" s="282"/>
      <c r="I116" s="282"/>
      <c r="J116" s="282"/>
      <c r="K116" s="282"/>
      <c r="L116" s="282"/>
      <c r="M116" s="282"/>
      <c r="N116" s="283"/>
      <c r="O116" s="282"/>
      <c r="P116" s="282"/>
      <c r="Q116" s="284"/>
      <c r="R116" s="284"/>
      <c r="S116" s="284"/>
      <c r="T116" s="284"/>
      <c r="U116" s="284"/>
      <c r="V116" s="284"/>
      <c r="W116" s="284"/>
      <c r="X116" s="284"/>
      <c r="Y116" s="284"/>
      <c r="Z116" s="284"/>
      <c r="AA116" s="284"/>
      <c r="AB116" s="284"/>
      <c r="AC116" s="284"/>
      <c r="AD116" s="284"/>
      <c r="AE116" s="284"/>
      <c r="AF116" s="284"/>
      <c r="AG116" s="284"/>
      <c r="AH116" s="284"/>
      <c r="AI116" s="284"/>
      <c r="AJ116" s="176"/>
      <c r="AK116" s="176"/>
      <c r="AL116" s="176"/>
      <c r="AM116" s="176"/>
      <c r="AN116" s="176"/>
      <c r="AO116" s="176"/>
      <c r="AP116" s="176"/>
      <c r="AQ116" s="176"/>
      <c r="AR116" s="176"/>
      <c r="AS116" s="176"/>
      <c r="AT116" s="176"/>
      <c r="AU116" s="176"/>
      <c r="AV116" s="176"/>
      <c r="AW116" s="176"/>
      <c r="AX116" s="176"/>
      <c r="AY116" s="176"/>
      <c r="AZ116" s="176"/>
      <c r="BA116" s="176"/>
      <c r="BB116" s="176"/>
    </row>
    <row r="117" ht="10.8" customHeight="1" spans="1:54">
      <c r="A117" s="280"/>
      <c r="B117" s="281"/>
      <c r="C117" s="282"/>
      <c r="D117" s="250"/>
      <c r="E117" s="282"/>
      <c r="F117" s="282"/>
      <c r="G117" s="282"/>
      <c r="H117" s="282"/>
      <c r="I117" s="282"/>
      <c r="J117" s="282"/>
      <c r="K117" s="282"/>
      <c r="L117" s="282"/>
      <c r="M117" s="282"/>
      <c r="N117" s="283"/>
      <c r="O117" s="282"/>
      <c r="P117" s="282"/>
      <c r="Q117" s="284"/>
      <c r="R117" s="284"/>
      <c r="S117" s="284"/>
      <c r="T117" s="284"/>
      <c r="U117" s="284"/>
      <c r="V117" s="284"/>
      <c r="W117" s="284"/>
      <c r="X117" s="284"/>
      <c r="Y117" s="284"/>
      <c r="Z117" s="284"/>
      <c r="AA117" s="284"/>
      <c r="AB117" s="284"/>
      <c r="AC117" s="284"/>
      <c r="AD117" s="284"/>
      <c r="AE117" s="284"/>
      <c r="AF117" s="284"/>
      <c r="AG117" s="284"/>
      <c r="AH117" s="284"/>
      <c r="AI117" s="284"/>
      <c r="AJ117" s="176"/>
      <c r="AK117" s="176"/>
      <c r="AL117" s="176"/>
      <c r="AM117" s="176"/>
      <c r="AN117" s="176"/>
      <c r="AO117" s="176"/>
      <c r="AP117" s="176"/>
      <c r="AQ117" s="176"/>
      <c r="AR117" s="176"/>
      <c r="AS117" s="176"/>
      <c r="AT117" s="176"/>
      <c r="AU117" s="176"/>
      <c r="AV117" s="176"/>
      <c r="AW117" s="176"/>
      <c r="AX117" s="176"/>
      <c r="AY117" s="176"/>
      <c r="AZ117" s="176"/>
      <c r="BA117" s="176"/>
      <c r="BB117" s="176"/>
    </row>
    <row r="118" ht="10.8" customHeight="1" spans="1:54">
      <c r="A118" s="280"/>
      <c r="B118" s="281"/>
      <c r="C118" s="282"/>
      <c r="D118" s="250"/>
      <c r="E118" s="282"/>
      <c r="F118" s="282"/>
      <c r="G118" s="282"/>
      <c r="H118" s="282"/>
      <c r="I118" s="282"/>
      <c r="J118" s="282"/>
      <c r="K118" s="282"/>
      <c r="L118" s="282"/>
      <c r="M118" s="282"/>
      <c r="N118" s="283"/>
      <c r="O118" s="282"/>
      <c r="P118" s="282"/>
      <c r="Q118" s="284"/>
      <c r="R118" s="284"/>
      <c r="S118" s="284"/>
      <c r="T118" s="284"/>
      <c r="U118" s="284"/>
      <c r="V118" s="284"/>
      <c r="W118" s="284"/>
      <c r="X118" s="284"/>
      <c r="Y118" s="284"/>
      <c r="Z118" s="284"/>
      <c r="AA118" s="284"/>
      <c r="AB118" s="284"/>
      <c r="AC118" s="284"/>
      <c r="AD118" s="284"/>
      <c r="AE118" s="284"/>
      <c r="AF118" s="284"/>
      <c r="AG118" s="284"/>
      <c r="AH118" s="284"/>
      <c r="AI118" s="284"/>
      <c r="AJ118" s="176"/>
      <c r="AK118" s="176"/>
      <c r="AL118" s="176"/>
      <c r="AM118" s="176"/>
      <c r="AN118" s="176"/>
      <c r="AO118" s="176"/>
      <c r="AP118" s="176"/>
      <c r="AQ118" s="176"/>
      <c r="AR118" s="176"/>
      <c r="AS118" s="176"/>
      <c r="AT118" s="176"/>
      <c r="AU118" s="176"/>
      <c r="AV118" s="176"/>
      <c r="AW118" s="176"/>
      <c r="AX118" s="176"/>
      <c r="AY118" s="176"/>
      <c r="AZ118" s="176"/>
      <c r="BA118" s="176"/>
      <c r="BB118" s="176"/>
    </row>
    <row r="119" ht="10.8" customHeight="1" spans="1:54">
      <c r="A119" s="280"/>
      <c r="B119" s="281"/>
      <c r="C119" s="282"/>
      <c r="D119" s="250"/>
      <c r="E119" s="282"/>
      <c r="F119" s="282"/>
      <c r="G119" s="282"/>
      <c r="H119" s="282"/>
      <c r="I119" s="282"/>
      <c r="J119" s="282"/>
      <c r="K119" s="282"/>
      <c r="L119" s="282"/>
      <c r="M119" s="282"/>
      <c r="N119" s="283"/>
      <c r="O119" s="282"/>
      <c r="P119" s="282"/>
      <c r="Q119" s="284"/>
      <c r="R119" s="284"/>
      <c r="S119" s="284"/>
      <c r="T119" s="284"/>
      <c r="U119" s="284"/>
      <c r="V119" s="284"/>
      <c r="W119" s="284"/>
      <c r="X119" s="284"/>
      <c r="Y119" s="284"/>
      <c r="Z119" s="284"/>
      <c r="AA119" s="284"/>
      <c r="AB119" s="284"/>
      <c r="AC119" s="284"/>
      <c r="AD119" s="284"/>
      <c r="AE119" s="284"/>
      <c r="AF119" s="284"/>
      <c r="AG119" s="284"/>
      <c r="AH119" s="284"/>
      <c r="AI119" s="284"/>
      <c r="AJ119" s="176"/>
      <c r="AK119" s="176"/>
      <c r="AL119" s="176"/>
      <c r="AM119" s="176"/>
      <c r="AN119" s="176"/>
      <c r="AO119" s="176"/>
      <c r="AP119" s="176"/>
      <c r="AQ119" s="176"/>
      <c r="AR119" s="176"/>
      <c r="AS119" s="176"/>
      <c r="AT119" s="176"/>
      <c r="AU119" s="176"/>
      <c r="AV119" s="176"/>
      <c r="AW119" s="176"/>
      <c r="AX119" s="176"/>
      <c r="AY119" s="176"/>
      <c r="AZ119" s="176"/>
      <c r="BA119" s="176"/>
      <c r="BB119" s="176"/>
    </row>
    <row r="120" ht="10.8" customHeight="1" spans="1:54">
      <c r="A120" s="280"/>
      <c r="B120" s="281"/>
      <c r="C120" s="282"/>
      <c r="D120" s="250"/>
      <c r="E120" s="282"/>
      <c r="F120" s="282"/>
      <c r="G120" s="282"/>
      <c r="H120" s="282"/>
      <c r="I120" s="282"/>
      <c r="J120" s="282"/>
      <c r="K120" s="282"/>
      <c r="L120" s="282"/>
      <c r="M120" s="282"/>
      <c r="N120" s="283"/>
      <c r="O120" s="282"/>
      <c r="P120" s="282"/>
      <c r="Q120" s="284"/>
      <c r="R120" s="284"/>
      <c r="S120" s="284"/>
      <c r="T120" s="284"/>
      <c r="U120" s="284"/>
      <c r="V120" s="284"/>
      <c r="W120" s="284"/>
      <c r="X120" s="284"/>
      <c r="Y120" s="284"/>
      <c r="Z120" s="284"/>
      <c r="AA120" s="284"/>
      <c r="AB120" s="284"/>
      <c r="AC120" s="284"/>
      <c r="AD120" s="284"/>
      <c r="AE120" s="284"/>
      <c r="AF120" s="284"/>
      <c r="AG120" s="284"/>
      <c r="AH120" s="284"/>
      <c r="AI120" s="284"/>
      <c r="AJ120" s="176"/>
      <c r="AK120" s="176"/>
      <c r="AL120" s="176"/>
      <c r="AM120" s="176"/>
      <c r="AN120" s="176"/>
      <c r="AO120" s="176"/>
      <c r="AP120" s="176"/>
      <c r="AQ120" s="176"/>
      <c r="AR120" s="176"/>
      <c r="AS120" s="176"/>
      <c r="AT120" s="176"/>
      <c r="AU120" s="176"/>
      <c r="AV120" s="176"/>
      <c r="AW120" s="176"/>
      <c r="AX120" s="176"/>
      <c r="AY120" s="176"/>
      <c r="AZ120" s="176"/>
      <c r="BA120" s="176"/>
      <c r="BB120" s="176"/>
    </row>
    <row r="121" ht="10.8" customHeight="1" spans="1:54">
      <c r="A121" s="280"/>
      <c r="B121" s="281"/>
      <c r="C121" s="282"/>
      <c r="D121" s="250"/>
      <c r="E121" s="282"/>
      <c r="F121" s="282"/>
      <c r="G121" s="282"/>
      <c r="H121" s="282"/>
      <c r="I121" s="282"/>
      <c r="J121" s="282"/>
      <c r="K121" s="282"/>
      <c r="L121" s="282"/>
      <c r="M121" s="282"/>
      <c r="N121" s="283"/>
      <c r="O121" s="282"/>
      <c r="P121" s="282"/>
      <c r="Q121" s="284"/>
      <c r="R121" s="284"/>
      <c r="S121" s="284"/>
      <c r="T121" s="284"/>
      <c r="U121" s="284"/>
      <c r="V121" s="284"/>
      <c r="W121" s="284"/>
      <c r="X121" s="284"/>
      <c r="Y121" s="284"/>
      <c r="Z121" s="284"/>
      <c r="AA121" s="284"/>
      <c r="AB121" s="284"/>
      <c r="AC121" s="284"/>
      <c r="AD121" s="284"/>
      <c r="AE121" s="284"/>
      <c r="AF121" s="284"/>
      <c r="AG121" s="284"/>
      <c r="AH121" s="284"/>
      <c r="AI121" s="284"/>
      <c r="AJ121" s="176"/>
      <c r="AK121" s="176"/>
      <c r="AL121" s="176"/>
      <c r="AM121" s="176"/>
      <c r="AN121" s="176"/>
      <c r="AO121" s="176"/>
      <c r="AP121" s="176"/>
      <c r="AQ121" s="176"/>
      <c r="AR121" s="176"/>
      <c r="AS121" s="176"/>
      <c r="AT121" s="176"/>
      <c r="AU121" s="176"/>
      <c r="AV121" s="176"/>
      <c r="AW121" s="176"/>
      <c r="AX121" s="176"/>
      <c r="AY121" s="176"/>
      <c r="AZ121" s="176"/>
      <c r="BA121" s="176"/>
      <c r="BB121" s="176"/>
    </row>
    <row r="122" ht="10.8" customHeight="1" spans="1:54">
      <c r="A122" s="280"/>
      <c r="B122" s="281"/>
      <c r="C122" s="282"/>
      <c r="D122" s="250"/>
      <c r="E122" s="282"/>
      <c r="F122" s="282"/>
      <c r="G122" s="282"/>
      <c r="H122" s="282"/>
      <c r="I122" s="282"/>
      <c r="J122" s="282"/>
      <c r="K122" s="282"/>
      <c r="L122" s="282"/>
      <c r="M122" s="282"/>
      <c r="N122" s="283"/>
      <c r="O122" s="282"/>
      <c r="P122" s="282"/>
      <c r="Q122" s="284"/>
      <c r="R122" s="284"/>
      <c r="S122" s="284"/>
      <c r="T122" s="284"/>
      <c r="U122" s="284"/>
      <c r="V122" s="284"/>
      <c r="W122" s="284"/>
      <c r="X122" s="284"/>
      <c r="Y122" s="284"/>
      <c r="Z122" s="284"/>
      <c r="AA122" s="284"/>
      <c r="AB122" s="284"/>
      <c r="AC122" s="284"/>
      <c r="AD122" s="284"/>
      <c r="AE122" s="284"/>
      <c r="AF122" s="284"/>
      <c r="AG122" s="284"/>
      <c r="AH122" s="284"/>
      <c r="AI122" s="284"/>
      <c r="AJ122" s="176"/>
      <c r="AK122" s="176"/>
      <c r="AL122" s="176"/>
      <c r="AM122" s="176"/>
      <c r="AN122" s="176"/>
      <c r="AO122" s="176"/>
      <c r="AP122" s="176"/>
      <c r="AQ122" s="176"/>
      <c r="AR122" s="176"/>
      <c r="AS122" s="176"/>
      <c r="AT122" s="176"/>
      <c r="AU122" s="176"/>
      <c r="AV122" s="176"/>
      <c r="AW122" s="176"/>
      <c r="AX122" s="176"/>
      <c r="AY122" s="176"/>
      <c r="AZ122" s="176"/>
      <c r="BA122" s="176"/>
      <c r="BB122" s="176"/>
    </row>
    <row r="123" ht="10.8" customHeight="1" spans="1:54">
      <c r="A123" s="280"/>
      <c r="B123" s="281"/>
      <c r="C123" s="282"/>
      <c r="D123" s="250"/>
      <c r="E123" s="282"/>
      <c r="F123" s="282"/>
      <c r="G123" s="282"/>
      <c r="H123" s="282"/>
      <c r="I123" s="282"/>
      <c r="J123" s="282"/>
      <c r="K123" s="282"/>
      <c r="L123" s="282"/>
      <c r="M123" s="282"/>
      <c r="N123" s="283"/>
      <c r="O123" s="282"/>
      <c r="P123" s="282"/>
      <c r="Q123" s="284"/>
      <c r="R123" s="284"/>
      <c r="S123" s="284"/>
      <c r="T123" s="284"/>
      <c r="U123" s="284"/>
      <c r="V123" s="284"/>
      <c r="W123" s="284"/>
      <c r="X123" s="284"/>
      <c r="Y123" s="284"/>
      <c r="Z123" s="284"/>
      <c r="AA123" s="284"/>
      <c r="AB123" s="284"/>
      <c r="AC123" s="284"/>
      <c r="AD123" s="284"/>
      <c r="AE123" s="284"/>
      <c r="AF123" s="284"/>
      <c r="AG123" s="284"/>
      <c r="AH123" s="284"/>
      <c r="AI123" s="284"/>
      <c r="AJ123" s="176"/>
      <c r="AK123" s="176"/>
      <c r="AL123" s="176"/>
      <c r="AM123" s="176"/>
      <c r="AN123" s="176"/>
      <c r="AO123" s="176"/>
      <c r="AP123" s="176"/>
      <c r="AQ123" s="176"/>
      <c r="AR123" s="176"/>
      <c r="AS123" s="176"/>
      <c r="AT123" s="176"/>
      <c r="AU123" s="176"/>
      <c r="AV123" s="176"/>
      <c r="AW123" s="176"/>
      <c r="AX123" s="176"/>
      <c r="AY123" s="176"/>
      <c r="AZ123" s="176"/>
      <c r="BA123" s="176"/>
      <c r="BB123" s="176"/>
    </row>
    <row r="124" ht="10.8" customHeight="1" spans="1:54">
      <c r="A124" s="280"/>
      <c r="B124" s="281"/>
      <c r="C124" s="282"/>
      <c r="D124" s="250"/>
      <c r="E124" s="282"/>
      <c r="F124" s="282"/>
      <c r="G124" s="282"/>
      <c r="H124" s="282"/>
      <c r="I124" s="282"/>
      <c r="J124" s="282"/>
      <c r="K124" s="282"/>
      <c r="L124" s="282"/>
      <c r="M124" s="282"/>
      <c r="N124" s="283"/>
      <c r="O124" s="282"/>
      <c r="P124" s="282"/>
      <c r="Q124" s="284"/>
      <c r="R124" s="284"/>
      <c r="S124" s="284"/>
      <c r="T124" s="284"/>
      <c r="U124" s="284"/>
      <c r="V124" s="284"/>
      <c r="W124" s="284"/>
      <c r="X124" s="284"/>
      <c r="Y124" s="284"/>
      <c r="Z124" s="284"/>
      <c r="AA124" s="284"/>
      <c r="AB124" s="284"/>
      <c r="AC124" s="284"/>
      <c r="AD124" s="284"/>
      <c r="AE124" s="284"/>
      <c r="AF124" s="284"/>
      <c r="AG124" s="284"/>
      <c r="AH124" s="284"/>
      <c r="AI124" s="284"/>
      <c r="AJ124" s="176"/>
      <c r="AK124" s="176"/>
      <c r="AL124" s="176"/>
      <c r="AM124" s="176"/>
      <c r="AN124" s="176"/>
      <c r="AO124" s="176"/>
      <c r="AP124" s="176"/>
      <c r="AQ124" s="176"/>
      <c r="AR124" s="176"/>
      <c r="AS124" s="176"/>
      <c r="AT124" s="176"/>
      <c r="AU124" s="176"/>
      <c r="AV124" s="176"/>
      <c r="AW124" s="176"/>
      <c r="AX124" s="176"/>
      <c r="AY124" s="176"/>
      <c r="AZ124" s="176"/>
      <c r="BA124" s="176"/>
      <c r="BB124" s="176"/>
    </row>
    <row r="125" ht="10.8" customHeight="1" spans="1:54">
      <c r="A125" s="280"/>
      <c r="B125" s="281"/>
      <c r="C125" s="282"/>
      <c r="D125" s="250"/>
      <c r="E125" s="282"/>
      <c r="F125" s="282"/>
      <c r="G125" s="282"/>
      <c r="H125" s="282"/>
      <c r="I125" s="282"/>
      <c r="J125" s="282"/>
      <c r="K125" s="282"/>
      <c r="L125" s="282"/>
      <c r="M125" s="282"/>
      <c r="N125" s="283"/>
      <c r="O125" s="282"/>
      <c r="P125" s="282"/>
      <c r="Q125" s="284"/>
      <c r="R125" s="284"/>
      <c r="S125" s="284"/>
      <c r="T125" s="284"/>
      <c r="U125" s="284"/>
      <c r="V125" s="284"/>
      <c r="W125" s="284"/>
      <c r="X125" s="284"/>
      <c r="Y125" s="284"/>
      <c r="Z125" s="284"/>
      <c r="AA125" s="284"/>
      <c r="AB125" s="284"/>
      <c r="AC125" s="284"/>
      <c r="AD125" s="284"/>
      <c r="AE125" s="284"/>
      <c r="AF125" s="284"/>
      <c r="AG125" s="284"/>
      <c r="AH125" s="284"/>
      <c r="AI125" s="284"/>
      <c r="AJ125" s="176"/>
      <c r="AK125" s="176"/>
      <c r="AL125" s="176"/>
      <c r="AM125" s="176"/>
      <c r="AN125" s="176"/>
      <c r="AO125" s="176"/>
      <c r="AP125" s="176"/>
      <c r="AQ125" s="176"/>
      <c r="AR125" s="176"/>
      <c r="AS125" s="176"/>
      <c r="AT125" s="176"/>
      <c r="AU125" s="176"/>
      <c r="AV125" s="176"/>
      <c r="AW125" s="176"/>
      <c r="AX125" s="176"/>
      <c r="AY125" s="176"/>
      <c r="AZ125" s="176"/>
      <c r="BA125" s="176"/>
      <c r="BB125" s="176"/>
    </row>
    <row r="126" ht="10.8" customHeight="1" spans="1:54">
      <c r="A126" s="280"/>
      <c r="B126" s="281"/>
      <c r="C126" s="282"/>
      <c r="D126" s="250"/>
      <c r="E126" s="282"/>
      <c r="F126" s="282"/>
      <c r="G126" s="282"/>
      <c r="H126" s="282"/>
      <c r="I126" s="282"/>
      <c r="J126" s="282"/>
      <c r="K126" s="282"/>
      <c r="L126" s="282"/>
      <c r="M126" s="282"/>
      <c r="N126" s="283"/>
      <c r="O126" s="282"/>
      <c r="P126" s="282"/>
      <c r="Q126" s="284"/>
      <c r="R126" s="284"/>
      <c r="S126" s="284"/>
      <c r="T126" s="284"/>
      <c r="U126" s="284"/>
      <c r="V126" s="284"/>
      <c r="W126" s="284"/>
      <c r="X126" s="284"/>
      <c r="Y126" s="284"/>
      <c r="Z126" s="284"/>
      <c r="AA126" s="284"/>
      <c r="AB126" s="284"/>
      <c r="AC126" s="284"/>
      <c r="AD126" s="284"/>
      <c r="AE126" s="284"/>
      <c r="AF126" s="284"/>
      <c r="AG126" s="284"/>
      <c r="AH126" s="284"/>
      <c r="AI126" s="284"/>
      <c r="AJ126" s="176"/>
      <c r="AK126" s="176"/>
      <c r="AL126" s="176"/>
      <c r="AM126" s="176"/>
      <c r="AN126" s="176"/>
      <c r="AO126" s="176"/>
      <c r="AP126" s="176"/>
      <c r="AQ126" s="176"/>
      <c r="AR126" s="176"/>
      <c r="AS126" s="176"/>
      <c r="AT126" s="176"/>
      <c r="AU126" s="176"/>
      <c r="AV126" s="176"/>
      <c r="AW126" s="176"/>
      <c r="AX126" s="176"/>
      <c r="AY126" s="176"/>
      <c r="AZ126" s="176"/>
      <c r="BA126" s="176"/>
      <c r="BB126" s="176"/>
    </row>
    <row r="127" ht="10.8" customHeight="1" spans="1:54">
      <c r="A127" s="280"/>
      <c r="B127" s="281"/>
      <c r="C127" s="282"/>
      <c r="D127" s="250"/>
      <c r="E127" s="282"/>
      <c r="F127" s="282"/>
      <c r="G127" s="282"/>
      <c r="H127" s="282"/>
      <c r="I127" s="282"/>
      <c r="J127" s="282"/>
      <c r="K127" s="282"/>
      <c r="L127" s="282"/>
      <c r="M127" s="282"/>
      <c r="N127" s="283"/>
      <c r="O127" s="282"/>
      <c r="P127" s="282"/>
      <c r="Q127" s="284"/>
      <c r="R127" s="284"/>
      <c r="S127" s="284"/>
      <c r="T127" s="284"/>
      <c r="U127" s="284"/>
      <c r="V127" s="284"/>
      <c r="W127" s="284"/>
      <c r="X127" s="284"/>
      <c r="Y127" s="284"/>
      <c r="Z127" s="284"/>
      <c r="AA127" s="284"/>
      <c r="AB127" s="284"/>
      <c r="AC127" s="284"/>
      <c r="AD127" s="284"/>
      <c r="AE127" s="284"/>
      <c r="AF127" s="284"/>
      <c r="AG127" s="284"/>
      <c r="AH127" s="284"/>
      <c r="AI127" s="284"/>
      <c r="AJ127" s="176"/>
      <c r="AK127" s="176"/>
      <c r="AL127" s="176"/>
      <c r="AM127" s="176"/>
      <c r="AN127" s="176"/>
      <c r="AO127" s="176"/>
      <c r="AP127" s="176"/>
      <c r="AQ127" s="176"/>
      <c r="AR127" s="176"/>
      <c r="AS127" s="176"/>
      <c r="AT127" s="176"/>
      <c r="AU127" s="176"/>
      <c r="AV127" s="176"/>
      <c r="AW127" s="176"/>
      <c r="AX127" s="176"/>
      <c r="AY127" s="176"/>
      <c r="AZ127" s="176"/>
      <c r="BA127" s="176"/>
      <c r="BB127" s="176"/>
    </row>
    <row r="128" ht="10.8" customHeight="1" spans="1:54">
      <c r="A128" s="280"/>
      <c r="B128" s="281"/>
      <c r="C128" s="282"/>
      <c r="D128" s="250"/>
      <c r="E128" s="282"/>
      <c r="F128" s="282"/>
      <c r="G128" s="282"/>
      <c r="H128" s="282"/>
      <c r="I128" s="282"/>
      <c r="J128" s="282"/>
      <c r="K128" s="282"/>
      <c r="L128" s="282"/>
      <c r="M128" s="282"/>
      <c r="N128" s="283"/>
      <c r="O128" s="282"/>
      <c r="P128" s="282"/>
      <c r="Q128" s="284"/>
      <c r="R128" s="284"/>
      <c r="S128" s="284"/>
      <c r="T128" s="284"/>
      <c r="U128" s="284"/>
      <c r="V128" s="284"/>
      <c r="W128" s="284"/>
      <c r="X128" s="284"/>
      <c r="Y128" s="284"/>
      <c r="Z128" s="284"/>
      <c r="AA128" s="284"/>
      <c r="AB128" s="284"/>
      <c r="AC128" s="284"/>
      <c r="AD128" s="284"/>
      <c r="AE128" s="284"/>
      <c r="AF128" s="284"/>
      <c r="AG128" s="284"/>
      <c r="AH128" s="284"/>
      <c r="AI128" s="284"/>
      <c r="AJ128" s="176"/>
      <c r="AK128" s="176"/>
      <c r="AL128" s="176"/>
      <c r="AM128" s="176"/>
      <c r="AN128" s="176"/>
      <c r="AO128" s="176"/>
      <c r="AP128" s="176"/>
      <c r="AQ128" s="176"/>
      <c r="AR128" s="176"/>
      <c r="AS128" s="176"/>
      <c r="AT128" s="176"/>
      <c r="AU128" s="176"/>
      <c r="AV128" s="176"/>
      <c r="AW128" s="176"/>
      <c r="AX128" s="176"/>
      <c r="AY128" s="176"/>
      <c r="AZ128" s="176"/>
      <c r="BA128" s="176"/>
      <c r="BB128" s="176"/>
    </row>
    <row r="129" ht="10.8" customHeight="1" spans="1:54">
      <c r="A129" s="280"/>
      <c r="B129" s="281"/>
      <c r="C129" s="282"/>
      <c r="D129" s="250"/>
      <c r="E129" s="282"/>
      <c r="F129" s="282"/>
      <c r="G129" s="282"/>
      <c r="H129" s="282"/>
      <c r="I129" s="282"/>
      <c r="J129" s="282"/>
      <c r="K129" s="282"/>
      <c r="L129" s="282"/>
      <c r="M129" s="282"/>
      <c r="N129" s="283"/>
      <c r="O129" s="282"/>
      <c r="P129" s="282"/>
      <c r="Q129" s="284"/>
      <c r="R129" s="284"/>
      <c r="S129" s="284"/>
      <c r="T129" s="284"/>
      <c r="U129" s="284"/>
      <c r="V129" s="284"/>
      <c r="W129" s="284"/>
      <c r="X129" s="284"/>
      <c r="Y129" s="284"/>
      <c r="Z129" s="284"/>
      <c r="AA129" s="284"/>
      <c r="AB129" s="284"/>
      <c r="AC129" s="284"/>
      <c r="AD129" s="284"/>
      <c r="AE129" s="284"/>
      <c r="AF129" s="284"/>
      <c r="AG129" s="284"/>
      <c r="AH129" s="284"/>
      <c r="AI129" s="284"/>
      <c r="AJ129" s="176"/>
      <c r="AK129" s="176"/>
      <c r="AL129" s="176"/>
      <c r="AM129" s="176"/>
      <c r="AN129" s="176"/>
      <c r="AO129" s="176"/>
      <c r="AP129" s="176"/>
      <c r="AQ129" s="176"/>
      <c r="AR129" s="176"/>
      <c r="AS129" s="176"/>
      <c r="AT129" s="176"/>
      <c r="AU129" s="176"/>
      <c r="AV129" s="176"/>
      <c r="AW129" s="176"/>
      <c r="AX129" s="176"/>
      <c r="AY129" s="176"/>
      <c r="AZ129" s="176"/>
      <c r="BA129" s="176"/>
      <c r="BB129" s="176"/>
    </row>
    <row r="130" ht="10.8" customHeight="1" spans="1:54">
      <c r="A130" s="280"/>
      <c r="B130" s="281"/>
      <c r="C130" s="282"/>
      <c r="D130" s="250"/>
      <c r="E130" s="282"/>
      <c r="F130" s="282"/>
      <c r="G130" s="282"/>
      <c r="H130" s="282"/>
      <c r="I130" s="282"/>
      <c r="J130" s="282"/>
      <c r="K130" s="282"/>
      <c r="L130" s="282"/>
      <c r="M130" s="282"/>
      <c r="N130" s="283"/>
      <c r="O130" s="282"/>
      <c r="P130" s="282"/>
      <c r="Q130" s="284"/>
      <c r="R130" s="284"/>
      <c r="S130" s="284"/>
      <c r="T130" s="284"/>
      <c r="U130" s="284"/>
      <c r="V130" s="284"/>
      <c r="W130" s="284"/>
      <c r="X130" s="284"/>
      <c r="Y130" s="284"/>
      <c r="Z130" s="284"/>
      <c r="AA130" s="284"/>
      <c r="AB130" s="284"/>
      <c r="AC130" s="284"/>
      <c r="AD130" s="284"/>
      <c r="AE130" s="284"/>
      <c r="AF130" s="284"/>
      <c r="AG130" s="284"/>
      <c r="AH130" s="284"/>
      <c r="AI130" s="284"/>
      <c r="AJ130" s="176"/>
      <c r="AK130" s="176"/>
      <c r="AL130" s="176"/>
      <c r="AM130" s="176"/>
      <c r="AN130" s="176"/>
      <c r="AO130" s="176"/>
      <c r="AP130" s="176"/>
      <c r="AQ130" s="176"/>
      <c r="AR130" s="176"/>
      <c r="AS130" s="176"/>
      <c r="AT130" s="176"/>
      <c r="AU130" s="176"/>
      <c r="AV130" s="176"/>
      <c r="AW130" s="176"/>
      <c r="AX130" s="176"/>
      <c r="AY130" s="176"/>
      <c r="AZ130" s="176"/>
      <c r="BA130" s="176"/>
      <c r="BB130" s="176"/>
    </row>
    <row r="131" ht="10.8" customHeight="1" spans="1:54">
      <c r="A131" s="280"/>
      <c r="B131" s="281"/>
      <c r="C131" s="282"/>
      <c r="D131" s="250"/>
      <c r="E131" s="282"/>
      <c r="F131" s="282"/>
      <c r="G131" s="282"/>
      <c r="H131" s="282"/>
      <c r="I131" s="282"/>
      <c r="J131" s="282"/>
      <c r="K131" s="282"/>
      <c r="L131" s="282"/>
      <c r="M131" s="282"/>
      <c r="N131" s="283"/>
      <c r="O131" s="282"/>
      <c r="P131" s="282"/>
      <c r="Q131" s="284"/>
      <c r="R131" s="284"/>
      <c r="S131" s="284"/>
      <c r="T131" s="284"/>
      <c r="U131" s="284"/>
      <c r="V131" s="284"/>
      <c r="W131" s="284"/>
      <c r="X131" s="284"/>
      <c r="Y131" s="284"/>
      <c r="Z131" s="284"/>
      <c r="AA131" s="284"/>
      <c r="AB131" s="284"/>
      <c r="AC131" s="284"/>
      <c r="AD131" s="284"/>
      <c r="AE131" s="284"/>
      <c r="AF131" s="284"/>
      <c r="AG131" s="284"/>
      <c r="AH131" s="284"/>
      <c r="AI131" s="284"/>
      <c r="AJ131" s="176"/>
      <c r="AK131" s="176"/>
      <c r="AL131" s="176"/>
      <c r="AM131" s="176"/>
      <c r="AN131" s="176"/>
      <c r="AO131" s="176"/>
      <c r="AP131" s="176"/>
      <c r="AQ131" s="176"/>
      <c r="AR131" s="176"/>
      <c r="AS131" s="176"/>
      <c r="AT131" s="176"/>
      <c r="AU131" s="176"/>
      <c r="AV131" s="176"/>
      <c r="AW131" s="176"/>
      <c r="AX131" s="176"/>
      <c r="AY131" s="176"/>
      <c r="AZ131" s="176"/>
      <c r="BA131" s="176"/>
      <c r="BB131" s="176"/>
    </row>
    <row r="132" ht="10.8" customHeight="1" spans="1:54">
      <c r="A132" s="280"/>
      <c r="B132" s="281"/>
      <c r="C132" s="282"/>
      <c r="D132" s="250"/>
      <c r="E132" s="282"/>
      <c r="F132" s="282"/>
      <c r="G132" s="282"/>
      <c r="H132" s="282"/>
      <c r="I132" s="282"/>
      <c r="J132" s="282"/>
      <c r="K132" s="282"/>
      <c r="L132" s="282"/>
      <c r="M132" s="282"/>
      <c r="N132" s="283"/>
      <c r="O132" s="282"/>
      <c r="P132" s="282"/>
      <c r="Q132" s="284"/>
      <c r="R132" s="284"/>
      <c r="S132" s="284"/>
      <c r="T132" s="284"/>
      <c r="U132" s="284"/>
      <c r="V132" s="284"/>
      <c r="W132" s="284"/>
      <c r="X132" s="284"/>
      <c r="Y132" s="284"/>
      <c r="Z132" s="284"/>
      <c r="AA132" s="284"/>
      <c r="AB132" s="284"/>
      <c r="AC132" s="284"/>
      <c r="AD132" s="284"/>
      <c r="AE132" s="284"/>
      <c r="AF132" s="284"/>
      <c r="AG132" s="284"/>
      <c r="AH132" s="284"/>
      <c r="AI132" s="284"/>
      <c r="AJ132" s="176"/>
      <c r="AK132" s="176"/>
      <c r="AL132" s="176"/>
      <c r="AM132" s="176"/>
      <c r="AN132" s="176"/>
      <c r="AO132" s="176"/>
      <c r="AP132" s="176"/>
      <c r="AQ132" s="176"/>
      <c r="AR132" s="176"/>
      <c r="AS132" s="176"/>
      <c r="AT132" s="176"/>
      <c r="AU132" s="176"/>
      <c r="AV132" s="176"/>
      <c r="AW132" s="176"/>
      <c r="AX132" s="176"/>
      <c r="AY132" s="176"/>
      <c r="AZ132" s="176"/>
      <c r="BA132" s="176"/>
      <c r="BB132" s="176"/>
    </row>
    <row r="133" ht="10.8" customHeight="1" spans="1:54">
      <c r="A133" s="280"/>
      <c r="B133" s="281"/>
      <c r="C133" s="282"/>
      <c r="D133" s="250"/>
      <c r="E133" s="282"/>
      <c r="F133" s="282"/>
      <c r="G133" s="282"/>
      <c r="H133" s="282"/>
      <c r="I133" s="282"/>
      <c r="J133" s="282"/>
      <c r="K133" s="282"/>
      <c r="L133" s="282"/>
      <c r="M133" s="282"/>
      <c r="N133" s="283"/>
      <c r="O133" s="282"/>
      <c r="P133" s="282"/>
      <c r="Q133" s="284"/>
      <c r="R133" s="284"/>
      <c r="S133" s="284"/>
      <c r="T133" s="284"/>
      <c r="U133" s="284"/>
      <c r="V133" s="284"/>
      <c r="W133" s="284"/>
      <c r="X133" s="284"/>
      <c r="Y133" s="284"/>
      <c r="Z133" s="284"/>
      <c r="AA133" s="284"/>
      <c r="AB133" s="284"/>
      <c r="AC133" s="284"/>
      <c r="AD133" s="284"/>
      <c r="AE133" s="284"/>
      <c r="AF133" s="284"/>
      <c r="AG133" s="284"/>
      <c r="AH133" s="284"/>
      <c r="AI133" s="284"/>
      <c r="AJ133" s="176"/>
      <c r="AK133" s="176"/>
      <c r="AL133" s="176"/>
      <c r="AM133" s="176"/>
      <c r="AN133" s="176"/>
      <c r="AO133" s="176"/>
      <c r="AP133" s="176"/>
      <c r="AQ133" s="176"/>
      <c r="AR133" s="176"/>
      <c r="AS133" s="176"/>
      <c r="AT133" s="176"/>
      <c r="AU133" s="176"/>
      <c r="AV133" s="176"/>
      <c r="AW133" s="176"/>
      <c r="AX133" s="176"/>
      <c r="AY133" s="176"/>
      <c r="AZ133" s="176"/>
      <c r="BA133" s="176"/>
      <c r="BB133" s="176"/>
    </row>
    <row r="134" ht="10.8" customHeight="1" spans="1:54">
      <c r="A134" s="280"/>
      <c r="B134" s="281"/>
      <c r="C134" s="282"/>
      <c r="D134" s="250"/>
      <c r="E134" s="282"/>
      <c r="F134" s="282"/>
      <c r="G134" s="282"/>
      <c r="H134" s="282"/>
      <c r="I134" s="282"/>
      <c r="J134" s="282"/>
      <c r="K134" s="282"/>
      <c r="L134" s="282"/>
      <c r="M134" s="282"/>
      <c r="N134" s="283"/>
      <c r="O134" s="282"/>
      <c r="P134" s="282"/>
      <c r="Q134" s="284"/>
      <c r="R134" s="284"/>
      <c r="S134" s="284"/>
      <c r="T134" s="284"/>
      <c r="U134" s="284"/>
      <c r="V134" s="284"/>
      <c r="W134" s="284"/>
      <c r="X134" s="284"/>
      <c r="Y134" s="284"/>
      <c r="Z134" s="284"/>
      <c r="AA134" s="284"/>
      <c r="AB134" s="284"/>
      <c r="AC134" s="284"/>
      <c r="AD134" s="284"/>
      <c r="AE134" s="284"/>
      <c r="AF134" s="284"/>
      <c r="AG134" s="284"/>
      <c r="AH134" s="284"/>
      <c r="AI134" s="284"/>
      <c r="AJ134" s="176"/>
      <c r="AK134" s="176"/>
      <c r="AL134" s="176"/>
      <c r="AM134" s="176"/>
      <c r="AN134" s="176"/>
      <c r="AO134" s="176"/>
      <c r="AP134" s="176"/>
      <c r="AQ134" s="176"/>
      <c r="AR134" s="176"/>
      <c r="AS134" s="176"/>
      <c r="AT134" s="176"/>
      <c r="AU134" s="176"/>
      <c r="AV134" s="176"/>
      <c r="AW134" s="176"/>
      <c r="AX134" s="176"/>
      <c r="AY134" s="176"/>
      <c r="AZ134" s="176"/>
      <c r="BA134" s="176"/>
      <c r="BB134" s="176"/>
    </row>
    <row r="135" ht="10.8" customHeight="1" spans="1:54">
      <c r="A135" s="280"/>
      <c r="B135" s="281"/>
      <c r="C135" s="282"/>
      <c r="D135" s="250"/>
      <c r="E135" s="282"/>
      <c r="F135" s="282"/>
      <c r="G135" s="282"/>
      <c r="H135" s="282"/>
      <c r="I135" s="282"/>
      <c r="J135" s="282"/>
      <c r="K135" s="282"/>
      <c r="L135" s="282"/>
      <c r="M135" s="282"/>
      <c r="N135" s="283"/>
      <c r="O135" s="282"/>
      <c r="P135" s="282"/>
      <c r="Q135" s="284"/>
      <c r="R135" s="284"/>
      <c r="S135" s="284"/>
      <c r="T135" s="284"/>
      <c r="U135" s="284"/>
      <c r="V135" s="284"/>
      <c r="W135" s="284"/>
      <c r="X135" s="284"/>
      <c r="Y135" s="284"/>
      <c r="Z135" s="284"/>
      <c r="AA135" s="284"/>
      <c r="AB135" s="284"/>
      <c r="AC135" s="284"/>
      <c r="AD135" s="284"/>
      <c r="AE135" s="284"/>
      <c r="AF135" s="284"/>
      <c r="AG135" s="284"/>
      <c r="AH135" s="284"/>
      <c r="AI135" s="284"/>
      <c r="AJ135" s="176"/>
      <c r="AK135" s="176"/>
      <c r="AL135" s="176"/>
      <c r="AM135" s="176"/>
      <c r="AN135" s="176"/>
      <c r="AO135" s="176"/>
      <c r="AP135" s="176"/>
      <c r="AQ135" s="176"/>
      <c r="AR135" s="176"/>
      <c r="AS135" s="176"/>
      <c r="AT135" s="176"/>
      <c r="AU135" s="176"/>
      <c r="AV135" s="176"/>
      <c r="AW135" s="176"/>
      <c r="AX135" s="176"/>
      <c r="AY135" s="176"/>
      <c r="AZ135" s="176"/>
      <c r="BA135" s="176"/>
      <c r="BB135" s="176"/>
    </row>
    <row r="136" ht="10.8" customHeight="1" spans="1:54">
      <c r="A136" s="280"/>
      <c r="B136" s="281"/>
      <c r="C136" s="282"/>
      <c r="D136" s="250"/>
      <c r="E136" s="282"/>
      <c r="F136" s="282"/>
      <c r="G136" s="282"/>
      <c r="H136" s="282"/>
      <c r="I136" s="282"/>
      <c r="J136" s="282"/>
      <c r="K136" s="282"/>
      <c r="L136" s="282"/>
      <c r="M136" s="282"/>
      <c r="N136" s="283"/>
      <c r="O136" s="282"/>
      <c r="P136" s="282"/>
      <c r="Q136" s="284"/>
      <c r="R136" s="284"/>
      <c r="S136" s="284"/>
      <c r="T136" s="284"/>
      <c r="U136" s="284"/>
      <c r="V136" s="284"/>
      <c r="W136" s="284"/>
      <c r="X136" s="284"/>
      <c r="Y136" s="284"/>
      <c r="Z136" s="284"/>
      <c r="AA136" s="284"/>
      <c r="AB136" s="284"/>
      <c r="AC136" s="284"/>
      <c r="AD136" s="284"/>
      <c r="AE136" s="284"/>
      <c r="AF136" s="284"/>
      <c r="AG136" s="284"/>
      <c r="AH136" s="284"/>
      <c r="AI136" s="284"/>
      <c r="AJ136" s="176"/>
      <c r="AK136" s="176"/>
      <c r="AL136" s="176"/>
      <c r="AM136" s="176"/>
      <c r="AN136" s="176"/>
      <c r="AO136" s="176"/>
      <c r="AP136" s="176"/>
      <c r="AQ136" s="176"/>
      <c r="AR136" s="176"/>
      <c r="AS136" s="176"/>
      <c r="AT136" s="176"/>
      <c r="AU136" s="176"/>
      <c r="AV136" s="176"/>
      <c r="AW136" s="176"/>
      <c r="AX136" s="176"/>
      <c r="AY136" s="176"/>
      <c r="AZ136" s="176"/>
      <c r="BA136" s="176"/>
      <c r="BB136" s="176"/>
    </row>
    <row r="137" ht="10.8" customHeight="1" spans="1:54">
      <c r="A137" s="280"/>
      <c r="B137" s="281"/>
      <c r="C137" s="282"/>
      <c r="D137" s="250"/>
      <c r="E137" s="282"/>
      <c r="F137" s="282"/>
      <c r="G137" s="282"/>
      <c r="H137" s="282"/>
      <c r="I137" s="282"/>
      <c r="J137" s="282"/>
      <c r="K137" s="282"/>
      <c r="L137" s="282"/>
      <c r="M137" s="282"/>
      <c r="N137" s="283"/>
      <c r="O137" s="282"/>
      <c r="P137" s="282"/>
      <c r="Q137" s="284"/>
      <c r="R137" s="284"/>
      <c r="S137" s="284"/>
      <c r="T137" s="284"/>
      <c r="U137" s="284"/>
      <c r="V137" s="284"/>
      <c r="W137" s="284"/>
      <c r="X137" s="284"/>
      <c r="Y137" s="284"/>
      <c r="Z137" s="284"/>
      <c r="AA137" s="284"/>
      <c r="AB137" s="284"/>
      <c r="AC137" s="284"/>
      <c r="AD137" s="284"/>
      <c r="AE137" s="284"/>
      <c r="AF137" s="284"/>
      <c r="AG137" s="284"/>
      <c r="AH137" s="284"/>
      <c r="AI137" s="284"/>
      <c r="AJ137" s="176"/>
      <c r="AK137" s="176"/>
      <c r="AL137" s="176"/>
      <c r="AM137" s="176"/>
      <c r="AN137" s="176"/>
      <c r="AO137" s="176"/>
      <c r="AP137" s="176"/>
      <c r="AQ137" s="176"/>
      <c r="AR137" s="176"/>
      <c r="AS137" s="176"/>
      <c r="AT137" s="176"/>
      <c r="AU137" s="176"/>
      <c r="AV137" s="176"/>
      <c r="AW137" s="176"/>
      <c r="AX137" s="176"/>
      <c r="AY137" s="176"/>
      <c r="AZ137" s="176"/>
      <c r="BA137" s="176"/>
      <c r="BB137" s="176"/>
    </row>
    <row r="138" ht="10.8" customHeight="1" spans="1:54">
      <c r="A138" s="280"/>
      <c r="B138" s="281"/>
      <c r="C138" s="282"/>
      <c r="D138" s="250"/>
      <c r="E138" s="282"/>
      <c r="F138" s="282"/>
      <c r="G138" s="282"/>
      <c r="H138" s="282"/>
      <c r="I138" s="282"/>
      <c r="J138" s="282"/>
      <c r="K138" s="282"/>
      <c r="L138" s="282"/>
      <c r="M138" s="282"/>
      <c r="N138" s="283"/>
      <c r="O138" s="282"/>
      <c r="P138" s="282"/>
      <c r="Q138" s="284"/>
      <c r="R138" s="284"/>
      <c r="S138" s="284"/>
      <c r="T138" s="284"/>
      <c r="U138" s="284"/>
      <c r="V138" s="284"/>
      <c r="W138" s="284"/>
      <c r="X138" s="284"/>
      <c r="Y138" s="284"/>
      <c r="Z138" s="284"/>
      <c r="AA138" s="284"/>
      <c r="AB138" s="284"/>
      <c r="AC138" s="284"/>
      <c r="AD138" s="284"/>
      <c r="AE138" s="284"/>
      <c r="AF138" s="284"/>
      <c r="AG138" s="284"/>
      <c r="AH138" s="284"/>
      <c r="AI138" s="284"/>
      <c r="AJ138" s="176"/>
      <c r="AK138" s="176"/>
      <c r="AL138" s="176"/>
      <c r="AM138" s="176"/>
      <c r="AN138" s="176"/>
      <c r="AO138" s="176"/>
      <c r="AP138" s="176"/>
      <c r="AQ138" s="176"/>
      <c r="AR138" s="176"/>
      <c r="AS138" s="176"/>
      <c r="AT138" s="176"/>
      <c r="AU138" s="176"/>
      <c r="AV138" s="176"/>
      <c r="AW138" s="176"/>
      <c r="AX138" s="176"/>
      <c r="AY138" s="176"/>
      <c r="AZ138" s="176"/>
      <c r="BA138" s="176"/>
      <c r="BB138" s="176"/>
    </row>
    <row r="139" ht="10.8" customHeight="1" spans="1:54">
      <c r="A139" s="280"/>
      <c r="B139" s="281"/>
      <c r="C139" s="282"/>
      <c r="D139" s="250"/>
      <c r="E139" s="282"/>
      <c r="F139" s="282"/>
      <c r="G139" s="282"/>
      <c r="H139" s="282"/>
      <c r="I139" s="282"/>
      <c r="J139" s="282"/>
      <c r="K139" s="282"/>
      <c r="L139" s="282"/>
      <c r="M139" s="282"/>
      <c r="N139" s="283"/>
      <c r="O139" s="282"/>
      <c r="P139" s="282"/>
      <c r="Q139" s="284"/>
      <c r="R139" s="284"/>
      <c r="S139" s="284"/>
      <c r="T139" s="284"/>
      <c r="U139" s="284"/>
      <c r="V139" s="284"/>
      <c r="W139" s="284"/>
      <c r="X139" s="284"/>
      <c r="Y139" s="284"/>
      <c r="Z139" s="284"/>
      <c r="AA139" s="284"/>
      <c r="AB139" s="284"/>
      <c r="AC139" s="284"/>
      <c r="AD139" s="284"/>
      <c r="AE139" s="284"/>
      <c r="AF139" s="284"/>
      <c r="AG139" s="284"/>
      <c r="AH139" s="284"/>
      <c r="AI139" s="284"/>
      <c r="AJ139" s="176"/>
      <c r="AK139" s="176"/>
      <c r="AL139" s="176"/>
      <c r="AM139" s="176"/>
      <c r="AN139" s="176"/>
      <c r="AO139" s="176"/>
      <c r="AP139" s="176"/>
      <c r="AQ139" s="176"/>
      <c r="AR139" s="176"/>
      <c r="AS139" s="176"/>
      <c r="AT139" s="176"/>
      <c r="AU139" s="176"/>
      <c r="AV139" s="176"/>
      <c r="AW139" s="176"/>
      <c r="AX139" s="176"/>
      <c r="AY139" s="176"/>
      <c r="AZ139" s="176"/>
      <c r="BA139" s="176"/>
      <c r="BB139" s="176"/>
    </row>
    <row r="140" ht="10.8" customHeight="1" spans="1:54">
      <c r="A140" s="280"/>
      <c r="B140" s="281"/>
      <c r="C140" s="282"/>
      <c r="D140" s="250"/>
      <c r="E140" s="282"/>
      <c r="F140" s="282"/>
      <c r="G140" s="282"/>
      <c r="H140" s="282"/>
      <c r="I140" s="282"/>
      <c r="J140" s="282"/>
      <c r="K140" s="282"/>
      <c r="L140" s="282"/>
      <c r="M140" s="282"/>
      <c r="N140" s="283"/>
      <c r="O140" s="282"/>
      <c r="P140" s="282"/>
      <c r="Q140" s="284"/>
      <c r="R140" s="284"/>
      <c r="S140" s="284"/>
      <c r="T140" s="284"/>
      <c r="U140" s="284"/>
      <c r="V140" s="284"/>
      <c r="W140" s="284"/>
      <c r="X140" s="284"/>
      <c r="Y140" s="284"/>
      <c r="Z140" s="284"/>
      <c r="AA140" s="284"/>
      <c r="AB140" s="284"/>
      <c r="AC140" s="284"/>
      <c r="AD140" s="284"/>
      <c r="AE140" s="284"/>
      <c r="AF140" s="284"/>
      <c r="AG140" s="284"/>
      <c r="AH140" s="284"/>
      <c r="AI140" s="284"/>
      <c r="AJ140" s="176"/>
      <c r="AK140" s="176"/>
      <c r="AL140" s="176"/>
      <c r="AM140" s="176"/>
      <c r="AN140" s="176"/>
      <c r="AO140" s="176"/>
      <c r="AP140" s="176"/>
      <c r="AQ140" s="176"/>
      <c r="AR140" s="176"/>
      <c r="AS140" s="176"/>
      <c r="AT140" s="176"/>
      <c r="AU140" s="176"/>
      <c r="AV140" s="176"/>
      <c r="AW140" s="176"/>
      <c r="AX140" s="176"/>
      <c r="AY140" s="176"/>
      <c r="AZ140" s="176"/>
      <c r="BA140" s="176"/>
      <c r="BB140" s="176"/>
    </row>
    <row r="141" ht="10.8" customHeight="1" spans="1:54">
      <c r="A141" s="280"/>
      <c r="B141" s="281"/>
      <c r="C141" s="282"/>
      <c r="D141" s="250"/>
      <c r="E141" s="282"/>
      <c r="F141" s="282"/>
      <c r="G141" s="282"/>
      <c r="H141" s="282"/>
      <c r="I141" s="282"/>
      <c r="J141" s="282"/>
      <c r="K141" s="282"/>
      <c r="L141" s="282"/>
      <c r="M141" s="282"/>
      <c r="N141" s="283"/>
      <c r="O141" s="282"/>
      <c r="P141" s="282"/>
      <c r="Q141" s="284"/>
      <c r="R141" s="284"/>
      <c r="S141" s="284"/>
      <c r="T141" s="284"/>
      <c r="U141" s="284"/>
      <c r="V141" s="284"/>
      <c r="W141" s="284"/>
      <c r="X141" s="284"/>
      <c r="Y141" s="284"/>
      <c r="Z141" s="284"/>
      <c r="AA141" s="284"/>
      <c r="AB141" s="284"/>
      <c r="AC141" s="284"/>
      <c r="AD141" s="284"/>
      <c r="AE141" s="284"/>
      <c r="AF141" s="284"/>
      <c r="AG141" s="284"/>
      <c r="AH141" s="284"/>
      <c r="AI141" s="284"/>
      <c r="AJ141" s="176"/>
      <c r="AK141" s="176"/>
      <c r="AL141" s="176"/>
      <c r="AM141" s="176"/>
      <c r="AN141" s="176"/>
      <c r="AO141" s="176"/>
      <c r="AP141" s="176"/>
      <c r="AQ141" s="176"/>
      <c r="AR141" s="176"/>
      <c r="AS141" s="176"/>
      <c r="AT141" s="176"/>
      <c r="AU141" s="176"/>
      <c r="AV141" s="176"/>
      <c r="AW141" s="176"/>
      <c r="AX141" s="176"/>
      <c r="AY141" s="176"/>
      <c r="AZ141" s="176"/>
      <c r="BA141" s="176"/>
      <c r="BB141" s="176"/>
    </row>
    <row r="142" ht="10.8" customHeight="1" spans="1:54">
      <c r="A142" s="280"/>
      <c r="B142" s="281"/>
      <c r="C142" s="282"/>
      <c r="D142" s="250"/>
      <c r="E142" s="282"/>
      <c r="F142" s="282"/>
      <c r="G142" s="282"/>
      <c r="H142" s="282"/>
      <c r="I142" s="282"/>
      <c r="J142" s="282"/>
      <c r="K142" s="282"/>
      <c r="L142" s="282"/>
      <c r="M142" s="282"/>
      <c r="N142" s="283"/>
      <c r="O142" s="282"/>
      <c r="P142" s="282"/>
      <c r="Q142" s="284"/>
      <c r="R142" s="284"/>
      <c r="S142" s="284"/>
      <c r="T142" s="284"/>
      <c r="U142" s="284"/>
      <c r="V142" s="284"/>
      <c r="W142" s="284"/>
      <c r="X142" s="284"/>
      <c r="Y142" s="284"/>
      <c r="Z142" s="284"/>
      <c r="AA142" s="284"/>
      <c r="AB142" s="284"/>
      <c r="AC142" s="284"/>
      <c r="AD142" s="284"/>
      <c r="AE142" s="284"/>
      <c r="AF142" s="284"/>
      <c r="AG142" s="284"/>
      <c r="AH142" s="284"/>
      <c r="AI142" s="284"/>
      <c r="AJ142" s="176"/>
      <c r="AK142" s="176"/>
      <c r="AL142" s="176"/>
      <c r="AM142" s="176"/>
      <c r="AN142" s="176"/>
      <c r="AO142" s="176"/>
      <c r="AP142" s="176"/>
      <c r="AQ142" s="176"/>
      <c r="AR142" s="176"/>
      <c r="AS142" s="176"/>
      <c r="AT142" s="176"/>
      <c r="AU142" s="176"/>
      <c r="AV142" s="176"/>
      <c r="AW142" s="176"/>
      <c r="AX142" s="176"/>
      <c r="AY142" s="176"/>
      <c r="AZ142" s="176"/>
      <c r="BA142" s="176"/>
      <c r="BB142" s="176"/>
    </row>
    <row r="143" ht="10.8" customHeight="1" spans="1:54">
      <c r="A143" s="280"/>
      <c r="B143" s="281"/>
      <c r="C143" s="282"/>
      <c r="D143" s="250"/>
      <c r="E143" s="282"/>
      <c r="F143" s="282"/>
      <c r="G143" s="282"/>
      <c r="H143" s="282"/>
      <c r="I143" s="282"/>
      <c r="J143" s="282"/>
      <c r="K143" s="282"/>
      <c r="L143" s="282"/>
      <c r="M143" s="282"/>
      <c r="N143" s="283"/>
      <c r="O143" s="282"/>
      <c r="P143" s="282"/>
      <c r="Q143" s="284"/>
      <c r="R143" s="284"/>
      <c r="S143" s="284"/>
      <c r="T143" s="284"/>
      <c r="U143" s="284"/>
      <c r="V143" s="284"/>
      <c r="W143" s="284"/>
      <c r="X143" s="284"/>
      <c r="Y143" s="284"/>
      <c r="Z143" s="284"/>
      <c r="AA143" s="284"/>
      <c r="AB143" s="284"/>
      <c r="AC143" s="284"/>
      <c r="AD143" s="284"/>
      <c r="AE143" s="284"/>
      <c r="AF143" s="284"/>
      <c r="AG143" s="284"/>
      <c r="AH143" s="284"/>
      <c r="AI143" s="284"/>
      <c r="AJ143" s="176"/>
      <c r="AK143" s="176"/>
      <c r="AL143" s="176"/>
      <c r="AM143" s="176"/>
      <c r="AN143" s="176"/>
      <c r="AO143" s="176"/>
      <c r="AP143" s="176"/>
      <c r="AQ143" s="176"/>
      <c r="AR143" s="176"/>
      <c r="AS143" s="176"/>
      <c r="AT143" s="176"/>
      <c r="AU143" s="176"/>
      <c r="AV143" s="176"/>
      <c r="AW143" s="176"/>
      <c r="AX143" s="176"/>
      <c r="AY143" s="176"/>
      <c r="AZ143" s="176"/>
      <c r="BA143" s="176"/>
      <c r="BB143" s="176"/>
    </row>
    <row r="144" ht="10.8" customHeight="1" spans="1:54">
      <c r="A144" s="280"/>
      <c r="B144" s="281"/>
      <c r="C144" s="282"/>
      <c r="D144" s="250"/>
      <c r="E144" s="282"/>
      <c r="F144" s="282"/>
      <c r="G144" s="282"/>
      <c r="H144" s="282"/>
      <c r="I144" s="282"/>
      <c r="J144" s="282"/>
      <c r="K144" s="282"/>
      <c r="L144" s="282"/>
      <c r="M144" s="282"/>
      <c r="N144" s="283"/>
      <c r="O144" s="282"/>
      <c r="P144" s="282"/>
      <c r="Q144" s="284"/>
      <c r="R144" s="284"/>
      <c r="S144" s="284"/>
      <c r="T144" s="284"/>
      <c r="U144" s="284"/>
      <c r="V144" s="284"/>
      <c r="W144" s="284"/>
      <c r="X144" s="284"/>
      <c r="Y144" s="284"/>
      <c r="Z144" s="284"/>
      <c r="AA144" s="284"/>
      <c r="AB144" s="284"/>
      <c r="AC144" s="284"/>
      <c r="AD144" s="284"/>
      <c r="AE144" s="284"/>
      <c r="AF144" s="284"/>
      <c r="AG144" s="284"/>
      <c r="AH144" s="284"/>
      <c r="AI144" s="284"/>
      <c r="AJ144" s="176"/>
      <c r="AK144" s="176"/>
      <c r="AL144" s="176"/>
      <c r="AM144" s="176"/>
      <c r="AN144" s="176"/>
      <c r="AO144" s="176"/>
      <c r="AP144" s="176"/>
      <c r="AQ144" s="176"/>
      <c r="AR144" s="176"/>
      <c r="AS144" s="176"/>
      <c r="AT144" s="176"/>
      <c r="AU144" s="176"/>
      <c r="AV144" s="176"/>
      <c r="AW144" s="176"/>
      <c r="AX144" s="176"/>
      <c r="AY144" s="176"/>
      <c r="AZ144" s="176"/>
      <c r="BA144" s="176"/>
      <c r="BB144" s="176"/>
    </row>
    <row r="145" ht="10.8" customHeight="1" spans="1:54">
      <c r="A145" s="280"/>
      <c r="B145" s="281"/>
      <c r="C145" s="282"/>
      <c r="D145" s="250"/>
      <c r="E145" s="282"/>
      <c r="F145" s="282"/>
      <c r="G145" s="282"/>
      <c r="H145" s="282"/>
      <c r="I145" s="282"/>
      <c r="J145" s="282"/>
      <c r="K145" s="282"/>
      <c r="L145" s="282"/>
      <c r="M145" s="282"/>
      <c r="N145" s="283"/>
      <c r="O145" s="282"/>
      <c r="P145" s="282"/>
      <c r="Q145" s="284"/>
      <c r="R145" s="284"/>
      <c r="S145" s="284"/>
      <c r="T145" s="284"/>
      <c r="U145" s="284"/>
      <c r="V145" s="284"/>
      <c r="W145" s="284"/>
      <c r="X145" s="284"/>
      <c r="Y145" s="284"/>
      <c r="Z145" s="284"/>
      <c r="AA145" s="284"/>
      <c r="AB145" s="284"/>
      <c r="AC145" s="284"/>
      <c r="AD145" s="284"/>
      <c r="AE145" s="284"/>
      <c r="AF145" s="284"/>
      <c r="AG145" s="284"/>
      <c r="AH145" s="284"/>
      <c r="AI145" s="284"/>
      <c r="AJ145" s="176"/>
      <c r="AK145" s="176"/>
      <c r="AL145" s="176"/>
      <c r="AM145" s="176"/>
      <c r="AN145" s="176"/>
      <c r="AO145" s="176"/>
      <c r="AP145" s="176"/>
      <c r="AQ145" s="176"/>
      <c r="AR145" s="176"/>
      <c r="AS145" s="176"/>
      <c r="AT145" s="176"/>
      <c r="AU145" s="176"/>
      <c r="AV145" s="176"/>
      <c r="AW145" s="176"/>
      <c r="AX145" s="176"/>
      <c r="AY145" s="176"/>
      <c r="AZ145" s="176"/>
      <c r="BA145" s="176"/>
      <c r="BB145" s="176"/>
    </row>
    <row r="146" ht="10.8" customHeight="1" spans="1:54">
      <c r="A146" s="280"/>
      <c r="B146" s="281"/>
      <c r="C146" s="282"/>
      <c r="D146" s="250"/>
      <c r="E146" s="282"/>
      <c r="F146" s="282"/>
      <c r="G146" s="282"/>
      <c r="H146" s="282"/>
      <c r="I146" s="282"/>
      <c r="J146" s="282"/>
      <c r="K146" s="282"/>
      <c r="L146" s="282"/>
      <c r="M146" s="282"/>
      <c r="N146" s="283"/>
      <c r="O146" s="282"/>
      <c r="P146" s="282"/>
      <c r="Q146" s="284"/>
      <c r="R146" s="284"/>
      <c r="S146" s="284"/>
      <c r="T146" s="284"/>
      <c r="U146" s="284"/>
      <c r="V146" s="284"/>
      <c r="W146" s="284"/>
      <c r="X146" s="284"/>
      <c r="Y146" s="284"/>
      <c r="Z146" s="284"/>
      <c r="AA146" s="284"/>
      <c r="AB146" s="284"/>
      <c r="AC146" s="284"/>
      <c r="AD146" s="284"/>
      <c r="AE146" s="284"/>
      <c r="AF146" s="284"/>
      <c r="AG146" s="284"/>
      <c r="AH146" s="284"/>
      <c r="AI146" s="284"/>
      <c r="AJ146" s="176"/>
      <c r="AK146" s="176"/>
      <c r="AL146" s="176"/>
      <c r="AM146" s="176"/>
      <c r="AN146" s="176"/>
      <c r="AO146" s="176"/>
      <c r="AP146" s="176"/>
      <c r="AQ146" s="176"/>
      <c r="AR146" s="176"/>
      <c r="AS146" s="176"/>
      <c r="AT146" s="176"/>
      <c r="AU146" s="176"/>
      <c r="AV146" s="176"/>
      <c r="AW146" s="176"/>
      <c r="AX146" s="176"/>
      <c r="AY146" s="176"/>
      <c r="AZ146" s="176"/>
      <c r="BA146" s="176"/>
      <c r="BB146" s="176"/>
    </row>
    <row r="147" ht="10.8" customHeight="1" spans="1:54">
      <c r="A147" s="280"/>
      <c r="B147" s="281"/>
      <c r="C147" s="282"/>
      <c r="D147" s="250"/>
      <c r="E147" s="282"/>
      <c r="F147" s="282"/>
      <c r="G147" s="282"/>
      <c r="H147" s="282"/>
      <c r="I147" s="282"/>
      <c r="J147" s="282"/>
      <c r="K147" s="282"/>
      <c r="L147" s="282"/>
      <c r="M147" s="282"/>
      <c r="N147" s="283"/>
      <c r="O147" s="282"/>
      <c r="P147" s="282"/>
      <c r="Q147" s="284"/>
      <c r="R147" s="284"/>
      <c r="S147" s="284"/>
      <c r="T147" s="284"/>
      <c r="U147" s="284"/>
      <c r="V147" s="284"/>
      <c r="W147" s="284"/>
      <c r="X147" s="284"/>
      <c r="Y147" s="284"/>
      <c r="Z147" s="284"/>
      <c r="AA147" s="284"/>
      <c r="AB147" s="284"/>
      <c r="AC147" s="284"/>
      <c r="AD147" s="284"/>
      <c r="AE147" s="284"/>
      <c r="AF147" s="284"/>
      <c r="AG147" s="284"/>
      <c r="AH147" s="284"/>
      <c r="AI147" s="284"/>
      <c r="AJ147" s="176"/>
      <c r="AK147" s="176"/>
      <c r="AL147" s="176"/>
      <c r="AM147" s="176"/>
      <c r="AN147" s="176"/>
      <c r="AO147" s="176"/>
      <c r="AP147" s="176"/>
      <c r="AQ147" s="176"/>
      <c r="AR147" s="176"/>
      <c r="AS147" s="176"/>
      <c r="AT147" s="176"/>
      <c r="AU147" s="176"/>
      <c r="AV147" s="176"/>
      <c r="AW147" s="176"/>
      <c r="AX147" s="176"/>
      <c r="AY147" s="176"/>
      <c r="AZ147" s="176"/>
      <c r="BA147" s="176"/>
      <c r="BB147" s="176"/>
    </row>
    <row r="148" ht="10.8" customHeight="1" spans="1:54">
      <c r="A148" s="280"/>
      <c r="B148" s="281"/>
      <c r="C148" s="282"/>
      <c r="D148" s="250"/>
      <c r="E148" s="282"/>
      <c r="F148" s="282"/>
      <c r="G148" s="282"/>
      <c r="H148" s="282"/>
      <c r="I148" s="282"/>
      <c r="J148" s="282"/>
      <c r="K148" s="282"/>
      <c r="L148" s="282"/>
      <c r="M148" s="282"/>
      <c r="N148" s="283"/>
      <c r="O148" s="282"/>
      <c r="P148" s="282"/>
      <c r="Q148" s="284"/>
      <c r="R148" s="284"/>
      <c r="S148" s="284"/>
      <c r="T148" s="284"/>
      <c r="U148" s="284"/>
      <c r="V148" s="284"/>
      <c r="W148" s="284"/>
      <c r="X148" s="284"/>
      <c r="Y148" s="284"/>
      <c r="Z148" s="284"/>
      <c r="AA148" s="284"/>
      <c r="AB148" s="284"/>
      <c r="AC148" s="284"/>
      <c r="AD148" s="284"/>
      <c r="AE148" s="284"/>
      <c r="AF148" s="284"/>
      <c r="AG148" s="284"/>
      <c r="AH148" s="284"/>
      <c r="AI148" s="284"/>
      <c r="AJ148" s="176"/>
      <c r="AK148" s="176"/>
      <c r="AL148" s="176"/>
      <c r="AM148" s="176"/>
      <c r="AN148" s="176"/>
      <c r="AO148" s="176"/>
      <c r="AP148" s="176"/>
      <c r="AQ148" s="176"/>
      <c r="AR148" s="176"/>
      <c r="AS148" s="176"/>
      <c r="AT148" s="176"/>
      <c r="AU148" s="176"/>
      <c r="AV148" s="176"/>
      <c r="AW148" s="176"/>
      <c r="AX148" s="176"/>
      <c r="AY148" s="176"/>
      <c r="AZ148" s="176"/>
      <c r="BA148" s="176"/>
      <c r="BB148" s="176"/>
    </row>
    <row r="149" ht="10.8" customHeight="1" spans="1:54">
      <c r="A149" s="280"/>
      <c r="B149" s="281"/>
      <c r="C149" s="282"/>
      <c r="D149" s="250"/>
      <c r="E149" s="282"/>
      <c r="F149" s="282"/>
      <c r="G149" s="282"/>
      <c r="H149" s="282"/>
      <c r="I149" s="282"/>
      <c r="J149" s="282"/>
      <c r="K149" s="282"/>
      <c r="L149" s="282"/>
      <c r="M149" s="282"/>
      <c r="N149" s="283"/>
      <c r="O149" s="282"/>
      <c r="P149" s="282"/>
      <c r="Q149" s="284"/>
      <c r="R149" s="284"/>
      <c r="S149" s="284"/>
      <c r="T149" s="284"/>
      <c r="U149" s="284"/>
      <c r="V149" s="284"/>
      <c r="W149" s="284"/>
      <c r="X149" s="284"/>
      <c r="Y149" s="284"/>
      <c r="Z149" s="284"/>
      <c r="AA149" s="284"/>
      <c r="AB149" s="284"/>
      <c r="AC149" s="284"/>
      <c r="AD149" s="284"/>
      <c r="AE149" s="284"/>
      <c r="AF149" s="284"/>
      <c r="AG149" s="284"/>
      <c r="AH149" s="284"/>
      <c r="AI149" s="284"/>
      <c r="AJ149" s="176"/>
      <c r="AK149" s="176"/>
      <c r="AL149" s="176"/>
      <c r="AM149" s="176"/>
      <c r="AN149" s="176"/>
      <c r="AO149" s="176"/>
      <c r="AP149" s="176"/>
      <c r="AQ149" s="176"/>
      <c r="AR149" s="176"/>
      <c r="AS149" s="176"/>
      <c r="AT149" s="176"/>
      <c r="AU149" s="176"/>
      <c r="AV149" s="176"/>
      <c r="AW149" s="176"/>
      <c r="AX149" s="176"/>
      <c r="AY149" s="176"/>
      <c r="AZ149" s="176"/>
      <c r="BA149" s="176"/>
      <c r="BB149" s="176"/>
    </row>
    <row r="150" ht="10.8" customHeight="1" spans="1:54">
      <c r="A150" s="280"/>
      <c r="B150" s="281"/>
      <c r="C150" s="282"/>
      <c r="D150" s="250"/>
      <c r="E150" s="282"/>
      <c r="F150" s="282"/>
      <c r="G150" s="282"/>
      <c r="H150" s="282"/>
      <c r="I150" s="282"/>
      <c r="J150" s="282"/>
      <c r="K150" s="282"/>
      <c r="L150" s="282"/>
      <c r="M150" s="282"/>
      <c r="N150" s="283"/>
      <c r="O150" s="282"/>
      <c r="P150" s="282"/>
      <c r="Q150" s="284"/>
      <c r="R150" s="284"/>
      <c r="S150" s="284"/>
      <c r="T150" s="284"/>
      <c r="U150" s="284"/>
      <c r="V150" s="284"/>
      <c r="W150" s="284"/>
      <c r="X150" s="284"/>
      <c r="Y150" s="284"/>
      <c r="Z150" s="284"/>
      <c r="AA150" s="284"/>
      <c r="AB150" s="284"/>
      <c r="AC150" s="284"/>
      <c r="AD150" s="284"/>
      <c r="AE150" s="284"/>
      <c r="AF150" s="284"/>
      <c r="AG150" s="284"/>
      <c r="AH150" s="284"/>
      <c r="AI150" s="284"/>
      <c r="AJ150" s="176"/>
      <c r="AK150" s="176"/>
      <c r="AL150" s="176"/>
      <c r="AM150" s="176"/>
      <c r="AN150" s="176"/>
      <c r="AO150" s="176"/>
      <c r="AP150" s="176"/>
      <c r="AQ150" s="176"/>
      <c r="AR150" s="176"/>
      <c r="AS150" s="176"/>
      <c r="AT150" s="176"/>
      <c r="AU150" s="176"/>
      <c r="AV150" s="176"/>
      <c r="AW150" s="176"/>
      <c r="AX150" s="176"/>
      <c r="AY150" s="176"/>
      <c r="AZ150" s="176"/>
      <c r="BA150" s="176"/>
      <c r="BB150" s="176"/>
    </row>
    <row r="151" ht="10.8" customHeight="1" spans="1:54">
      <c r="A151" s="280"/>
      <c r="B151" s="281"/>
      <c r="C151" s="282"/>
      <c r="D151" s="250"/>
      <c r="E151" s="282"/>
      <c r="F151" s="282"/>
      <c r="G151" s="282"/>
      <c r="H151" s="282"/>
      <c r="I151" s="282"/>
      <c r="J151" s="282"/>
      <c r="K151" s="282"/>
      <c r="L151" s="282"/>
      <c r="M151" s="282"/>
      <c r="N151" s="283"/>
      <c r="O151" s="282"/>
      <c r="P151" s="282"/>
      <c r="Q151" s="284"/>
      <c r="R151" s="284"/>
      <c r="S151" s="284"/>
      <c r="T151" s="284"/>
      <c r="U151" s="284"/>
      <c r="V151" s="284"/>
      <c r="W151" s="284"/>
      <c r="X151" s="284"/>
      <c r="Y151" s="284"/>
      <c r="Z151" s="284"/>
      <c r="AA151" s="284"/>
      <c r="AB151" s="284"/>
      <c r="AC151" s="284"/>
      <c r="AD151" s="284"/>
      <c r="AE151" s="284"/>
      <c r="AF151" s="284"/>
      <c r="AG151" s="284"/>
      <c r="AH151" s="284"/>
      <c r="AI151" s="284"/>
      <c r="AJ151" s="176"/>
      <c r="AK151" s="176"/>
      <c r="AL151" s="176"/>
      <c r="AM151" s="176"/>
      <c r="AN151" s="176"/>
      <c r="AO151" s="176"/>
      <c r="AP151" s="176"/>
      <c r="AQ151" s="176"/>
      <c r="AR151" s="176"/>
      <c r="AS151" s="176"/>
      <c r="AT151" s="176"/>
      <c r="AU151" s="176"/>
      <c r="AV151" s="176"/>
      <c r="AW151" s="176"/>
      <c r="AX151" s="176"/>
      <c r="AY151" s="176"/>
      <c r="AZ151" s="176"/>
      <c r="BA151" s="176"/>
      <c r="BB151" s="176"/>
    </row>
    <row r="152" ht="10.8" customHeight="1" spans="1:54">
      <c r="A152" s="280"/>
      <c r="B152" s="281"/>
      <c r="C152" s="282"/>
      <c r="D152" s="250"/>
      <c r="E152" s="282"/>
      <c r="F152" s="282"/>
      <c r="G152" s="282"/>
      <c r="H152" s="282"/>
      <c r="I152" s="282"/>
      <c r="J152" s="282"/>
      <c r="K152" s="282"/>
      <c r="L152" s="282"/>
      <c r="M152" s="282"/>
      <c r="N152" s="283"/>
      <c r="O152" s="282"/>
      <c r="P152" s="282"/>
      <c r="Q152" s="284"/>
      <c r="R152" s="284"/>
      <c r="S152" s="284"/>
      <c r="T152" s="284"/>
      <c r="U152" s="284"/>
      <c r="V152" s="284"/>
      <c r="W152" s="284"/>
      <c r="X152" s="284"/>
      <c r="Y152" s="284"/>
      <c r="Z152" s="284"/>
      <c r="AA152" s="284"/>
      <c r="AB152" s="284"/>
      <c r="AC152" s="284"/>
      <c r="AD152" s="284"/>
      <c r="AE152" s="284"/>
      <c r="AF152" s="284"/>
      <c r="AG152" s="284"/>
      <c r="AH152" s="284"/>
      <c r="AI152" s="284"/>
      <c r="AJ152" s="176"/>
      <c r="AK152" s="176"/>
      <c r="AL152" s="176"/>
      <c r="AM152" s="176"/>
      <c r="AN152" s="176"/>
      <c r="AO152" s="176"/>
      <c r="AP152" s="176"/>
      <c r="AQ152" s="176"/>
      <c r="AR152" s="176"/>
      <c r="AS152" s="176"/>
      <c r="AT152" s="176"/>
      <c r="AU152" s="176"/>
      <c r="AV152" s="176"/>
      <c r="AW152" s="176"/>
      <c r="AX152" s="176"/>
      <c r="AY152" s="176"/>
      <c r="AZ152" s="176"/>
      <c r="BA152" s="176"/>
      <c r="BB152" s="176"/>
    </row>
    <row r="153" ht="10.8" customHeight="1" spans="1:54">
      <c r="A153" s="280"/>
      <c r="B153" s="281"/>
      <c r="C153" s="282"/>
      <c r="D153" s="250"/>
      <c r="E153" s="282"/>
      <c r="F153" s="282"/>
      <c r="G153" s="282"/>
      <c r="H153" s="282"/>
      <c r="I153" s="282"/>
      <c r="J153" s="282"/>
      <c r="K153" s="282"/>
      <c r="L153" s="282"/>
      <c r="M153" s="282"/>
      <c r="N153" s="283"/>
      <c r="O153" s="282"/>
      <c r="P153" s="282"/>
      <c r="Q153" s="284"/>
      <c r="R153" s="284"/>
      <c r="S153" s="284"/>
      <c r="T153" s="284"/>
      <c r="U153" s="284"/>
      <c r="V153" s="284"/>
      <c r="W153" s="284"/>
      <c r="X153" s="284"/>
      <c r="Y153" s="284"/>
      <c r="Z153" s="284"/>
      <c r="AA153" s="284"/>
      <c r="AB153" s="284"/>
      <c r="AC153" s="284"/>
      <c r="AD153" s="284"/>
      <c r="AE153" s="284"/>
      <c r="AF153" s="284"/>
      <c r="AG153" s="284"/>
      <c r="AH153" s="284"/>
      <c r="AI153" s="284"/>
      <c r="AJ153" s="176"/>
      <c r="AK153" s="176"/>
      <c r="AL153" s="176"/>
      <c r="AM153" s="176"/>
      <c r="AN153" s="176"/>
      <c r="AO153" s="176"/>
      <c r="AP153" s="176"/>
      <c r="AQ153" s="176"/>
      <c r="AR153" s="176"/>
      <c r="AS153" s="176"/>
      <c r="AT153" s="176"/>
      <c r="AU153" s="176"/>
      <c r="AV153" s="176"/>
      <c r="AW153" s="176"/>
      <c r="AX153" s="176"/>
      <c r="AY153" s="176"/>
      <c r="AZ153" s="176"/>
      <c r="BA153" s="176"/>
      <c r="BB153" s="176"/>
    </row>
    <row r="154" ht="10.8" customHeight="1" spans="1:54">
      <c r="A154" s="280"/>
      <c r="B154" s="281"/>
      <c r="C154" s="282"/>
      <c r="D154" s="250"/>
      <c r="E154" s="282"/>
      <c r="F154" s="282"/>
      <c r="G154" s="282"/>
      <c r="H154" s="282"/>
      <c r="I154" s="282"/>
      <c r="J154" s="282"/>
      <c r="K154" s="282"/>
      <c r="L154" s="282"/>
      <c r="M154" s="282"/>
      <c r="N154" s="283"/>
      <c r="O154" s="282"/>
      <c r="P154" s="282"/>
      <c r="Q154" s="284"/>
      <c r="R154" s="284"/>
      <c r="S154" s="284"/>
      <c r="T154" s="284"/>
      <c r="U154" s="284"/>
      <c r="V154" s="284"/>
      <c r="W154" s="284"/>
      <c r="X154" s="284"/>
      <c r="Y154" s="284"/>
      <c r="Z154" s="284"/>
      <c r="AA154" s="284"/>
      <c r="AB154" s="284"/>
      <c r="AC154" s="284"/>
      <c r="AD154" s="284"/>
      <c r="AE154" s="284"/>
      <c r="AF154" s="284"/>
      <c r="AG154" s="284"/>
      <c r="AH154" s="284"/>
      <c r="AI154" s="284"/>
      <c r="AJ154" s="176"/>
      <c r="AK154" s="176"/>
      <c r="AL154" s="176"/>
      <c r="AM154" s="176"/>
      <c r="AN154" s="176"/>
      <c r="AO154" s="176"/>
      <c r="AP154" s="176"/>
      <c r="AQ154" s="176"/>
      <c r="AR154" s="176"/>
      <c r="AS154" s="176"/>
      <c r="AT154" s="176"/>
      <c r="AU154" s="176"/>
      <c r="AV154" s="176"/>
      <c r="AW154" s="176"/>
      <c r="AX154" s="176"/>
      <c r="AY154" s="176"/>
      <c r="AZ154" s="176"/>
      <c r="BA154" s="176"/>
      <c r="BB154" s="176"/>
    </row>
    <row r="155" ht="10.8" customHeight="1" spans="1:54">
      <c r="A155" s="280"/>
      <c r="B155" s="281"/>
      <c r="C155" s="282"/>
      <c r="D155" s="250"/>
      <c r="E155" s="282"/>
      <c r="F155" s="282"/>
      <c r="G155" s="282"/>
      <c r="H155" s="282"/>
      <c r="I155" s="282"/>
      <c r="J155" s="282"/>
      <c r="K155" s="282"/>
      <c r="L155" s="282"/>
      <c r="M155" s="282"/>
      <c r="N155" s="283"/>
      <c r="O155" s="282"/>
      <c r="P155" s="282"/>
      <c r="Q155" s="284"/>
      <c r="R155" s="284"/>
      <c r="S155" s="284"/>
      <c r="T155" s="284"/>
      <c r="U155" s="284"/>
      <c r="V155" s="284"/>
      <c r="W155" s="284"/>
      <c r="X155" s="284"/>
      <c r="Y155" s="284"/>
      <c r="Z155" s="284"/>
      <c r="AA155" s="284"/>
      <c r="AB155" s="284"/>
      <c r="AC155" s="284"/>
      <c r="AD155" s="284"/>
      <c r="AE155" s="284"/>
      <c r="AF155" s="284"/>
      <c r="AG155" s="284"/>
      <c r="AH155" s="284"/>
      <c r="AI155" s="284"/>
      <c r="AJ155" s="176"/>
      <c r="AK155" s="176"/>
      <c r="AL155" s="176"/>
      <c r="AM155" s="176"/>
      <c r="AN155" s="176"/>
      <c r="AO155" s="176"/>
      <c r="AP155" s="176"/>
      <c r="AQ155" s="176"/>
      <c r="AR155" s="176"/>
      <c r="AS155" s="176"/>
      <c r="AT155" s="176"/>
      <c r="AU155" s="176"/>
      <c r="AV155" s="176"/>
      <c r="AW155" s="176"/>
      <c r="AX155" s="176"/>
      <c r="AY155" s="176"/>
      <c r="AZ155" s="176"/>
      <c r="BA155" s="176"/>
      <c r="BB155" s="176"/>
    </row>
    <row r="156" ht="10.8" customHeight="1" spans="1:54">
      <c r="A156" s="280"/>
      <c r="B156" s="281"/>
      <c r="C156" s="282"/>
      <c r="D156" s="250"/>
      <c r="E156" s="282"/>
      <c r="F156" s="282"/>
      <c r="G156" s="282"/>
      <c r="H156" s="282"/>
      <c r="I156" s="282"/>
      <c r="J156" s="282"/>
      <c r="K156" s="282"/>
      <c r="L156" s="282"/>
      <c r="M156" s="282"/>
      <c r="N156" s="283"/>
      <c r="O156" s="282"/>
      <c r="P156" s="282"/>
      <c r="Q156" s="284"/>
      <c r="R156" s="284"/>
      <c r="S156" s="284"/>
      <c r="T156" s="284"/>
      <c r="U156" s="284"/>
      <c r="V156" s="284"/>
      <c r="W156" s="284"/>
      <c r="X156" s="284"/>
      <c r="Y156" s="284"/>
      <c r="Z156" s="284"/>
      <c r="AA156" s="284"/>
      <c r="AB156" s="284"/>
      <c r="AC156" s="284"/>
      <c r="AD156" s="284"/>
      <c r="AE156" s="284"/>
      <c r="AF156" s="284"/>
      <c r="AG156" s="284"/>
      <c r="AH156" s="284"/>
      <c r="AI156" s="284"/>
      <c r="AJ156" s="176"/>
      <c r="AK156" s="176"/>
      <c r="AL156" s="176"/>
      <c r="AM156" s="176"/>
      <c r="AN156" s="176"/>
      <c r="AO156" s="176"/>
      <c r="AP156" s="176"/>
      <c r="AQ156" s="176"/>
      <c r="AR156" s="176"/>
      <c r="AS156" s="176"/>
      <c r="AT156" s="176"/>
      <c r="AU156" s="176"/>
      <c r="AV156" s="176"/>
      <c r="AW156" s="176"/>
      <c r="AX156" s="176"/>
      <c r="AY156" s="176"/>
      <c r="AZ156" s="176"/>
      <c r="BA156" s="176"/>
      <c r="BB156" s="176"/>
    </row>
    <row r="157" ht="10.8" customHeight="1" spans="1:54">
      <c r="A157" s="280"/>
      <c r="B157" s="281"/>
      <c r="C157" s="282"/>
      <c r="D157" s="250"/>
      <c r="E157" s="282"/>
      <c r="F157" s="282"/>
      <c r="G157" s="282"/>
      <c r="H157" s="282"/>
      <c r="I157" s="282"/>
      <c r="J157" s="282"/>
      <c r="K157" s="282"/>
      <c r="L157" s="282"/>
      <c r="M157" s="282"/>
      <c r="N157" s="283"/>
      <c r="O157" s="282"/>
      <c r="P157" s="282"/>
      <c r="Q157" s="284"/>
      <c r="R157" s="284"/>
      <c r="S157" s="284"/>
      <c r="T157" s="284"/>
      <c r="U157" s="284"/>
      <c r="V157" s="284"/>
      <c r="W157" s="284"/>
      <c r="X157" s="284"/>
      <c r="Y157" s="284"/>
      <c r="Z157" s="284"/>
      <c r="AA157" s="284"/>
      <c r="AB157" s="284"/>
      <c r="AC157" s="284"/>
      <c r="AD157" s="284"/>
      <c r="AE157" s="284"/>
      <c r="AF157" s="284"/>
      <c r="AG157" s="284"/>
      <c r="AH157" s="284"/>
      <c r="AI157" s="284"/>
      <c r="AJ157" s="176"/>
      <c r="AK157" s="176"/>
      <c r="AL157" s="176"/>
      <c r="AM157" s="176"/>
      <c r="AN157" s="176"/>
      <c r="AO157" s="176"/>
      <c r="AP157" s="176"/>
      <c r="AQ157" s="176"/>
      <c r="AR157" s="176"/>
      <c r="AS157" s="176"/>
      <c r="AT157" s="176"/>
      <c r="AU157" s="176"/>
      <c r="AV157" s="176"/>
      <c r="AW157" s="176"/>
      <c r="AX157" s="176"/>
      <c r="AY157" s="176"/>
      <c r="AZ157" s="176"/>
      <c r="BA157" s="176"/>
      <c r="BB157" s="176"/>
    </row>
    <row r="158" ht="10.8" customHeight="1" spans="1:54">
      <c r="A158" s="280"/>
      <c r="B158" s="281"/>
      <c r="C158" s="282"/>
      <c r="D158" s="250"/>
      <c r="E158" s="282"/>
      <c r="F158" s="282"/>
      <c r="G158" s="282"/>
      <c r="H158" s="282"/>
      <c r="I158" s="282"/>
      <c r="J158" s="282"/>
      <c r="K158" s="282"/>
      <c r="L158" s="282"/>
      <c r="M158" s="282"/>
      <c r="N158" s="283"/>
      <c r="O158" s="282"/>
      <c r="P158" s="282"/>
      <c r="Q158" s="284"/>
      <c r="R158" s="284"/>
      <c r="S158" s="284"/>
      <c r="T158" s="284"/>
      <c r="U158" s="284"/>
      <c r="V158" s="284"/>
      <c r="W158" s="284"/>
      <c r="X158" s="284"/>
      <c r="Y158" s="284"/>
      <c r="Z158" s="284"/>
      <c r="AA158" s="284"/>
      <c r="AB158" s="284"/>
      <c r="AC158" s="284"/>
      <c r="AD158" s="284"/>
      <c r="AE158" s="284"/>
      <c r="AF158" s="284"/>
      <c r="AG158" s="284"/>
      <c r="AH158" s="284"/>
      <c r="AI158" s="284"/>
      <c r="AJ158" s="176"/>
      <c r="AK158" s="176"/>
      <c r="AL158" s="176"/>
      <c r="AM158" s="176"/>
      <c r="AN158" s="176"/>
      <c r="AO158" s="176"/>
      <c r="AP158" s="176"/>
      <c r="AQ158" s="176"/>
      <c r="AR158" s="176"/>
      <c r="AS158" s="176"/>
      <c r="AT158" s="176"/>
      <c r="AU158" s="176"/>
      <c r="AV158" s="176"/>
      <c r="AW158" s="176"/>
      <c r="AX158" s="176"/>
      <c r="AY158" s="176"/>
      <c r="AZ158" s="176"/>
      <c r="BA158" s="176"/>
      <c r="BB158" s="176"/>
    </row>
    <row r="159" ht="10.8" customHeight="1" spans="1:54">
      <c r="A159" s="280"/>
      <c r="B159" s="281"/>
      <c r="C159" s="282"/>
      <c r="D159" s="250"/>
      <c r="E159" s="282"/>
      <c r="F159" s="282"/>
      <c r="G159" s="282"/>
      <c r="H159" s="282"/>
      <c r="I159" s="282"/>
      <c r="J159" s="282"/>
      <c r="K159" s="282"/>
      <c r="L159" s="282"/>
      <c r="M159" s="282"/>
      <c r="N159" s="283"/>
      <c r="O159" s="282"/>
      <c r="P159" s="282"/>
      <c r="Q159" s="284"/>
      <c r="R159" s="284"/>
      <c r="S159" s="284"/>
      <c r="T159" s="284"/>
      <c r="U159" s="284"/>
      <c r="V159" s="284"/>
      <c r="W159" s="284"/>
      <c r="X159" s="284"/>
      <c r="Y159" s="284"/>
      <c r="Z159" s="284"/>
      <c r="AA159" s="284"/>
      <c r="AB159" s="284"/>
      <c r="AC159" s="284"/>
      <c r="AD159" s="284"/>
      <c r="AE159" s="284"/>
      <c r="AF159" s="284"/>
      <c r="AG159" s="284"/>
      <c r="AH159" s="284"/>
      <c r="AI159" s="284"/>
      <c r="AJ159" s="176"/>
      <c r="AK159" s="176"/>
      <c r="AL159" s="176"/>
      <c r="AM159" s="176"/>
      <c r="AN159" s="176"/>
      <c r="AO159" s="176"/>
      <c r="AP159" s="176"/>
      <c r="AQ159" s="176"/>
      <c r="AR159" s="176"/>
      <c r="AS159" s="176"/>
      <c r="AT159" s="176"/>
      <c r="AU159" s="176"/>
      <c r="AV159" s="176"/>
      <c r="AW159" s="176"/>
      <c r="AX159" s="176"/>
      <c r="AY159" s="176"/>
      <c r="AZ159" s="176"/>
      <c r="BA159" s="176"/>
      <c r="BB159" s="176"/>
    </row>
    <row r="160" ht="10.8" customHeight="1" spans="1:54">
      <c r="A160" s="280"/>
      <c r="B160" s="281"/>
      <c r="C160" s="282"/>
      <c r="D160" s="250"/>
      <c r="E160" s="282"/>
      <c r="F160" s="282"/>
      <c r="G160" s="282"/>
      <c r="H160" s="282"/>
      <c r="I160" s="282"/>
      <c r="J160" s="282"/>
      <c r="K160" s="282"/>
      <c r="L160" s="282"/>
      <c r="M160" s="282"/>
      <c r="N160" s="283"/>
      <c r="O160" s="282"/>
      <c r="P160" s="282"/>
      <c r="Q160" s="284"/>
      <c r="R160" s="284"/>
      <c r="S160" s="284"/>
      <c r="T160" s="284"/>
      <c r="U160" s="284"/>
      <c r="V160" s="284"/>
      <c r="W160" s="284"/>
      <c r="X160" s="284"/>
      <c r="Y160" s="284"/>
      <c r="Z160" s="284"/>
      <c r="AA160" s="284"/>
      <c r="AB160" s="284"/>
      <c r="AC160" s="284"/>
      <c r="AD160" s="284"/>
      <c r="AE160" s="284"/>
      <c r="AF160" s="284"/>
      <c r="AG160" s="284"/>
      <c r="AH160" s="284"/>
      <c r="AI160" s="284"/>
      <c r="AJ160" s="176"/>
      <c r="AK160" s="176"/>
      <c r="AL160" s="176"/>
      <c r="AM160" s="176"/>
      <c r="AN160" s="176"/>
      <c r="AO160" s="176"/>
      <c r="AP160" s="176"/>
      <c r="AQ160" s="176"/>
      <c r="AR160" s="176"/>
      <c r="AS160" s="176"/>
      <c r="AT160" s="176"/>
      <c r="AU160" s="176"/>
      <c r="AV160" s="176"/>
      <c r="AW160" s="176"/>
      <c r="AX160" s="176"/>
      <c r="AY160" s="176"/>
      <c r="AZ160" s="176"/>
      <c r="BA160" s="176"/>
      <c r="BB160" s="176"/>
    </row>
    <row r="161" ht="10.8" customHeight="1" spans="1:54">
      <c r="A161" s="280"/>
      <c r="B161" s="281"/>
      <c r="C161" s="282"/>
      <c r="D161" s="250"/>
      <c r="E161" s="282"/>
      <c r="F161" s="282"/>
      <c r="G161" s="282"/>
      <c r="H161" s="282"/>
      <c r="I161" s="282"/>
      <c r="J161" s="282"/>
      <c r="K161" s="282"/>
      <c r="L161" s="282"/>
      <c r="M161" s="282"/>
      <c r="N161" s="283"/>
      <c r="O161" s="282"/>
      <c r="P161" s="282"/>
      <c r="Q161" s="284"/>
      <c r="R161" s="284"/>
      <c r="S161" s="284"/>
      <c r="T161" s="284"/>
      <c r="U161" s="284"/>
      <c r="V161" s="284"/>
      <c r="W161" s="284"/>
      <c r="X161" s="284"/>
      <c r="Y161" s="284"/>
      <c r="Z161" s="284"/>
      <c r="AA161" s="284"/>
      <c r="AB161" s="284"/>
      <c r="AC161" s="284"/>
      <c r="AD161" s="284"/>
      <c r="AE161" s="284"/>
      <c r="AF161" s="284"/>
      <c r="AG161" s="284"/>
      <c r="AH161" s="284"/>
      <c r="AI161" s="284"/>
      <c r="AJ161" s="176"/>
      <c r="AK161" s="176"/>
      <c r="AL161" s="176"/>
      <c r="AM161" s="176"/>
      <c r="AN161" s="176"/>
      <c r="AO161" s="176"/>
      <c r="AP161" s="176"/>
      <c r="AQ161" s="176"/>
      <c r="AR161" s="176"/>
      <c r="AS161" s="176"/>
      <c r="AT161" s="176"/>
      <c r="AU161" s="176"/>
      <c r="AV161" s="176"/>
      <c r="AW161" s="176"/>
      <c r="AX161" s="176"/>
      <c r="AY161" s="176"/>
      <c r="AZ161" s="176"/>
      <c r="BA161" s="176"/>
      <c r="BB161" s="176"/>
    </row>
    <row r="162" ht="10.8" customHeight="1" spans="1:54">
      <c r="A162" s="280"/>
      <c r="B162" s="281"/>
      <c r="C162" s="282"/>
      <c r="D162" s="250"/>
      <c r="E162" s="282"/>
      <c r="F162" s="282"/>
      <c r="G162" s="282"/>
      <c r="H162" s="282"/>
      <c r="I162" s="282"/>
      <c r="J162" s="282"/>
      <c r="K162" s="282"/>
      <c r="L162" s="282"/>
      <c r="M162" s="282"/>
      <c r="N162" s="283"/>
      <c r="O162" s="282"/>
      <c r="P162" s="282"/>
      <c r="Q162" s="284"/>
      <c r="R162" s="284"/>
      <c r="S162" s="284"/>
      <c r="T162" s="284"/>
      <c r="U162" s="284"/>
      <c r="V162" s="284"/>
      <c r="W162" s="284"/>
      <c r="X162" s="284"/>
      <c r="Y162" s="284"/>
      <c r="Z162" s="284"/>
      <c r="AA162" s="284"/>
      <c r="AB162" s="284"/>
      <c r="AC162" s="284"/>
      <c r="AD162" s="284"/>
      <c r="AE162" s="284"/>
      <c r="AF162" s="284"/>
      <c r="AG162" s="284"/>
      <c r="AH162" s="284"/>
      <c r="AI162" s="284"/>
      <c r="AJ162" s="176"/>
      <c r="AK162" s="176"/>
      <c r="AL162" s="176"/>
      <c r="AM162" s="176"/>
      <c r="AN162" s="176"/>
      <c r="AO162" s="176"/>
      <c r="AP162" s="176"/>
      <c r="AQ162" s="176"/>
      <c r="AR162" s="176"/>
      <c r="AS162" s="176"/>
      <c r="AT162" s="176"/>
      <c r="AU162" s="176"/>
      <c r="AV162" s="176"/>
      <c r="AW162" s="176"/>
      <c r="AX162" s="176"/>
      <c r="AY162" s="176"/>
      <c r="AZ162" s="176"/>
      <c r="BA162" s="176"/>
      <c r="BB162" s="176"/>
    </row>
    <row r="163" ht="10.8" customHeight="1" spans="1:54">
      <c r="A163" s="280"/>
      <c r="B163" s="281"/>
      <c r="C163" s="282"/>
      <c r="D163" s="250"/>
      <c r="E163" s="282"/>
      <c r="F163" s="282"/>
      <c r="G163" s="282"/>
      <c r="H163" s="282"/>
      <c r="I163" s="282"/>
      <c r="J163" s="282"/>
      <c r="K163" s="282"/>
      <c r="L163" s="282"/>
      <c r="M163" s="282"/>
      <c r="N163" s="283"/>
      <c r="O163" s="282"/>
      <c r="P163" s="282"/>
      <c r="Q163" s="284"/>
      <c r="R163" s="284"/>
      <c r="S163" s="284"/>
      <c r="T163" s="284"/>
      <c r="U163" s="284"/>
      <c r="V163" s="284"/>
      <c r="W163" s="284"/>
      <c r="X163" s="284"/>
      <c r="Y163" s="284"/>
      <c r="Z163" s="284"/>
      <c r="AA163" s="284"/>
      <c r="AB163" s="284"/>
      <c r="AC163" s="284"/>
      <c r="AD163" s="284"/>
      <c r="AE163" s="284"/>
      <c r="AF163" s="284"/>
      <c r="AG163" s="284"/>
      <c r="AH163" s="284"/>
      <c r="AI163" s="284"/>
      <c r="AJ163" s="176"/>
      <c r="AK163" s="176"/>
      <c r="AL163" s="176"/>
      <c r="AM163" s="176"/>
      <c r="AN163" s="176"/>
      <c r="AO163" s="176"/>
      <c r="AP163" s="176"/>
      <c r="AQ163" s="176"/>
      <c r="AR163" s="176"/>
      <c r="AS163" s="176"/>
      <c r="AT163" s="176"/>
      <c r="AU163" s="176"/>
      <c r="AV163" s="176"/>
      <c r="AW163" s="176"/>
      <c r="AX163" s="176"/>
      <c r="AY163" s="176"/>
      <c r="AZ163" s="176"/>
      <c r="BA163" s="176"/>
      <c r="BB163" s="176"/>
    </row>
    <row r="164" ht="10.8" customHeight="1" spans="1:54">
      <c r="A164" s="280"/>
      <c r="B164" s="281"/>
      <c r="C164" s="282"/>
      <c r="D164" s="250"/>
      <c r="E164" s="282"/>
      <c r="F164" s="282"/>
      <c r="G164" s="282"/>
      <c r="H164" s="282"/>
      <c r="I164" s="282"/>
      <c r="J164" s="282"/>
      <c r="K164" s="282"/>
      <c r="L164" s="282"/>
      <c r="M164" s="282"/>
      <c r="N164" s="283"/>
      <c r="O164" s="282"/>
      <c r="P164" s="282"/>
      <c r="Q164" s="284"/>
      <c r="R164" s="284"/>
      <c r="S164" s="284"/>
      <c r="T164" s="284"/>
      <c r="U164" s="284"/>
      <c r="V164" s="284"/>
      <c r="W164" s="284"/>
      <c r="X164" s="284"/>
      <c r="Y164" s="284"/>
      <c r="Z164" s="284"/>
      <c r="AA164" s="284"/>
      <c r="AB164" s="284"/>
      <c r="AC164" s="284"/>
      <c r="AD164" s="284"/>
      <c r="AE164" s="284"/>
      <c r="AF164" s="284"/>
      <c r="AG164" s="284"/>
      <c r="AH164" s="284"/>
      <c r="AI164" s="284"/>
      <c r="AJ164" s="176"/>
      <c r="AK164" s="176"/>
      <c r="AL164" s="176"/>
      <c r="AM164" s="176"/>
      <c r="AN164" s="176"/>
      <c r="AO164" s="176"/>
      <c r="AP164" s="176"/>
      <c r="AQ164" s="176"/>
      <c r="AR164" s="176"/>
      <c r="AS164" s="176"/>
      <c r="AT164" s="176"/>
      <c r="AU164" s="176"/>
      <c r="AV164" s="176"/>
      <c r="AW164" s="176"/>
      <c r="AX164" s="176"/>
      <c r="AY164" s="176"/>
      <c r="AZ164" s="176"/>
      <c r="BA164" s="176"/>
      <c r="BB164" s="176"/>
    </row>
    <row r="165" ht="10.8" customHeight="1" spans="1:54">
      <c r="A165" s="280"/>
      <c r="B165" s="281"/>
      <c r="C165" s="282"/>
      <c r="D165" s="250"/>
      <c r="E165" s="282"/>
      <c r="F165" s="282"/>
      <c r="G165" s="282"/>
      <c r="H165" s="282"/>
      <c r="I165" s="282"/>
      <c r="J165" s="282"/>
      <c r="K165" s="282"/>
      <c r="L165" s="282"/>
      <c r="M165" s="282"/>
      <c r="N165" s="283"/>
      <c r="O165" s="282"/>
      <c r="P165" s="282"/>
      <c r="Q165" s="284"/>
      <c r="R165" s="284"/>
      <c r="S165" s="284"/>
      <c r="T165" s="284"/>
      <c r="U165" s="284"/>
      <c r="V165" s="284"/>
      <c r="W165" s="284"/>
      <c r="X165" s="284"/>
      <c r="Y165" s="284"/>
      <c r="Z165" s="284"/>
      <c r="AA165" s="284"/>
      <c r="AB165" s="284"/>
      <c r="AC165" s="284"/>
      <c r="AD165" s="284"/>
      <c r="AE165" s="284"/>
      <c r="AF165" s="284"/>
      <c r="AG165" s="284"/>
      <c r="AH165" s="284"/>
      <c r="AI165" s="284"/>
      <c r="AJ165" s="176"/>
      <c r="AK165" s="176"/>
      <c r="AL165" s="176"/>
      <c r="AM165" s="176"/>
      <c r="AN165" s="176"/>
      <c r="AO165" s="176"/>
      <c r="AP165" s="176"/>
      <c r="AQ165" s="176"/>
      <c r="AR165" s="176"/>
      <c r="AS165" s="176"/>
      <c r="AT165" s="176"/>
      <c r="AU165" s="176"/>
      <c r="AV165" s="176"/>
      <c r="AW165" s="176"/>
      <c r="AX165" s="176"/>
      <c r="AY165" s="176"/>
      <c r="AZ165" s="176"/>
      <c r="BA165" s="176"/>
      <c r="BB165" s="176"/>
    </row>
    <row r="166" ht="10.8" customHeight="1" spans="1:54">
      <c r="A166" s="280"/>
      <c r="B166" s="281"/>
      <c r="C166" s="282"/>
      <c r="D166" s="250"/>
      <c r="E166" s="282"/>
      <c r="F166" s="282"/>
      <c r="G166" s="282"/>
      <c r="H166" s="282"/>
      <c r="I166" s="282"/>
      <c r="J166" s="282"/>
      <c r="K166" s="282"/>
      <c r="L166" s="282"/>
      <c r="M166" s="282"/>
      <c r="N166" s="283"/>
      <c r="O166" s="282"/>
      <c r="P166" s="282"/>
      <c r="Q166" s="284"/>
      <c r="R166" s="284"/>
      <c r="S166" s="284"/>
      <c r="T166" s="284"/>
      <c r="U166" s="284"/>
      <c r="V166" s="284"/>
      <c r="W166" s="284"/>
      <c r="X166" s="284"/>
      <c r="Y166" s="284"/>
      <c r="Z166" s="284"/>
      <c r="AA166" s="284"/>
      <c r="AB166" s="284"/>
      <c r="AC166" s="284"/>
      <c r="AD166" s="284"/>
      <c r="AE166" s="284"/>
      <c r="AF166" s="284"/>
      <c r="AG166" s="284"/>
      <c r="AH166" s="284"/>
      <c r="AI166" s="284"/>
      <c r="AJ166" s="176"/>
      <c r="AK166" s="176"/>
      <c r="AL166" s="176"/>
      <c r="AM166" s="176"/>
      <c r="AN166" s="176"/>
      <c r="AO166" s="176"/>
      <c r="AP166" s="176"/>
      <c r="AQ166" s="176"/>
      <c r="AR166" s="176"/>
      <c r="AS166" s="176"/>
      <c r="AT166" s="176"/>
      <c r="AU166" s="176"/>
      <c r="AV166" s="176"/>
      <c r="AW166" s="176"/>
      <c r="AX166" s="176"/>
      <c r="AY166" s="176"/>
      <c r="AZ166" s="176"/>
      <c r="BA166" s="176"/>
      <c r="BB166" s="176"/>
    </row>
    <row r="167" ht="10.8" customHeight="1" spans="1:54">
      <c r="A167" s="280"/>
      <c r="B167" s="281"/>
      <c r="C167" s="282"/>
      <c r="D167" s="250"/>
      <c r="E167" s="282"/>
      <c r="F167" s="282"/>
      <c r="G167" s="282"/>
      <c r="H167" s="282"/>
      <c r="I167" s="282"/>
      <c r="J167" s="282"/>
      <c r="K167" s="282"/>
      <c r="L167" s="282"/>
      <c r="M167" s="282"/>
      <c r="N167" s="283"/>
      <c r="O167" s="282"/>
      <c r="P167" s="282"/>
      <c r="Q167" s="284"/>
      <c r="R167" s="284"/>
      <c r="S167" s="284"/>
      <c r="T167" s="284"/>
      <c r="U167" s="284"/>
      <c r="V167" s="284"/>
      <c r="W167" s="284"/>
      <c r="X167" s="284"/>
      <c r="Y167" s="284"/>
      <c r="Z167" s="284"/>
      <c r="AA167" s="284"/>
      <c r="AB167" s="284"/>
      <c r="AC167" s="284"/>
      <c r="AD167" s="284"/>
      <c r="AE167" s="284"/>
      <c r="AF167" s="284"/>
      <c r="AG167" s="284"/>
      <c r="AH167" s="284"/>
      <c r="AI167" s="284"/>
      <c r="AJ167" s="176"/>
      <c r="AK167" s="176"/>
      <c r="AL167" s="176"/>
      <c r="AM167" s="176"/>
      <c r="AN167" s="176"/>
      <c r="AO167" s="176"/>
      <c r="AP167" s="176"/>
      <c r="AQ167" s="176"/>
      <c r="AR167" s="176"/>
      <c r="AS167" s="176"/>
      <c r="AT167" s="176"/>
      <c r="AU167" s="176"/>
      <c r="AV167" s="176"/>
      <c r="AW167" s="176"/>
      <c r="AX167" s="176"/>
      <c r="AY167" s="176"/>
      <c r="AZ167" s="176"/>
      <c r="BA167" s="176"/>
      <c r="BB167" s="176"/>
    </row>
    <row r="168" ht="10.8" customHeight="1" spans="1:54">
      <c r="A168" s="280"/>
      <c r="B168" s="281"/>
      <c r="C168" s="282"/>
      <c r="D168" s="250"/>
      <c r="E168" s="282"/>
      <c r="F168" s="282"/>
      <c r="G168" s="282"/>
      <c r="H168" s="282"/>
      <c r="I168" s="282"/>
      <c r="J168" s="282"/>
      <c r="K168" s="282"/>
      <c r="L168" s="282"/>
      <c r="M168" s="282"/>
      <c r="N168" s="283"/>
      <c r="O168" s="282"/>
      <c r="P168" s="282"/>
      <c r="Q168" s="284"/>
      <c r="R168" s="284"/>
      <c r="S168" s="284"/>
      <c r="T168" s="284"/>
      <c r="U168" s="284"/>
      <c r="V168" s="284"/>
      <c r="W168" s="284"/>
      <c r="X168" s="284"/>
      <c r="Y168" s="284"/>
      <c r="Z168" s="284"/>
      <c r="AA168" s="284"/>
      <c r="AB168" s="284"/>
      <c r="AC168" s="284"/>
      <c r="AD168" s="284"/>
      <c r="AE168" s="284"/>
      <c r="AF168" s="284"/>
      <c r="AG168" s="284"/>
      <c r="AH168" s="284"/>
      <c r="AI168" s="284"/>
      <c r="AJ168" s="176"/>
      <c r="AK168" s="176"/>
      <c r="AL168" s="176"/>
      <c r="AM168" s="176"/>
      <c r="AN168" s="176"/>
      <c r="AO168" s="176"/>
      <c r="AP168" s="176"/>
      <c r="AQ168" s="176"/>
      <c r="AR168" s="176"/>
      <c r="AS168" s="176"/>
      <c r="AT168" s="176"/>
      <c r="AU168" s="176"/>
      <c r="AV168" s="176"/>
      <c r="AW168" s="176"/>
      <c r="AX168" s="176"/>
      <c r="AY168" s="176"/>
      <c r="AZ168" s="176"/>
      <c r="BA168" s="176"/>
      <c r="BB168" s="176"/>
    </row>
    <row r="169" ht="10.8" customHeight="1" spans="1:54">
      <c r="A169" s="280"/>
      <c r="B169" s="281"/>
      <c r="C169" s="282"/>
      <c r="D169" s="250"/>
      <c r="E169" s="282"/>
      <c r="F169" s="282"/>
      <c r="G169" s="282"/>
      <c r="H169" s="282"/>
      <c r="I169" s="282"/>
      <c r="J169" s="282"/>
      <c r="K169" s="282"/>
      <c r="L169" s="282"/>
      <c r="M169" s="282"/>
      <c r="N169" s="283"/>
      <c r="O169" s="282"/>
      <c r="P169" s="282"/>
      <c r="Q169" s="284"/>
      <c r="R169" s="284"/>
      <c r="S169" s="284"/>
      <c r="T169" s="284"/>
      <c r="U169" s="284"/>
      <c r="V169" s="284"/>
      <c r="W169" s="284"/>
      <c r="X169" s="284"/>
      <c r="Y169" s="284"/>
      <c r="Z169" s="284"/>
      <c r="AA169" s="284"/>
      <c r="AB169" s="284"/>
      <c r="AC169" s="284"/>
      <c r="AD169" s="284"/>
      <c r="AE169" s="284"/>
      <c r="AF169" s="284"/>
      <c r="AG169" s="284"/>
      <c r="AH169" s="284"/>
      <c r="AI169" s="284"/>
      <c r="AJ169" s="176"/>
      <c r="AK169" s="176"/>
      <c r="AL169" s="176"/>
      <c r="AM169" s="176"/>
      <c r="AN169" s="176"/>
      <c r="AO169" s="176"/>
      <c r="AP169" s="176"/>
      <c r="AQ169" s="176"/>
      <c r="AR169" s="176"/>
      <c r="AS169" s="176"/>
      <c r="AT169" s="176"/>
      <c r="AU169" s="176"/>
      <c r="AV169" s="176"/>
      <c r="AW169" s="176"/>
      <c r="AX169" s="176"/>
      <c r="AY169" s="176"/>
      <c r="AZ169" s="176"/>
      <c r="BA169" s="176"/>
      <c r="BB169" s="176"/>
    </row>
    <row r="170" ht="10.8" customHeight="1" spans="1:54">
      <c r="A170" s="280"/>
      <c r="B170" s="281"/>
      <c r="C170" s="282"/>
      <c r="D170" s="250"/>
      <c r="E170" s="282"/>
      <c r="F170" s="282"/>
      <c r="G170" s="282"/>
      <c r="H170" s="282"/>
      <c r="I170" s="282"/>
      <c r="J170" s="282"/>
      <c r="K170" s="282"/>
      <c r="L170" s="282"/>
      <c r="M170" s="282"/>
      <c r="N170" s="283"/>
      <c r="O170" s="282"/>
      <c r="P170" s="282"/>
      <c r="Q170" s="284"/>
      <c r="R170" s="284"/>
      <c r="S170" s="284"/>
      <c r="T170" s="284"/>
      <c r="U170" s="284"/>
      <c r="V170" s="284"/>
      <c r="W170" s="284"/>
      <c r="X170" s="284"/>
      <c r="Y170" s="284"/>
      <c r="Z170" s="284"/>
      <c r="AA170" s="284"/>
      <c r="AB170" s="284"/>
      <c r="AC170" s="284"/>
      <c r="AD170" s="284"/>
      <c r="AE170" s="284"/>
      <c r="AF170" s="284"/>
      <c r="AG170" s="284"/>
      <c r="AH170" s="284"/>
      <c r="AI170" s="284"/>
      <c r="AJ170" s="176"/>
      <c r="AK170" s="176"/>
      <c r="AL170" s="176"/>
      <c r="AM170" s="176"/>
      <c r="AN170" s="176"/>
      <c r="AO170" s="176"/>
      <c r="AP170" s="176"/>
      <c r="AQ170" s="176"/>
      <c r="AR170" s="176"/>
      <c r="AS170" s="176"/>
      <c r="AT170" s="176"/>
      <c r="AU170" s="176"/>
      <c r="AV170" s="176"/>
      <c r="AW170" s="176"/>
      <c r="AX170" s="176"/>
      <c r="AY170" s="176"/>
      <c r="AZ170" s="176"/>
      <c r="BA170" s="176"/>
      <c r="BB170" s="176"/>
    </row>
    <row r="171" ht="10.8" customHeight="1" spans="1:54">
      <c r="A171" s="280"/>
      <c r="B171" s="281"/>
      <c r="C171" s="282"/>
      <c r="D171" s="250"/>
      <c r="E171" s="282"/>
      <c r="F171" s="282"/>
      <c r="G171" s="282"/>
      <c r="H171" s="282"/>
      <c r="I171" s="282"/>
      <c r="J171" s="282"/>
      <c r="K171" s="282"/>
      <c r="L171" s="282"/>
      <c r="M171" s="282"/>
      <c r="N171" s="283"/>
      <c r="O171" s="282"/>
      <c r="P171" s="282"/>
      <c r="Q171" s="284"/>
      <c r="R171" s="284"/>
      <c r="S171" s="284"/>
      <c r="T171" s="284"/>
      <c r="U171" s="284"/>
      <c r="V171" s="284"/>
      <c r="W171" s="284"/>
      <c r="X171" s="284"/>
      <c r="Y171" s="284"/>
      <c r="Z171" s="284"/>
      <c r="AA171" s="284"/>
      <c r="AB171" s="284"/>
      <c r="AC171" s="284"/>
      <c r="AD171" s="284"/>
      <c r="AE171" s="284"/>
      <c r="AF171" s="284"/>
      <c r="AG171" s="284"/>
      <c r="AH171" s="284"/>
      <c r="AI171" s="284"/>
      <c r="AJ171" s="176"/>
      <c r="AK171" s="176"/>
      <c r="AL171" s="176"/>
      <c r="AM171" s="176"/>
      <c r="AN171" s="176"/>
      <c r="AO171" s="176"/>
      <c r="AP171" s="176"/>
      <c r="AQ171" s="176"/>
      <c r="AR171" s="176"/>
      <c r="AS171" s="176"/>
      <c r="AT171" s="176"/>
      <c r="AU171" s="176"/>
      <c r="AV171" s="176"/>
      <c r="AW171" s="176"/>
      <c r="AX171" s="176"/>
      <c r="AY171" s="176"/>
      <c r="AZ171" s="176"/>
      <c r="BA171" s="176"/>
      <c r="BB171" s="176"/>
    </row>
    <row r="172" ht="10.8" customHeight="1" spans="1:54">
      <c r="A172" s="280"/>
      <c r="B172" s="281"/>
      <c r="C172" s="282"/>
      <c r="D172" s="250"/>
      <c r="E172" s="282"/>
      <c r="F172" s="282"/>
      <c r="G172" s="282"/>
      <c r="H172" s="282"/>
      <c r="I172" s="282"/>
      <c r="J172" s="282"/>
      <c r="K172" s="282"/>
      <c r="L172" s="282"/>
      <c r="M172" s="282"/>
      <c r="N172" s="283"/>
      <c r="O172" s="282"/>
      <c r="P172" s="282"/>
      <c r="Q172" s="284"/>
      <c r="R172" s="284"/>
      <c r="S172" s="284"/>
      <c r="T172" s="284"/>
      <c r="U172" s="284"/>
      <c r="V172" s="284"/>
      <c r="W172" s="284"/>
      <c r="X172" s="284"/>
      <c r="Y172" s="284"/>
      <c r="Z172" s="284"/>
      <c r="AA172" s="284"/>
      <c r="AB172" s="284"/>
      <c r="AC172" s="284"/>
      <c r="AD172" s="284"/>
      <c r="AE172" s="284"/>
      <c r="AF172" s="284"/>
      <c r="AG172" s="284"/>
      <c r="AH172" s="284"/>
      <c r="AI172" s="284"/>
      <c r="AJ172" s="176"/>
      <c r="AK172" s="176"/>
      <c r="AL172" s="176"/>
      <c r="AM172" s="176"/>
      <c r="AN172" s="176"/>
      <c r="AO172" s="176"/>
      <c r="AP172" s="176"/>
      <c r="AQ172" s="176"/>
      <c r="AR172" s="176"/>
      <c r="AS172" s="176"/>
      <c r="AT172" s="176"/>
      <c r="AU172" s="176"/>
      <c r="AV172" s="176"/>
      <c r="AW172" s="176"/>
      <c r="AX172" s="176"/>
      <c r="AY172" s="176"/>
      <c r="AZ172" s="176"/>
      <c r="BA172" s="176"/>
      <c r="BB172" s="176"/>
    </row>
    <row r="173" ht="10.8" customHeight="1" spans="1:54">
      <c r="A173" s="280"/>
      <c r="B173" s="281"/>
      <c r="C173" s="282"/>
      <c r="D173" s="250"/>
      <c r="E173" s="282"/>
      <c r="F173" s="282"/>
      <c r="G173" s="282"/>
      <c r="H173" s="282"/>
      <c r="I173" s="282"/>
      <c r="J173" s="282"/>
      <c r="K173" s="282"/>
      <c r="L173" s="282"/>
      <c r="M173" s="282"/>
      <c r="N173" s="283"/>
      <c r="O173" s="282"/>
      <c r="P173" s="282"/>
      <c r="Q173" s="284"/>
      <c r="R173" s="284"/>
      <c r="S173" s="284"/>
      <c r="T173" s="284"/>
      <c r="U173" s="284"/>
      <c r="V173" s="284"/>
      <c r="W173" s="284"/>
      <c r="X173" s="284"/>
      <c r="Y173" s="284"/>
      <c r="Z173" s="284"/>
      <c r="AA173" s="284"/>
      <c r="AB173" s="284"/>
      <c r="AC173" s="284"/>
      <c r="AD173" s="284"/>
      <c r="AE173" s="284"/>
      <c r="AF173" s="284"/>
      <c r="AG173" s="284"/>
      <c r="AH173" s="284"/>
      <c r="AI173" s="284"/>
      <c r="AJ173" s="176"/>
      <c r="AK173" s="176"/>
      <c r="AL173" s="176"/>
      <c r="AM173" s="176"/>
      <c r="AN173" s="176"/>
      <c r="AO173" s="176"/>
      <c r="AP173" s="176"/>
      <c r="AQ173" s="176"/>
      <c r="AR173" s="176"/>
      <c r="AS173" s="176"/>
      <c r="AT173" s="176"/>
      <c r="AU173" s="176"/>
      <c r="AV173" s="176"/>
      <c r="AW173" s="176"/>
      <c r="AX173" s="176"/>
      <c r="AY173" s="176"/>
      <c r="AZ173" s="176"/>
      <c r="BA173" s="176"/>
      <c r="BB173" s="176"/>
    </row>
    <row r="174" ht="10.8" customHeight="1" spans="1:54">
      <c r="A174" s="280"/>
      <c r="B174" s="281"/>
      <c r="C174" s="282"/>
      <c r="D174" s="250"/>
      <c r="E174" s="282"/>
      <c r="F174" s="282"/>
      <c r="G174" s="282"/>
      <c r="H174" s="282"/>
      <c r="I174" s="282"/>
      <c r="J174" s="282"/>
      <c r="K174" s="282"/>
      <c r="L174" s="282"/>
      <c r="M174" s="282"/>
      <c r="N174" s="283"/>
      <c r="O174" s="282"/>
      <c r="P174" s="282"/>
      <c r="Q174" s="284"/>
      <c r="R174" s="284"/>
      <c r="S174" s="284"/>
      <c r="T174" s="284"/>
      <c r="U174" s="284"/>
      <c r="V174" s="284"/>
      <c r="W174" s="284"/>
      <c r="X174" s="284"/>
      <c r="Y174" s="284"/>
      <c r="Z174" s="284"/>
      <c r="AA174" s="284"/>
      <c r="AB174" s="284"/>
      <c r="AC174" s="284"/>
      <c r="AD174" s="284"/>
      <c r="AE174" s="284"/>
      <c r="AF174" s="284"/>
      <c r="AG174" s="284"/>
      <c r="AH174" s="284"/>
      <c r="AI174" s="284"/>
      <c r="AJ174" s="176"/>
      <c r="AK174" s="176"/>
      <c r="AL174" s="176"/>
      <c r="AM174" s="176"/>
      <c r="AN174" s="176"/>
      <c r="AO174" s="176"/>
      <c r="AP174" s="176"/>
      <c r="AQ174" s="176"/>
      <c r="AR174" s="176"/>
      <c r="AS174" s="176"/>
      <c r="AT174" s="176"/>
      <c r="AU174" s="176"/>
      <c r="AV174" s="176"/>
      <c r="AW174" s="176"/>
      <c r="AX174" s="176"/>
      <c r="AY174" s="176"/>
      <c r="AZ174" s="176"/>
      <c r="BA174" s="176"/>
      <c r="BB174" s="176"/>
    </row>
    <row r="175" ht="10.8" customHeight="1" spans="1:54">
      <c r="A175" s="280"/>
      <c r="B175" s="281"/>
      <c r="C175" s="282"/>
      <c r="D175" s="250"/>
      <c r="E175" s="282"/>
      <c r="F175" s="282"/>
      <c r="G175" s="282"/>
      <c r="H175" s="282"/>
      <c r="I175" s="282"/>
      <c r="J175" s="282"/>
      <c r="K175" s="282"/>
      <c r="L175" s="282"/>
      <c r="M175" s="282"/>
      <c r="N175" s="283"/>
      <c r="O175" s="282"/>
      <c r="P175" s="282"/>
      <c r="Q175" s="284"/>
      <c r="R175" s="284"/>
      <c r="S175" s="284"/>
      <c r="T175" s="284"/>
      <c r="U175" s="284"/>
      <c r="V175" s="284"/>
      <c r="W175" s="284"/>
      <c r="X175" s="284"/>
      <c r="Y175" s="284"/>
      <c r="Z175" s="284"/>
      <c r="AA175" s="284"/>
      <c r="AB175" s="284"/>
      <c r="AC175" s="284"/>
      <c r="AD175" s="284"/>
      <c r="AE175" s="284"/>
      <c r="AF175" s="284"/>
      <c r="AG175" s="284"/>
      <c r="AH175" s="284"/>
      <c r="AI175" s="284"/>
      <c r="AJ175" s="176"/>
      <c r="AK175" s="176"/>
      <c r="AL175" s="176"/>
      <c r="AM175" s="176"/>
      <c r="AN175" s="176"/>
      <c r="AO175" s="176"/>
      <c r="AP175" s="176"/>
      <c r="AQ175" s="176"/>
      <c r="AR175" s="176"/>
      <c r="AS175" s="176"/>
      <c r="AT175" s="176"/>
      <c r="AU175" s="176"/>
      <c r="AV175" s="176"/>
      <c r="AW175" s="176"/>
      <c r="AX175" s="176"/>
      <c r="AY175" s="176"/>
      <c r="AZ175" s="176"/>
      <c r="BA175" s="176"/>
      <c r="BB175" s="176"/>
    </row>
    <row r="176" ht="10.8" customHeight="1" spans="1:54">
      <c r="A176" s="280"/>
      <c r="B176" s="281"/>
      <c r="C176" s="282"/>
      <c r="D176" s="250"/>
      <c r="E176" s="282"/>
      <c r="F176" s="282"/>
      <c r="G176" s="282"/>
      <c r="H176" s="282"/>
      <c r="I176" s="282"/>
      <c r="J176" s="282"/>
      <c r="K176" s="282"/>
      <c r="L176" s="282"/>
      <c r="M176" s="282"/>
      <c r="N176" s="283"/>
      <c r="O176" s="282"/>
      <c r="P176" s="282"/>
      <c r="Q176" s="284"/>
      <c r="R176" s="284"/>
      <c r="S176" s="284"/>
      <c r="T176" s="284"/>
      <c r="U176" s="284"/>
      <c r="V176" s="284"/>
      <c r="W176" s="284"/>
      <c r="X176" s="284"/>
      <c r="Y176" s="284"/>
      <c r="Z176" s="284"/>
      <c r="AA176" s="284"/>
      <c r="AB176" s="284"/>
      <c r="AC176" s="284"/>
      <c r="AD176" s="284"/>
      <c r="AE176" s="284"/>
      <c r="AF176" s="284"/>
      <c r="AG176" s="284"/>
      <c r="AH176" s="284"/>
      <c r="AI176" s="284"/>
      <c r="AJ176" s="176"/>
      <c r="AK176" s="176"/>
      <c r="AL176" s="176"/>
      <c r="AM176" s="176"/>
      <c r="AN176" s="176"/>
      <c r="AO176" s="176"/>
      <c r="AP176" s="176"/>
      <c r="AQ176" s="176"/>
      <c r="AR176" s="176"/>
      <c r="AS176" s="176"/>
      <c r="AT176" s="176"/>
      <c r="AU176" s="176"/>
      <c r="AV176" s="176"/>
      <c r="AW176" s="176"/>
      <c r="AX176" s="176"/>
      <c r="AY176" s="176"/>
      <c r="AZ176" s="176"/>
      <c r="BA176" s="176"/>
      <c r="BB176" s="176"/>
    </row>
    <row r="177" ht="10.8" customHeight="1" spans="1:54">
      <c r="A177" s="280"/>
      <c r="B177" s="281"/>
      <c r="C177" s="282"/>
      <c r="D177" s="250"/>
      <c r="E177" s="282"/>
      <c r="F177" s="282"/>
      <c r="G177" s="282"/>
      <c r="H177" s="282"/>
      <c r="I177" s="282"/>
      <c r="J177" s="282"/>
      <c r="K177" s="282"/>
      <c r="L177" s="282"/>
      <c r="M177" s="282"/>
      <c r="N177" s="283"/>
      <c r="O177" s="282"/>
      <c r="P177" s="282"/>
      <c r="Q177" s="284"/>
      <c r="R177" s="284"/>
      <c r="S177" s="284"/>
      <c r="T177" s="284"/>
      <c r="U177" s="284"/>
      <c r="V177" s="284"/>
      <c r="W177" s="284"/>
      <c r="X177" s="284"/>
      <c r="Y177" s="284"/>
      <c r="Z177" s="284"/>
      <c r="AA177" s="284"/>
      <c r="AB177" s="284"/>
      <c r="AC177" s="284"/>
      <c r="AD177" s="284"/>
      <c r="AE177" s="284"/>
      <c r="AF177" s="284"/>
      <c r="AG177" s="284"/>
      <c r="AH177" s="284"/>
      <c r="AI177" s="284"/>
      <c r="AJ177" s="176"/>
      <c r="AK177" s="176"/>
      <c r="AL177" s="176"/>
      <c r="AM177" s="176"/>
      <c r="AN177" s="176"/>
      <c r="AO177" s="176"/>
      <c r="AP177" s="176"/>
      <c r="AQ177" s="176"/>
      <c r="AR177" s="176"/>
      <c r="AS177" s="176"/>
      <c r="AT177" s="176"/>
      <c r="AU177" s="176"/>
      <c r="AV177" s="176"/>
      <c r="AW177" s="176"/>
      <c r="AX177" s="176"/>
      <c r="AY177" s="176"/>
      <c r="AZ177" s="176"/>
      <c r="BA177" s="176"/>
      <c r="BB177" s="176"/>
    </row>
    <row r="178" ht="10.8" customHeight="1" spans="1:54">
      <c r="A178" s="280"/>
      <c r="B178" s="281"/>
      <c r="C178" s="282"/>
      <c r="D178" s="250"/>
      <c r="E178" s="282"/>
      <c r="F178" s="282"/>
      <c r="G178" s="282"/>
      <c r="H178" s="282"/>
      <c r="I178" s="282"/>
      <c r="J178" s="282"/>
      <c r="K178" s="282"/>
      <c r="L178" s="282"/>
      <c r="M178" s="282"/>
      <c r="N178" s="283"/>
      <c r="O178" s="282"/>
      <c r="P178" s="282"/>
      <c r="Q178" s="284"/>
      <c r="R178" s="284"/>
      <c r="S178" s="284"/>
      <c r="T178" s="284"/>
      <c r="U178" s="284"/>
      <c r="V178" s="284"/>
      <c r="W178" s="284"/>
      <c r="X178" s="284"/>
      <c r="Y178" s="284"/>
      <c r="Z178" s="284"/>
      <c r="AA178" s="284"/>
      <c r="AB178" s="284"/>
      <c r="AC178" s="284"/>
      <c r="AD178" s="284"/>
      <c r="AE178" s="284"/>
      <c r="AF178" s="284"/>
      <c r="AG178" s="284"/>
      <c r="AH178" s="284"/>
      <c r="AI178" s="284"/>
      <c r="AJ178" s="176"/>
      <c r="AK178" s="176"/>
      <c r="AL178" s="176"/>
      <c r="AM178" s="176"/>
      <c r="AN178" s="176"/>
      <c r="AO178" s="176"/>
      <c r="AP178" s="176"/>
      <c r="AQ178" s="176"/>
      <c r="AR178" s="176"/>
      <c r="AS178" s="176"/>
      <c r="AT178" s="176"/>
      <c r="AU178" s="176"/>
      <c r="AV178" s="176"/>
      <c r="AW178" s="176"/>
      <c r="AX178" s="176"/>
      <c r="AY178" s="176"/>
      <c r="AZ178" s="176"/>
      <c r="BA178" s="176"/>
      <c r="BB178" s="176"/>
    </row>
    <row r="179" ht="10.8" customHeight="1" spans="1:54">
      <c r="A179" s="280"/>
      <c r="B179" s="281"/>
      <c r="C179" s="282"/>
      <c r="D179" s="250"/>
      <c r="E179" s="282"/>
      <c r="F179" s="282"/>
      <c r="G179" s="282"/>
      <c r="H179" s="282"/>
      <c r="I179" s="282"/>
      <c r="J179" s="282"/>
      <c r="K179" s="282"/>
      <c r="L179" s="282"/>
      <c r="M179" s="282"/>
      <c r="N179" s="283"/>
      <c r="O179" s="282"/>
      <c r="P179" s="282"/>
      <c r="Q179" s="284"/>
      <c r="R179" s="284"/>
      <c r="S179" s="284"/>
      <c r="T179" s="284"/>
      <c r="U179" s="284"/>
      <c r="V179" s="284"/>
      <c r="W179" s="284"/>
      <c r="X179" s="284"/>
      <c r="Y179" s="284"/>
      <c r="Z179" s="284"/>
      <c r="AA179" s="284"/>
      <c r="AB179" s="284"/>
      <c r="AC179" s="284"/>
      <c r="AD179" s="284"/>
      <c r="AE179" s="284"/>
      <c r="AF179" s="284"/>
      <c r="AG179" s="284"/>
      <c r="AH179" s="284"/>
      <c r="AI179" s="284"/>
      <c r="AJ179" s="176"/>
      <c r="AK179" s="176"/>
      <c r="AL179" s="176"/>
      <c r="AM179" s="176"/>
      <c r="AN179" s="176"/>
      <c r="AO179" s="176"/>
      <c r="AP179" s="176"/>
      <c r="AQ179" s="176"/>
      <c r="AR179" s="176"/>
      <c r="AS179" s="176"/>
      <c r="AT179" s="176"/>
      <c r="AU179" s="176"/>
      <c r="AV179" s="176"/>
      <c r="AW179" s="176"/>
      <c r="AX179" s="176"/>
      <c r="AY179" s="176"/>
      <c r="AZ179" s="176"/>
      <c r="BA179" s="176"/>
      <c r="BB179" s="176"/>
    </row>
    <row r="180" ht="10.8" customHeight="1" spans="1:54">
      <c r="A180" s="280"/>
      <c r="B180" s="281"/>
      <c r="C180" s="282"/>
      <c r="D180" s="250"/>
      <c r="E180" s="282"/>
      <c r="F180" s="282"/>
      <c r="G180" s="282"/>
      <c r="H180" s="282"/>
      <c r="I180" s="282"/>
      <c r="J180" s="282"/>
      <c r="K180" s="282"/>
      <c r="L180" s="282"/>
      <c r="M180" s="282"/>
      <c r="N180" s="283"/>
      <c r="O180" s="282"/>
      <c r="P180" s="282"/>
      <c r="Q180" s="284"/>
      <c r="R180" s="284"/>
      <c r="S180" s="284"/>
      <c r="T180" s="284"/>
      <c r="U180" s="284"/>
      <c r="V180" s="284"/>
      <c r="W180" s="284"/>
      <c r="X180" s="284"/>
      <c r="Y180" s="284"/>
      <c r="Z180" s="284"/>
      <c r="AA180" s="284"/>
      <c r="AB180" s="284"/>
      <c r="AC180" s="284"/>
      <c r="AD180" s="284"/>
      <c r="AE180" s="284"/>
      <c r="AF180" s="284"/>
      <c r="AG180" s="284"/>
      <c r="AH180" s="284"/>
      <c r="AI180" s="284"/>
      <c r="AJ180" s="176"/>
      <c r="AK180" s="176"/>
      <c r="AL180" s="176"/>
      <c r="AM180" s="176"/>
      <c r="AN180" s="176"/>
      <c r="AO180" s="176"/>
      <c r="AP180" s="176"/>
      <c r="AQ180" s="176"/>
      <c r="AR180" s="176"/>
      <c r="AS180" s="176"/>
      <c r="AT180" s="176"/>
      <c r="AU180" s="176"/>
      <c r="AV180" s="176"/>
      <c r="AW180" s="176"/>
      <c r="AX180" s="176"/>
      <c r="AY180" s="176"/>
      <c r="AZ180" s="176"/>
      <c r="BA180" s="176"/>
      <c r="BB180" s="176"/>
    </row>
    <row r="181" ht="10.8" customHeight="1" spans="1:54">
      <c r="A181" s="280"/>
      <c r="B181" s="281"/>
      <c r="C181" s="282"/>
      <c r="D181" s="250"/>
      <c r="E181" s="282"/>
      <c r="F181" s="282"/>
      <c r="G181" s="282"/>
      <c r="H181" s="282"/>
      <c r="I181" s="282"/>
      <c r="J181" s="282"/>
      <c r="K181" s="282"/>
      <c r="L181" s="282"/>
      <c r="M181" s="282"/>
      <c r="N181" s="283"/>
      <c r="O181" s="282"/>
      <c r="P181" s="282"/>
      <c r="Q181" s="284"/>
      <c r="R181" s="284"/>
      <c r="S181" s="284"/>
      <c r="T181" s="284"/>
      <c r="U181" s="284"/>
      <c r="V181" s="284"/>
      <c r="W181" s="284"/>
      <c r="X181" s="284"/>
      <c r="Y181" s="284"/>
      <c r="Z181" s="284"/>
      <c r="AA181" s="284"/>
      <c r="AB181" s="284"/>
      <c r="AC181" s="284"/>
      <c r="AD181" s="284"/>
      <c r="AE181" s="284"/>
      <c r="AF181" s="284"/>
      <c r="AG181" s="284"/>
      <c r="AH181" s="284"/>
      <c r="AI181" s="284"/>
      <c r="AJ181" s="176"/>
      <c r="AK181" s="176"/>
      <c r="AL181" s="176"/>
      <c r="AM181" s="176"/>
      <c r="AN181" s="176"/>
      <c r="AO181" s="176"/>
      <c r="AP181" s="176"/>
      <c r="AQ181" s="176"/>
      <c r="AR181" s="176"/>
      <c r="AS181" s="176"/>
      <c r="AT181" s="176"/>
      <c r="AU181" s="176"/>
      <c r="AV181" s="176"/>
      <c r="AW181" s="176"/>
      <c r="AX181" s="176"/>
      <c r="AY181" s="176"/>
      <c r="AZ181" s="176"/>
      <c r="BA181" s="176"/>
      <c r="BB181" s="176"/>
    </row>
    <row r="182" ht="10.8" customHeight="1" spans="1:54">
      <c r="A182" s="280"/>
      <c r="B182" s="281"/>
      <c r="C182" s="282"/>
      <c r="D182" s="250"/>
      <c r="E182" s="282"/>
      <c r="F182" s="282"/>
      <c r="G182" s="282"/>
      <c r="H182" s="282"/>
      <c r="I182" s="282"/>
      <c r="J182" s="282"/>
      <c r="K182" s="282"/>
      <c r="L182" s="282"/>
      <c r="M182" s="282"/>
      <c r="N182" s="283"/>
      <c r="O182" s="282"/>
      <c r="P182" s="282"/>
      <c r="Q182" s="284"/>
      <c r="R182" s="284"/>
      <c r="S182" s="284"/>
      <c r="T182" s="284"/>
      <c r="U182" s="284"/>
      <c r="V182" s="284"/>
      <c r="W182" s="284"/>
      <c r="X182" s="284"/>
      <c r="Y182" s="284"/>
      <c r="Z182" s="284"/>
      <c r="AA182" s="284"/>
      <c r="AB182" s="284"/>
      <c r="AC182" s="284"/>
      <c r="AD182" s="284"/>
      <c r="AE182" s="284"/>
      <c r="AF182" s="284"/>
      <c r="AG182" s="284"/>
      <c r="AH182" s="284"/>
      <c r="AI182" s="284"/>
      <c r="AJ182" s="176"/>
      <c r="AK182" s="176"/>
      <c r="AL182" s="176"/>
      <c r="AM182" s="176"/>
      <c r="AN182" s="176"/>
      <c r="AO182" s="176"/>
      <c r="AP182" s="176"/>
      <c r="AQ182" s="176"/>
      <c r="AR182" s="176"/>
      <c r="AS182" s="176"/>
      <c r="AT182" s="176"/>
      <c r="AU182" s="176"/>
      <c r="AV182" s="176"/>
      <c r="AW182" s="176"/>
      <c r="AX182" s="176"/>
      <c r="AY182" s="176"/>
      <c r="AZ182" s="176"/>
      <c r="BA182" s="176"/>
      <c r="BB182" s="176"/>
    </row>
    <row r="185" ht="10.8" customHeight="1" spans="1:54">
      <c r="A185" s="280"/>
      <c r="B185" s="281"/>
      <c r="C185" s="282"/>
      <c r="D185" s="250"/>
      <c r="E185" s="282"/>
      <c r="F185" s="282"/>
      <c r="G185" s="282"/>
      <c r="H185" s="282"/>
      <c r="I185" s="282"/>
      <c r="J185" s="282"/>
      <c r="K185" s="282"/>
      <c r="L185" s="282"/>
      <c r="M185" s="282"/>
      <c r="N185" s="283"/>
      <c r="O185" s="282"/>
      <c r="P185" s="282"/>
      <c r="Q185" s="284"/>
      <c r="R185" s="284"/>
      <c r="S185" s="284"/>
      <c r="T185" s="284"/>
      <c r="U185" s="284"/>
      <c r="V185" s="284"/>
      <c r="W185" s="284"/>
      <c r="X185" s="284"/>
      <c r="Y185" s="284"/>
      <c r="Z185" s="284"/>
      <c r="AA185" s="284"/>
      <c r="AB185" s="284"/>
      <c r="AC185" s="284"/>
      <c r="AD185" s="284"/>
      <c r="AE185" s="284"/>
      <c r="AF185" s="284"/>
      <c r="AG185" s="284"/>
      <c r="AH185" s="284"/>
      <c r="AI185" s="284"/>
      <c r="AJ185" s="176"/>
      <c r="AK185" s="176"/>
      <c r="AL185" s="176"/>
      <c r="AM185" s="176"/>
      <c r="AN185" s="176"/>
      <c r="AO185" s="176"/>
      <c r="AP185" s="176"/>
      <c r="AQ185" s="176"/>
      <c r="AR185" s="176"/>
      <c r="AS185" s="176"/>
      <c r="AT185" s="176"/>
      <c r="AU185" s="176"/>
      <c r="AV185" s="176"/>
      <c r="AW185" s="176"/>
      <c r="AX185" s="176"/>
      <c r="AY185" s="176"/>
      <c r="AZ185" s="176"/>
      <c r="BA185" s="176"/>
      <c r="BB185" s="176"/>
    </row>
    <row r="186" ht="10.8" customHeight="1" spans="1:54">
      <c r="A186" s="280"/>
      <c r="B186" s="281"/>
      <c r="C186" s="282"/>
      <c r="D186" s="250"/>
      <c r="E186" s="282"/>
      <c r="F186" s="282"/>
      <c r="G186" s="282"/>
      <c r="H186" s="282"/>
      <c r="I186" s="282"/>
      <c r="J186" s="282"/>
      <c r="K186" s="282"/>
      <c r="L186" s="282"/>
      <c r="M186" s="282"/>
      <c r="N186" s="283"/>
      <c r="O186" s="282"/>
      <c r="P186" s="282"/>
      <c r="Q186" s="284"/>
      <c r="R186" s="284"/>
      <c r="S186" s="284"/>
      <c r="T186" s="284"/>
      <c r="U186" s="284"/>
      <c r="V186" s="284"/>
      <c r="W186" s="284"/>
      <c r="X186" s="284"/>
      <c r="Y186" s="284"/>
      <c r="Z186" s="284"/>
      <c r="AA186" s="284"/>
      <c r="AB186" s="284"/>
      <c r="AC186" s="284"/>
      <c r="AD186" s="284"/>
      <c r="AE186" s="284"/>
      <c r="AF186" s="284"/>
      <c r="AG186" s="284"/>
      <c r="AH186" s="284"/>
      <c r="AI186" s="284"/>
      <c r="AJ186" s="176"/>
      <c r="AK186" s="176"/>
      <c r="AL186" s="176"/>
      <c r="AM186" s="176"/>
      <c r="AN186" s="176"/>
      <c r="AO186" s="176"/>
      <c r="AP186" s="176"/>
      <c r="AQ186" s="176"/>
      <c r="AR186" s="176"/>
      <c r="AS186" s="176"/>
      <c r="AT186" s="176"/>
      <c r="AU186" s="176"/>
      <c r="AV186" s="176"/>
      <c r="AW186" s="176"/>
      <c r="AX186" s="176"/>
      <c r="AY186" s="176"/>
      <c r="AZ186" s="176"/>
      <c r="BA186" s="176"/>
      <c r="BB186" s="176"/>
    </row>
    <row r="199" ht="10.8" customHeight="1" spans="1:54">
      <c r="A199" s="280"/>
      <c r="B199" s="281"/>
      <c r="C199" s="282"/>
      <c r="D199" s="250"/>
      <c r="E199" s="282"/>
      <c r="F199" s="282"/>
      <c r="G199" s="282"/>
      <c r="H199" s="282"/>
      <c r="I199" s="282"/>
      <c r="J199" s="282"/>
      <c r="K199" s="282"/>
      <c r="L199" s="282"/>
      <c r="M199" s="282"/>
      <c r="N199" s="283"/>
      <c r="O199" s="282"/>
      <c r="P199" s="282"/>
      <c r="Q199" s="284"/>
      <c r="R199" s="284"/>
      <c r="S199" s="284"/>
      <c r="T199" s="284"/>
      <c r="U199" s="284"/>
      <c r="V199" s="284"/>
      <c r="W199" s="284"/>
      <c r="X199" s="284"/>
      <c r="Y199" s="284"/>
      <c r="Z199" s="284"/>
      <c r="AA199" s="284"/>
      <c r="AB199" s="284"/>
      <c r="AC199" s="284"/>
      <c r="AD199" s="284"/>
      <c r="AE199" s="284"/>
      <c r="AF199" s="284"/>
      <c r="AG199" s="284"/>
      <c r="AH199" s="284"/>
      <c r="AI199" s="284"/>
      <c r="AJ199" s="176"/>
      <c r="AK199" s="176"/>
      <c r="AL199" s="176"/>
      <c r="AM199" s="176"/>
      <c r="AN199" s="176"/>
      <c r="AO199" s="176"/>
      <c r="AP199" s="176"/>
      <c r="AQ199" s="176"/>
      <c r="AR199" s="176"/>
      <c r="AS199" s="176"/>
      <c r="AT199" s="176"/>
      <c r="AU199" s="176"/>
      <c r="AV199" s="176"/>
      <c r="AW199" s="176"/>
      <c r="AX199" s="176"/>
      <c r="AY199" s="176"/>
      <c r="AZ199" s="176"/>
      <c r="BA199" s="176"/>
      <c r="BB199" s="176"/>
    </row>
    <row r="200" ht="10.8" customHeight="1" spans="1:54">
      <c r="A200" s="280"/>
      <c r="B200" s="281"/>
      <c r="C200" s="282"/>
      <c r="D200" s="250"/>
      <c r="E200" s="282"/>
      <c r="F200" s="282"/>
      <c r="G200" s="282"/>
      <c r="H200" s="282"/>
      <c r="I200" s="282"/>
      <c r="J200" s="282"/>
      <c r="K200" s="282"/>
      <c r="L200" s="282"/>
      <c r="M200" s="282"/>
      <c r="N200" s="283"/>
      <c r="O200" s="282"/>
      <c r="P200" s="282"/>
      <c r="Q200" s="284"/>
      <c r="R200" s="284"/>
      <c r="S200" s="284"/>
      <c r="T200" s="284"/>
      <c r="U200" s="284"/>
      <c r="V200" s="284"/>
      <c r="W200" s="284"/>
      <c r="X200" s="284"/>
      <c r="Y200" s="284"/>
      <c r="Z200" s="284"/>
      <c r="AA200" s="284"/>
      <c r="AB200" s="284"/>
      <c r="AC200" s="284"/>
      <c r="AD200" s="284"/>
      <c r="AE200" s="284"/>
      <c r="AF200" s="284"/>
      <c r="AG200" s="284"/>
      <c r="AH200" s="284"/>
      <c r="AI200" s="284"/>
      <c r="AJ200" s="176"/>
      <c r="AK200" s="176"/>
      <c r="AL200" s="176"/>
      <c r="AM200" s="176"/>
      <c r="AN200" s="176"/>
      <c r="AO200" s="176"/>
      <c r="AP200" s="176"/>
      <c r="AQ200" s="176"/>
      <c r="AR200" s="176"/>
      <c r="AS200" s="176"/>
      <c r="AT200" s="176"/>
      <c r="AU200" s="176"/>
      <c r="AV200" s="176"/>
      <c r="AW200" s="176"/>
      <c r="AX200" s="176"/>
      <c r="AY200" s="176"/>
      <c r="AZ200" s="176"/>
      <c r="BA200" s="176"/>
      <c r="BB200" s="176"/>
    </row>
  </sheetData>
  <mergeCells count="11">
    <mergeCell ref="A1:AH1"/>
    <mergeCell ref="F5:P5"/>
    <mergeCell ref="T5:AA5"/>
    <mergeCell ref="AB5:AG5"/>
    <mergeCell ref="A56:B56"/>
    <mergeCell ref="A5:A6"/>
    <mergeCell ref="B5:B6"/>
    <mergeCell ref="D5:D6"/>
    <mergeCell ref="E5:E6"/>
    <mergeCell ref="AH5:AH6"/>
    <mergeCell ref="AI5:AI6"/>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331"/>
  <sheetViews>
    <sheetView workbookViewId="0">
      <selection activeCell="A1" sqref="A1"/>
    </sheetView>
  </sheetViews>
  <sheetFormatPr defaultColWidth="9" defaultRowHeight="16.8"/>
  <cols>
    <col min="1" max="1" width="9.10576923076923" customWidth="1"/>
    <col min="3" max="3" width="5.10576923076923" customWidth="1"/>
    <col min="4" max="4" width="15.8846153846154" customWidth="1"/>
    <col min="5" max="5" width="17" customWidth="1"/>
    <col min="6" max="6" width="6.10576923076923" customWidth="1"/>
    <col min="7" max="7" width="5.66346153846154" customWidth="1"/>
    <col min="8" max="8" width="8.88461538461539" customWidth="1"/>
    <col min="9" max="9" width="7.88461538461539" customWidth="1"/>
    <col min="10" max="10" width="9.33653846153846" customWidth="1"/>
    <col min="11" max="11" width="9.66346153846154" customWidth="1"/>
    <col min="12" max="12" width="8.44230769230769" customWidth="1"/>
    <col min="13" max="13" width="9.10576923076923" customWidth="1"/>
    <col min="14" max="14" width="9.44230769230769" customWidth="1"/>
    <col min="15" max="15" width="8.66346153846154" customWidth="1"/>
    <col min="16" max="16" width="8.33653846153846" customWidth="1"/>
    <col min="17" max="17" width="7.66346153846154" customWidth="1"/>
    <col min="18" max="18" width="10.3365384615385" customWidth="1"/>
    <col min="19" max="19" width="8.10576923076923" customWidth="1"/>
    <col min="20" max="20" width="7.44230769230769" customWidth="1"/>
    <col min="21" max="21" width="8.88461538461539" customWidth="1"/>
    <col min="22" max="22" width="9.88461538461538" customWidth="1"/>
    <col min="24" max="24" width="8" customWidth="1"/>
    <col min="25" max="25" width="9" customWidth="1"/>
    <col min="26" max="26" width="10" customWidth="1"/>
    <col min="27" max="27" width="3.44230769230769" customWidth="1"/>
    <col min="28" max="28" width="8.33653846153846" customWidth="1"/>
    <col min="29" max="29" width="3.44230769230769" customWidth="1"/>
    <col min="30" max="30" width="9.33653846153846" customWidth="1"/>
    <col min="31" max="31" width="7.88461538461539" customWidth="1"/>
    <col min="32" max="32" width="10.4423076923077" customWidth="1"/>
    <col min="33" max="33" width="10.1057692307692" customWidth="1"/>
    <col min="34" max="34" width="7.44230769230769" customWidth="1"/>
    <col min="35" max="35" width="9.88461538461538" customWidth="1"/>
    <col min="36" max="36" width="11.4423076923077" customWidth="1"/>
    <col min="37" max="37" width="8.88461538461539" customWidth="1"/>
    <col min="38" max="38" width="8.44230769230769" customWidth="1"/>
    <col min="39" max="39" width="9" customWidth="1"/>
    <col min="40" max="40" width="9.44230769230769" customWidth="1"/>
    <col min="41" max="41" width="7.66346153846154" customWidth="1"/>
    <col min="44" max="44" width="9" customWidth="1"/>
    <col min="45" max="45" width="7.66346153846154" customWidth="1"/>
    <col min="46" max="46" width="10.6634615384615" customWidth="1"/>
    <col min="47" max="47" width="9.44230769230769" customWidth="1"/>
    <col min="48" max="48" width="13.3365384615385" customWidth="1"/>
    <col min="49" max="49" width="7.66346153846154" customWidth="1"/>
    <col min="55" max="55" width="7.66346153846154" customWidth="1"/>
    <col min="65" max="65" width="9.88461538461538" customWidth="1"/>
    <col min="69" max="69" width="18.3365384615385" customWidth="1"/>
    <col min="70" max="70" width="9.88461538461538" customWidth="1"/>
    <col min="76" max="76" width="9.10576923076923" customWidth="1"/>
  </cols>
  <sheetData>
    <row r="1" ht="31.65" customHeight="1"/>
    <row r="2" ht="59.25" customHeight="1" spans="1:61">
      <c r="C2" s="126" t="s">
        <v>3056</v>
      </c>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BH2" s="1"/>
    </row>
    <row r="3" ht="29.25" customHeight="1" spans="1:61">
      <c r="A3" s="127" t="s">
        <v>3057</v>
      </c>
      <c r="B3" s="127" t="s">
        <v>3058</v>
      </c>
      <c r="C3" s="4" t="s">
        <v>303</v>
      </c>
      <c r="D3" s="5" t="s">
        <v>621</v>
      </c>
      <c r="E3" s="5" t="s">
        <v>3059</v>
      </c>
      <c r="F3" s="128" t="s">
        <v>143</v>
      </c>
      <c r="G3" s="6" t="s">
        <v>725</v>
      </c>
      <c r="H3" s="6" t="s">
        <v>3060</v>
      </c>
      <c r="I3" s="7" t="s">
        <v>3061</v>
      </c>
      <c r="J3" s="8" t="s">
        <v>3062</v>
      </c>
      <c r="K3" s="8" t="s">
        <v>3063</v>
      </c>
      <c r="L3" s="8" t="s">
        <v>3064</v>
      </c>
      <c r="M3" s="8" t="s">
        <v>3065</v>
      </c>
      <c r="N3" s="8" t="s">
        <v>3066</v>
      </c>
      <c r="O3" s="8" t="s">
        <v>3067</v>
      </c>
      <c r="P3" s="8" t="s">
        <v>32</v>
      </c>
      <c r="Q3" s="8" t="s">
        <v>3068</v>
      </c>
      <c r="R3" s="9" t="s">
        <v>607</v>
      </c>
      <c r="S3" s="9" t="s">
        <v>3069</v>
      </c>
      <c r="T3" s="9" t="s">
        <v>205</v>
      </c>
      <c r="U3" s="9" t="s">
        <v>3070</v>
      </c>
      <c r="V3" s="7" t="s">
        <v>633</v>
      </c>
      <c r="W3" s="10" t="s">
        <v>3071</v>
      </c>
      <c r="X3" s="11" t="s">
        <v>3072</v>
      </c>
      <c r="Y3" s="12" t="s">
        <v>3073</v>
      </c>
      <c r="Z3" s="13" t="s">
        <v>3074</v>
      </c>
      <c r="AA3" s="11" t="s">
        <v>3075</v>
      </c>
      <c r="AB3" s="11" t="s">
        <v>3076</v>
      </c>
      <c r="AC3" s="14" t="s">
        <v>3077</v>
      </c>
      <c r="AD3" s="11" t="s">
        <v>374</v>
      </c>
      <c r="AE3" s="129" t="s">
        <v>3078</v>
      </c>
      <c r="AF3" s="130" t="s">
        <v>3079</v>
      </c>
      <c r="AG3" s="15" t="s">
        <v>3080</v>
      </c>
      <c r="AH3" s="18" t="s">
        <v>3081</v>
      </c>
      <c r="AI3" s="131" t="s">
        <v>3082</v>
      </c>
      <c r="AJ3" s="17" t="s">
        <v>3083</v>
      </c>
      <c r="AK3" s="18" t="s">
        <v>374</v>
      </c>
      <c r="AL3" s="19" t="s">
        <v>374</v>
      </c>
      <c r="AM3" s="6" t="s">
        <v>3084</v>
      </c>
      <c r="AN3" s="7" t="s">
        <v>3085</v>
      </c>
      <c r="AO3" s="20" t="s">
        <v>3086</v>
      </c>
      <c r="AP3" s="6" t="s">
        <v>3087</v>
      </c>
      <c r="AQ3" s="6" t="s">
        <v>3088</v>
      </c>
      <c r="AR3" s="21" t="s">
        <v>3089</v>
      </c>
      <c r="AS3" s="22" t="s">
        <v>3090</v>
      </c>
      <c r="AT3" s="23" t="s">
        <v>453</v>
      </c>
      <c r="AU3" s="24" t="s">
        <v>3091</v>
      </c>
      <c r="AV3" s="25" t="s">
        <v>3092</v>
      </c>
      <c r="AZ3" s="26" t="s">
        <v>908</v>
      </c>
      <c r="BC3" s="127"/>
      <c r="BG3" s="127"/>
    </row>
    <row r="4" ht="13.95" customHeight="1" spans="1:61">
      <c r="A4" s="127" t="s">
        <v>945</v>
      </c>
      <c r="B4" s="127" t="s">
        <v>767</v>
      </c>
      <c r="C4" s="30"/>
      <c r="D4" s="132" t="s">
        <v>3093</v>
      </c>
      <c r="E4" s="133" t="s">
        <v>11</v>
      </c>
      <c r="F4" s="134" t="s">
        <v>208</v>
      </c>
      <c r="G4" s="97"/>
      <c r="H4" s="35"/>
      <c r="I4" s="36"/>
      <c r="J4" s="37"/>
      <c r="K4" s="38"/>
      <c r="L4" s="38"/>
      <c r="M4" s="38"/>
      <c r="N4" s="38"/>
      <c r="O4" s="38"/>
      <c r="P4" s="38"/>
      <c r="Q4" s="38"/>
      <c r="R4" s="39"/>
      <c r="S4" s="39"/>
      <c r="T4" s="39"/>
      <c r="U4" s="39"/>
      <c r="V4" s="98">
        <f>SUM(J4:U4)</f>
        <v>0</v>
      </c>
      <c r="W4" s="37"/>
      <c r="X4" s="38"/>
      <c r="Y4" s="38"/>
      <c r="Z4" s="38"/>
      <c r="AA4" s="38"/>
      <c r="AB4" s="38"/>
      <c r="AC4" s="38"/>
      <c r="AD4" s="42"/>
      <c r="AE4" s="98"/>
      <c r="AF4" s="135">
        <f>SUM(W4:AE4)</f>
        <v>0</v>
      </c>
      <c r="AG4" s="43">
        <f>V4+AF4</f>
        <v>0</v>
      </c>
      <c r="AH4" s="41"/>
      <c r="AI4" s="136">
        <f>IF(Z4&gt;0,AG4-Z4,AG4)</f>
        <v>0</v>
      </c>
      <c r="AJ4" s="37"/>
      <c r="AK4" s="41"/>
      <c r="AL4" s="38"/>
      <c r="AM4" s="38"/>
      <c r="AN4" s="40">
        <f>AG4+AJ4-AM4+AL4+AK4</f>
        <v>0</v>
      </c>
      <c r="AO4" s="137"/>
      <c r="AP4" s="138"/>
      <c r="AQ4" s="77">
        <f>AO4-AP4</f>
        <v>0</v>
      </c>
      <c r="AR4" s="44"/>
      <c r="AS4" s="44"/>
      <c r="AT4" s="46">
        <f>AI4-AQ4-AS4</f>
        <v>0</v>
      </c>
      <c r="AU4" s="41"/>
      <c r="AV4" s="139">
        <f>AU4*I4</f>
        <v>0</v>
      </c>
      <c r="AW4" s="49">
        <f>I4*AU4-AV4</f>
        <v>0</v>
      </c>
      <c r="AX4" s="49">
        <f t="shared" ref="AX4:AX16" si="0">SUM(J4:U4)+SUM(W4:AC4)-AG4</f>
        <v>0</v>
      </c>
      <c r="AY4" s="49">
        <f>AT4-AI4</f>
        <v>0</v>
      </c>
      <c r="BB4" s="140" t="s">
        <v>3094</v>
      </c>
      <c r="BC4" s="141"/>
      <c r="BF4" s="49"/>
      <c r="BG4" s="49"/>
      <c r="BI4" s="142"/>
    </row>
    <row r="5" ht="13.95" customHeight="1" spans="1:61">
      <c r="A5" s="127" t="s">
        <v>945</v>
      </c>
      <c r="B5" s="127" t="s">
        <v>767</v>
      </c>
      <c r="C5" s="30"/>
      <c r="D5" s="143"/>
      <c r="E5" s="133" t="s">
        <v>11</v>
      </c>
      <c r="F5" s="134"/>
      <c r="G5" s="97"/>
      <c r="H5" s="35"/>
      <c r="I5" s="36"/>
      <c r="J5" s="37"/>
      <c r="K5" s="38"/>
      <c r="L5" s="38"/>
      <c r="M5" s="38"/>
      <c r="N5" s="38"/>
      <c r="O5" s="38"/>
      <c r="P5" s="38"/>
      <c r="Q5" s="38"/>
      <c r="R5" s="39"/>
      <c r="S5" s="39"/>
      <c r="T5" s="39"/>
      <c r="U5" s="39"/>
      <c r="V5" s="98">
        <f>SUM(J5:U5)</f>
        <v>0</v>
      </c>
      <c r="W5" s="37"/>
      <c r="X5" s="38"/>
      <c r="Y5" s="38"/>
      <c r="Z5" s="38"/>
      <c r="AA5" s="38"/>
      <c r="AB5" s="38"/>
      <c r="AC5" s="38"/>
      <c r="AD5" s="42"/>
      <c r="AE5" s="98"/>
      <c r="AF5" s="135">
        <f>SUM(W5:AE5)</f>
        <v>0</v>
      </c>
      <c r="AG5" s="43">
        <f>V5+AF5</f>
        <v>0</v>
      </c>
      <c r="AH5" s="41"/>
      <c r="AI5" s="136">
        <f>IF(Z5&gt;0,AG5-Z5,AG5)</f>
        <v>0</v>
      </c>
      <c r="AJ5" s="37"/>
      <c r="AK5" s="41"/>
      <c r="AL5" s="38"/>
      <c r="AM5" s="38"/>
      <c r="AN5" s="40">
        <f>AG5+AJ5-AM5+AL5+AK5</f>
        <v>0</v>
      </c>
      <c r="AO5" s="137"/>
      <c r="AP5" s="138"/>
      <c r="AQ5" s="77">
        <f>AO5-AP5</f>
        <v>0</v>
      </c>
      <c r="AR5" s="44"/>
      <c r="AS5" s="44"/>
      <c r="AT5" s="46">
        <f>AI5-AQ5-AS5</f>
        <v>0</v>
      </c>
      <c r="AU5" s="41"/>
      <c r="AV5" s="139"/>
      <c r="AW5" s="49">
        <f>I5*AU5-AV5</f>
        <v>0</v>
      </c>
      <c r="AX5" s="49">
        <f t="shared" si="0"/>
        <v>0</v>
      </c>
      <c r="AY5" s="49">
        <f>AT5-AI5</f>
        <v>0</v>
      </c>
      <c r="BB5" s="33" t="s">
        <v>3095</v>
      </c>
      <c r="BC5" s="141"/>
      <c r="BF5" s="49"/>
      <c r="BG5" s="49"/>
      <c r="BI5" s="142"/>
    </row>
    <row r="6" ht="13.95" customHeight="1" spans="1:61">
      <c r="A6" s="127" t="s">
        <v>733</v>
      </c>
      <c r="B6" s="127" t="s">
        <v>767</v>
      </c>
      <c r="C6" s="144"/>
      <c r="D6" s="145"/>
      <c r="E6" s="146" t="s">
        <v>193</v>
      </c>
      <c r="F6" s="147"/>
      <c r="G6" s="148">
        <f t="shared" ref="G6:AV6" si="1">SUM(G4:G5)</f>
        <v>0</v>
      </c>
      <c r="H6" s="148">
        <f t="shared" si="1"/>
        <v>0</v>
      </c>
      <c r="I6" s="148">
        <f t="shared" si="1"/>
        <v>0</v>
      </c>
      <c r="J6" s="149">
        <f t="shared" si="1"/>
        <v>0</v>
      </c>
      <c r="K6" s="149">
        <f t="shared" si="1"/>
        <v>0</v>
      </c>
      <c r="L6" s="149">
        <f t="shared" si="1"/>
        <v>0</v>
      </c>
      <c r="M6" s="149">
        <f t="shared" si="1"/>
        <v>0</v>
      </c>
      <c r="N6" s="149">
        <f t="shared" si="1"/>
        <v>0</v>
      </c>
      <c r="O6" s="149">
        <f t="shared" si="1"/>
        <v>0</v>
      </c>
      <c r="P6" s="149">
        <f t="shared" si="1"/>
        <v>0</v>
      </c>
      <c r="Q6" s="149">
        <f t="shared" si="1"/>
        <v>0</v>
      </c>
      <c r="R6" s="149">
        <f t="shared" si="1"/>
        <v>0</v>
      </c>
      <c r="S6" s="149">
        <f t="shared" si="1"/>
        <v>0</v>
      </c>
      <c r="T6" s="149">
        <f t="shared" si="1"/>
        <v>0</v>
      </c>
      <c r="U6" s="149">
        <f t="shared" si="1"/>
        <v>0</v>
      </c>
      <c r="V6" s="149">
        <f t="shared" si="1"/>
        <v>0</v>
      </c>
      <c r="W6" s="149">
        <f t="shared" si="1"/>
        <v>0</v>
      </c>
      <c r="X6" s="149">
        <f t="shared" si="1"/>
        <v>0</v>
      </c>
      <c r="Y6" s="149">
        <f t="shared" si="1"/>
        <v>0</v>
      </c>
      <c r="Z6" s="149">
        <f t="shared" si="1"/>
        <v>0</v>
      </c>
      <c r="AA6" s="149">
        <f t="shared" si="1"/>
        <v>0</v>
      </c>
      <c r="AB6" s="149">
        <f t="shared" si="1"/>
        <v>0</v>
      </c>
      <c r="AC6" s="149">
        <f t="shared" si="1"/>
        <v>0</v>
      </c>
      <c r="AD6" s="149">
        <f t="shared" si="1"/>
        <v>0</v>
      </c>
      <c r="AE6" s="149">
        <f t="shared" si="1"/>
        <v>0</v>
      </c>
      <c r="AF6" s="149">
        <f t="shared" si="1"/>
        <v>0</v>
      </c>
      <c r="AG6" s="149">
        <f t="shared" si="1"/>
        <v>0</v>
      </c>
      <c r="AH6" s="149">
        <f t="shared" si="1"/>
        <v>0</v>
      </c>
      <c r="AI6" s="149">
        <f t="shared" si="1"/>
        <v>0</v>
      </c>
      <c r="AJ6" s="149">
        <f t="shared" si="1"/>
        <v>0</v>
      </c>
      <c r="AK6" s="149">
        <f t="shared" si="1"/>
        <v>0</v>
      </c>
      <c r="AL6" s="149">
        <f t="shared" si="1"/>
        <v>0</v>
      </c>
      <c r="AM6" s="149">
        <f t="shared" si="1"/>
        <v>0</v>
      </c>
      <c r="AN6" s="149">
        <f t="shared" si="1"/>
        <v>0</v>
      </c>
      <c r="AO6" s="149">
        <f t="shared" si="1"/>
        <v>0</v>
      </c>
      <c r="AP6" s="149">
        <f t="shared" si="1"/>
        <v>0</v>
      </c>
      <c r="AQ6" s="149">
        <f t="shared" si="1"/>
        <v>0</v>
      </c>
      <c r="AR6" s="149">
        <f t="shared" si="1"/>
        <v>0</v>
      </c>
      <c r="AS6" s="149">
        <f t="shared" si="1"/>
        <v>0</v>
      </c>
      <c r="AT6" s="149">
        <f t="shared" si="1"/>
        <v>0</v>
      </c>
      <c r="AU6" s="149">
        <f t="shared" si="1"/>
        <v>0</v>
      </c>
      <c r="AV6" s="149">
        <f t="shared" si="1"/>
        <v>0</v>
      </c>
      <c r="AX6" s="49">
        <f t="shared" si="0"/>
        <v>0</v>
      </c>
      <c r="BB6" s="33" t="s">
        <v>235</v>
      </c>
      <c r="BC6" s="141"/>
    </row>
    <row r="7" ht="13.95" customHeight="1" spans="1:61">
      <c r="A7" s="127" t="s">
        <v>733</v>
      </c>
      <c r="B7" s="127" t="s">
        <v>767</v>
      </c>
      <c r="C7" s="30"/>
      <c r="D7" s="150" t="s">
        <v>645</v>
      </c>
      <c r="E7" s="133" t="s">
        <v>11</v>
      </c>
      <c r="F7" s="134" t="s">
        <v>235</v>
      </c>
      <c r="G7" s="97"/>
      <c r="H7" s="35"/>
      <c r="I7" s="36"/>
      <c r="J7" s="37"/>
      <c r="K7" s="38"/>
      <c r="L7" s="38"/>
      <c r="M7" s="38"/>
      <c r="N7" s="38"/>
      <c r="O7" s="38"/>
      <c r="P7" s="38"/>
      <c r="Q7" s="38"/>
      <c r="R7" s="39"/>
      <c r="S7" s="39"/>
      <c r="T7" s="39"/>
      <c r="U7" s="39"/>
      <c r="V7" s="98">
        <f t="shared" ref="V7:V17" si="2">SUM(J7:U7)</f>
        <v>0</v>
      </c>
      <c r="W7" s="37"/>
      <c r="X7" s="38"/>
      <c r="Y7" s="38"/>
      <c r="Z7" s="38"/>
      <c r="AA7" s="38"/>
      <c r="AB7" s="38"/>
      <c r="AC7" s="38"/>
      <c r="AD7" s="42"/>
      <c r="AE7" s="98"/>
      <c r="AF7" s="135">
        <f t="shared" ref="AF7:AF17" si="3">SUM(W7:AE7)</f>
        <v>0</v>
      </c>
      <c r="AG7" s="43">
        <f t="shared" ref="AG7:AG17" si="4">V7+AF7</f>
        <v>0</v>
      </c>
      <c r="AH7" s="41"/>
      <c r="AI7" s="136">
        <f t="shared" ref="AI7:AI16" si="5">IF(Z7&gt;0,AG7-Z7,AG7)</f>
        <v>0</v>
      </c>
      <c r="AJ7" s="37"/>
      <c r="AK7" s="41"/>
      <c r="AL7" s="38"/>
      <c r="AM7" s="38"/>
      <c r="AN7" s="40">
        <f t="shared" ref="AN7:AN17" si="6">AG7+AJ7+AL7+AK7</f>
        <v>0</v>
      </c>
      <c r="AO7" s="137">
        <f>INDEX(BC:BC,MATCH(F7,BB:BB,0))</f>
        <v>0</v>
      </c>
      <c r="AP7" s="138"/>
      <c r="AQ7" s="77">
        <f t="shared" ref="AQ7:AQ17" si="7">AO7-AP7</f>
        <v>0</v>
      </c>
      <c r="AR7" s="44"/>
      <c r="AS7" s="44"/>
      <c r="AT7" s="46">
        <f t="shared" ref="AT7:AT17" si="8">AI7-AQ7-AS7</f>
        <v>0</v>
      </c>
      <c r="AU7" s="41"/>
      <c r="AV7" s="139"/>
      <c r="AW7" s="49">
        <f t="shared" ref="AW7:AW16" si="9">I7*AU7-AV7</f>
        <v>0</v>
      </c>
      <c r="AX7" s="49">
        <f t="shared" si="0"/>
        <v>0</v>
      </c>
      <c r="AY7" s="49">
        <f t="shared" ref="AY7:AY16" si="10">AT7-AI7</f>
        <v>0</v>
      </c>
      <c r="BB7" s="140" t="s">
        <v>234</v>
      </c>
      <c r="BC7" s="141"/>
      <c r="BF7" s="49"/>
      <c r="BG7" s="49"/>
      <c r="BI7" s="142"/>
    </row>
    <row r="8" ht="13.95" customHeight="1" spans="1:61">
      <c r="A8" s="127" t="s">
        <v>733</v>
      </c>
      <c r="B8" s="127" t="s">
        <v>767</v>
      </c>
      <c r="C8" s="30"/>
      <c r="D8" s="143"/>
      <c r="E8" s="133" t="s">
        <v>2971</v>
      </c>
      <c r="F8" s="134" t="s">
        <v>230</v>
      </c>
      <c r="G8" s="97"/>
      <c r="H8" s="35"/>
      <c r="I8" s="36"/>
      <c r="J8" s="37"/>
      <c r="K8" s="38"/>
      <c r="L8" s="38"/>
      <c r="M8" s="38"/>
      <c r="N8" s="38"/>
      <c r="O8" s="38"/>
      <c r="P8" s="38"/>
      <c r="Q8" s="38"/>
      <c r="R8" s="39"/>
      <c r="S8" s="39"/>
      <c r="T8" s="39"/>
      <c r="U8" s="39"/>
      <c r="V8" s="98">
        <f t="shared" si="2"/>
        <v>0</v>
      </c>
      <c r="W8" s="37"/>
      <c r="X8" s="38"/>
      <c r="Y8" s="38"/>
      <c r="Z8" s="38"/>
      <c r="AA8" s="38"/>
      <c r="AB8" s="38"/>
      <c r="AC8" s="38"/>
      <c r="AD8" s="42"/>
      <c r="AE8" s="98"/>
      <c r="AF8" s="135">
        <f t="shared" si="3"/>
        <v>0</v>
      </c>
      <c r="AG8" s="43">
        <f t="shared" si="4"/>
        <v>0</v>
      </c>
      <c r="AH8" s="41"/>
      <c r="AI8" s="136">
        <f t="shared" si="5"/>
        <v>0</v>
      </c>
      <c r="AJ8" s="37"/>
      <c r="AK8" s="41"/>
      <c r="AL8" s="38"/>
      <c r="AM8" s="38"/>
      <c r="AN8" s="40">
        <f t="shared" si="6"/>
        <v>0</v>
      </c>
      <c r="AO8" s="137">
        <f>INDEX(BC:BC,MATCH(F8,BB:BB,0))</f>
        <v>0</v>
      </c>
      <c r="AP8" s="138"/>
      <c r="AQ8" s="77">
        <f t="shared" si="7"/>
        <v>0</v>
      </c>
      <c r="AR8" s="44"/>
      <c r="AS8" s="44"/>
      <c r="AT8" s="46">
        <f t="shared" si="8"/>
        <v>0</v>
      </c>
      <c r="AU8" s="41"/>
      <c r="AV8" s="139"/>
      <c r="AW8" s="49">
        <f t="shared" si="9"/>
        <v>0</v>
      </c>
      <c r="AX8" s="49">
        <f t="shared" si="0"/>
        <v>0</v>
      </c>
      <c r="AY8" s="49">
        <f t="shared" si="10"/>
        <v>0</v>
      </c>
      <c r="BB8" s="33" t="s">
        <v>239</v>
      </c>
      <c r="BC8" s="141"/>
      <c r="BF8" s="49"/>
      <c r="BG8" s="49"/>
      <c r="BI8" s="142"/>
    </row>
    <row r="9" ht="13.95" customHeight="1" spans="1:61">
      <c r="A9" s="127" t="s">
        <v>733</v>
      </c>
      <c r="B9" s="127" t="s">
        <v>767</v>
      </c>
      <c r="C9" s="30"/>
      <c r="D9" s="143"/>
      <c r="E9" s="133" t="s">
        <v>11</v>
      </c>
      <c r="F9" s="134" t="s">
        <v>233</v>
      </c>
      <c r="G9" s="97"/>
      <c r="H9" s="35"/>
      <c r="I9" s="36"/>
      <c r="J9" s="37"/>
      <c r="K9" s="38"/>
      <c r="L9" s="38"/>
      <c r="M9" s="38"/>
      <c r="N9" s="38"/>
      <c r="O9" s="38"/>
      <c r="P9" s="38"/>
      <c r="Q9" s="38"/>
      <c r="R9" s="39"/>
      <c r="S9" s="39"/>
      <c r="T9" s="39"/>
      <c r="U9" s="39"/>
      <c r="V9" s="98">
        <f t="shared" si="2"/>
        <v>0</v>
      </c>
      <c r="W9" s="37"/>
      <c r="X9" s="38"/>
      <c r="Y9" s="38"/>
      <c r="Z9" s="38"/>
      <c r="AA9" s="38"/>
      <c r="AB9" s="38"/>
      <c r="AC9" s="38"/>
      <c r="AD9" s="42"/>
      <c r="AE9" s="98"/>
      <c r="AF9" s="135">
        <f t="shared" si="3"/>
        <v>0</v>
      </c>
      <c r="AG9" s="43">
        <f t="shared" si="4"/>
        <v>0</v>
      </c>
      <c r="AH9" s="41"/>
      <c r="AI9" s="136">
        <f t="shared" si="5"/>
        <v>0</v>
      </c>
      <c r="AJ9" s="37"/>
      <c r="AK9" s="41"/>
      <c r="AL9" s="38"/>
      <c r="AM9" s="38"/>
      <c r="AN9" s="40">
        <f t="shared" si="6"/>
        <v>0</v>
      </c>
      <c r="AO9" s="137"/>
      <c r="AP9" s="138"/>
      <c r="AQ9" s="77">
        <f t="shared" si="7"/>
        <v>0</v>
      </c>
      <c r="AR9" s="44"/>
      <c r="AS9" s="44"/>
      <c r="AT9" s="46">
        <f t="shared" si="8"/>
        <v>0</v>
      </c>
      <c r="AU9" s="41"/>
      <c r="AV9" s="139"/>
      <c r="AW9" s="49">
        <f t="shared" si="9"/>
        <v>0</v>
      </c>
      <c r="AX9" s="49">
        <f t="shared" si="0"/>
        <v>0</v>
      </c>
      <c r="AY9" s="49">
        <f t="shared" si="10"/>
        <v>0</v>
      </c>
      <c r="BB9" s="33" t="s">
        <v>3096</v>
      </c>
      <c r="BC9" s="141"/>
      <c r="BF9" s="49"/>
      <c r="BG9" s="49"/>
      <c r="BI9" s="142"/>
    </row>
    <row r="10" ht="13.95" customHeight="1" spans="1:61">
      <c r="A10" s="127" t="s">
        <v>733</v>
      </c>
      <c r="B10" s="127" t="s">
        <v>767</v>
      </c>
      <c r="C10" s="30"/>
      <c r="D10" s="143"/>
      <c r="E10" s="133" t="s">
        <v>11</v>
      </c>
      <c r="F10" s="134" t="s">
        <v>231</v>
      </c>
      <c r="G10" s="97"/>
      <c r="H10" s="35"/>
      <c r="I10" s="36"/>
      <c r="J10" s="37"/>
      <c r="K10" s="38"/>
      <c r="L10" s="38"/>
      <c r="M10" s="38"/>
      <c r="N10" s="38"/>
      <c r="O10" s="38"/>
      <c r="P10" s="38"/>
      <c r="Q10" s="38"/>
      <c r="R10" s="39"/>
      <c r="S10" s="39"/>
      <c r="T10" s="39"/>
      <c r="U10" s="39"/>
      <c r="V10" s="98">
        <f t="shared" si="2"/>
        <v>0</v>
      </c>
      <c r="W10" s="37"/>
      <c r="X10" s="38"/>
      <c r="Y10" s="38"/>
      <c r="Z10" s="38"/>
      <c r="AA10" s="38"/>
      <c r="AB10" s="38"/>
      <c r="AC10" s="38"/>
      <c r="AD10" s="42"/>
      <c r="AE10" s="98"/>
      <c r="AF10" s="135">
        <f t="shared" si="3"/>
        <v>0</v>
      </c>
      <c r="AG10" s="43">
        <f t="shared" si="4"/>
        <v>0</v>
      </c>
      <c r="AH10" s="41"/>
      <c r="AI10" s="136">
        <f t="shared" si="5"/>
        <v>0</v>
      </c>
      <c r="AJ10" s="37"/>
      <c r="AK10" s="41"/>
      <c r="AL10" s="38"/>
      <c r="AM10" s="38"/>
      <c r="AN10" s="40">
        <f t="shared" si="6"/>
        <v>0</v>
      </c>
      <c r="AO10" s="137">
        <f>INDEX(BC:BC,MATCH(F10,BB:BB,0))</f>
        <v>0</v>
      </c>
      <c r="AP10" s="138"/>
      <c r="AQ10" s="77">
        <f t="shared" si="7"/>
        <v>0</v>
      </c>
      <c r="AR10" s="44"/>
      <c r="AS10" s="44"/>
      <c r="AT10" s="46">
        <f t="shared" si="8"/>
        <v>0</v>
      </c>
      <c r="AU10" s="41"/>
      <c r="AV10" s="139"/>
      <c r="AW10" s="49">
        <f t="shared" si="9"/>
        <v>0</v>
      </c>
      <c r="AX10" s="49">
        <f t="shared" si="0"/>
        <v>0</v>
      </c>
      <c r="AY10" s="49">
        <f t="shared" si="10"/>
        <v>0</v>
      </c>
      <c r="BB10" s="134" t="s">
        <v>231</v>
      </c>
      <c r="BC10" s="141"/>
      <c r="BF10" s="49"/>
      <c r="BG10" s="49"/>
      <c r="BI10" s="142"/>
    </row>
    <row r="11" ht="13.95" customHeight="1" spans="1:61">
      <c r="A11" s="127" t="s">
        <v>733</v>
      </c>
      <c r="B11" s="127" t="s">
        <v>767</v>
      </c>
      <c r="C11" s="30"/>
      <c r="D11" s="143"/>
      <c r="E11" s="133" t="s">
        <v>11</v>
      </c>
      <c r="F11" s="134" t="s">
        <v>234</v>
      </c>
      <c r="G11" s="97"/>
      <c r="H11" s="35"/>
      <c r="I11" s="36"/>
      <c r="J11" s="37"/>
      <c r="K11" s="38"/>
      <c r="L11" s="38"/>
      <c r="M11" s="38"/>
      <c r="N11" s="38"/>
      <c r="O11" s="38"/>
      <c r="P11" s="38"/>
      <c r="Q11" s="38"/>
      <c r="R11" s="39"/>
      <c r="S11" s="39"/>
      <c r="T11" s="39"/>
      <c r="U11" s="39"/>
      <c r="V11" s="98">
        <f t="shared" si="2"/>
        <v>0</v>
      </c>
      <c r="W11" s="37"/>
      <c r="X11" s="38"/>
      <c r="Y11" s="38"/>
      <c r="Z11" s="38"/>
      <c r="AA11" s="38"/>
      <c r="AB11" s="38"/>
      <c r="AC11" s="38"/>
      <c r="AD11" s="42"/>
      <c r="AE11" s="98"/>
      <c r="AF11" s="135">
        <f t="shared" si="3"/>
        <v>0</v>
      </c>
      <c r="AG11" s="43">
        <f t="shared" si="4"/>
        <v>0</v>
      </c>
      <c r="AH11" s="41"/>
      <c r="AI11" s="136">
        <f t="shared" si="5"/>
        <v>0</v>
      </c>
      <c r="AJ11" s="37"/>
      <c r="AK11" s="41"/>
      <c r="AL11" s="38"/>
      <c r="AM11" s="38"/>
      <c r="AN11" s="40">
        <f t="shared" si="6"/>
        <v>0</v>
      </c>
      <c r="AO11" s="137">
        <f>INDEX(BC:BC,MATCH(F11,BB:BB,0))</f>
        <v>0</v>
      </c>
      <c r="AP11" s="138"/>
      <c r="AQ11" s="77">
        <f t="shared" si="7"/>
        <v>0</v>
      </c>
      <c r="AR11" s="44"/>
      <c r="AS11" s="44"/>
      <c r="AT11" s="46">
        <f t="shared" si="8"/>
        <v>0</v>
      </c>
      <c r="AU11" s="41"/>
      <c r="AV11" s="139"/>
      <c r="AW11" s="49">
        <f t="shared" si="9"/>
        <v>0</v>
      </c>
      <c r="AX11" s="49">
        <f t="shared" si="0"/>
        <v>0</v>
      </c>
      <c r="AY11" s="49">
        <f t="shared" si="10"/>
        <v>0</v>
      </c>
      <c r="BB11" s="134" t="s">
        <v>230</v>
      </c>
      <c r="BC11" s="141"/>
      <c r="BF11" s="49"/>
      <c r="BG11" s="49"/>
      <c r="BI11" s="142"/>
    </row>
    <row r="12" ht="13.95" customHeight="1" spans="1:61">
      <c r="A12" s="127" t="s">
        <v>733</v>
      </c>
      <c r="B12" s="127" t="s">
        <v>767</v>
      </c>
      <c r="C12" s="30"/>
      <c r="D12" s="143"/>
      <c r="E12" s="133" t="s">
        <v>11</v>
      </c>
      <c r="F12" s="134" t="s">
        <v>232</v>
      </c>
      <c r="G12" s="97"/>
      <c r="H12" s="35"/>
      <c r="I12" s="36"/>
      <c r="J12" s="37"/>
      <c r="K12" s="38"/>
      <c r="L12" s="38"/>
      <c r="M12" s="38"/>
      <c r="N12" s="38"/>
      <c r="O12" s="38"/>
      <c r="P12" s="38"/>
      <c r="Q12" s="38"/>
      <c r="R12" s="39"/>
      <c r="S12" s="39"/>
      <c r="T12" s="39"/>
      <c r="U12" s="39"/>
      <c r="V12" s="98">
        <f t="shared" si="2"/>
        <v>0</v>
      </c>
      <c r="W12" s="37"/>
      <c r="X12" s="38"/>
      <c r="Y12" s="38"/>
      <c r="Z12" s="38"/>
      <c r="AA12" s="38"/>
      <c r="AB12" s="38"/>
      <c r="AC12" s="38"/>
      <c r="AD12" s="42"/>
      <c r="AE12" s="98"/>
      <c r="AF12" s="135">
        <f t="shared" si="3"/>
        <v>0</v>
      </c>
      <c r="AG12" s="43">
        <f t="shared" si="4"/>
        <v>0</v>
      </c>
      <c r="AH12" s="41"/>
      <c r="AI12" s="136">
        <f t="shared" si="5"/>
        <v>0</v>
      </c>
      <c r="AJ12" s="37"/>
      <c r="AK12" s="41"/>
      <c r="AL12" s="38"/>
      <c r="AM12" s="38"/>
      <c r="AN12" s="40">
        <f t="shared" si="6"/>
        <v>0</v>
      </c>
      <c r="AO12" s="137">
        <f>INDEX(BC:BC,MATCH(F12,BB:BB,0))</f>
        <v>0</v>
      </c>
      <c r="AP12" s="138"/>
      <c r="AQ12" s="77">
        <f t="shared" si="7"/>
        <v>0</v>
      </c>
      <c r="AR12" s="44"/>
      <c r="AS12" s="44"/>
      <c r="AT12" s="46">
        <f t="shared" si="8"/>
        <v>0</v>
      </c>
      <c r="AU12" s="41"/>
      <c r="AV12" s="139"/>
      <c r="AW12" s="49">
        <f t="shared" si="9"/>
        <v>0</v>
      </c>
      <c r="AX12" s="49">
        <f t="shared" si="0"/>
        <v>0</v>
      </c>
      <c r="AY12" s="49">
        <f t="shared" si="10"/>
        <v>0</v>
      </c>
      <c r="BB12" s="134" t="s">
        <v>231</v>
      </c>
      <c r="BC12" s="141"/>
      <c r="BF12" s="49"/>
      <c r="BG12" s="49"/>
      <c r="BI12" s="142"/>
    </row>
    <row r="13" ht="13.95" customHeight="1" spans="1:61">
      <c r="A13" s="127" t="s">
        <v>733</v>
      </c>
      <c r="B13" s="127" t="s">
        <v>767</v>
      </c>
      <c r="C13" s="30"/>
      <c r="D13" s="143"/>
      <c r="E13" s="133" t="s">
        <v>11</v>
      </c>
      <c r="F13" s="134" t="s">
        <v>236</v>
      </c>
      <c r="G13" s="97"/>
      <c r="H13" s="35"/>
      <c r="I13" s="36"/>
      <c r="J13" s="37"/>
      <c r="K13" s="38"/>
      <c r="L13" s="38"/>
      <c r="M13" s="38"/>
      <c r="N13" s="38"/>
      <c r="O13" s="38"/>
      <c r="P13" s="38"/>
      <c r="Q13" s="38"/>
      <c r="R13" s="39"/>
      <c r="S13" s="39"/>
      <c r="T13" s="39"/>
      <c r="U13" s="39"/>
      <c r="V13" s="98">
        <f t="shared" si="2"/>
        <v>0</v>
      </c>
      <c r="W13" s="37"/>
      <c r="X13" s="38"/>
      <c r="Y13" s="38"/>
      <c r="Z13" s="38"/>
      <c r="AA13" s="38"/>
      <c r="AB13" s="38"/>
      <c r="AC13" s="38"/>
      <c r="AD13" s="42"/>
      <c r="AE13" s="98"/>
      <c r="AF13" s="135">
        <f t="shared" si="3"/>
        <v>0</v>
      </c>
      <c r="AG13" s="43">
        <f t="shared" si="4"/>
        <v>0</v>
      </c>
      <c r="AH13" s="41"/>
      <c r="AI13" s="136">
        <f t="shared" si="5"/>
        <v>0</v>
      </c>
      <c r="AJ13" s="37"/>
      <c r="AK13" s="41"/>
      <c r="AL13" s="38"/>
      <c r="AM13" s="38"/>
      <c r="AN13" s="40">
        <f t="shared" si="6"/>
        <v>0</v>
      </c>
      <c r="AO13" s="137">
        <f>INDEX(BC:BC,MATCH(F13,BB:BB,0))</f>
        <v>0</v>
      </c>
      <c r="AP13" s="138"/>
      <c r="AQ13" s="77">
        <f t="shared" si="7"/>
        <v>0</v>
      </c>
      <c r="AR13" s="44"/>
      <c r="AS13" s="44"/>
      <c r="AT13" s="46">
        <f t="shared" si="8"/>
        <v>0</v>
      </c>
      <c r="AU13" s="41"/>
      <c r="AV13" s="139"/>
      <c r="AW13" s="49">
        <f t="shared" si="9"/>
        <v>0</v>
      </c>
      <c r="AX13" s="49">
        <f t="shared" si="0"/>
        <v>0</v>
      </c>
      <c r="AY13" s="49">
        <f t="shared" si="10"/>
        <v>0</v>
      </c>
      <c r="BB13" s="134" t="s">
        <v>230</v>
      </c>
      <c r="BC13" s="141"/>
      <c r="BF13" s="49"/>
      <c r="BG13" s="49"/>
      <c r="BI13" s="142"/>
    </row>
    <row r="14" ht="13.95" customHeight="1" spans="1:61">
      <c r="A14" s="127" t="s">
        <v>733</v>
      </c>
      <c r="B14" s="127" t="s">
        <v>767</v>
      </c>
      <c r="C14" s="30"/>
      <c r="D14" s="143"/>
      <c r="E14" s="133" t="s">
        <v>3030</v>
      </c>
      <c r="F14" s="134" t="s">
        <v>3032</v>
      </c>
      <c r="G14" s="97"/>
      <c r="H14" s="35"/>
      <c r="I14" s="36"/>
      <c r="J14" s="37"/>
      <c r="K14" s="38"/>
      <c r="L14" s="38"/>
      <c r="M14" s="38"/>
      <c r="N14" s="38"/>
      <c r="O14" s="38"/>
      <c r="P14" s="38"/>
      <c r="Q14" s="38"/>
      <c r="R14" s="39"/>
      <c r="S14" s="39"/>
      <c r="T14" s="39"/>
      <c r="U14" s="39"/>
      <c r="V14" s="98">
        <f t="shared" si="2"/>
        <v>0</v>
      </c>
      <c r="W14" s="37"/>
      <c r="X14" s="38"/>
      <c r="Y14" s="38"/>
      <c r="Z14" s="38"/>
      <c r="AA14" s="38"/>
      <c r="AB14" s="38"/>
      <c r="AC14" s="38"/>
      <c r="AD14" s="42"/>
      <c r="AE14" s="98"/>
      <c r="AF14" s="135">
        <f t="shared" si="3"/>
        <v>0</v>
      </c>
      <c r="AG14" s="43">
        <f t="shared" si="4"/>
        <v>0</v>
      </c>
      <c r="AH14" s="41"/>
      <c r="AI14" s="136">
        <f t="shared" si="5"/>
        <v>0</v>
      </c>
      <c r="AJ14" s="37"/>
      <c r="AK14" s="41"/>
      <c r="AL14" s="38"/>
      <c r="AM14" s="38"/>
      <c r="AN14" s="40">
        <f t="shared" si="6"/>
        <v>0</v>
      </c>
      <c r="AO14" s="137">
        <f>INDEX(BC:BC,MATCH(F14,BB:BB,0))</f>
        <v>0</v>
      </c>
      <c r="AP14" s="138"/>
      <c r="AQ14" s="77">
        <f t="shared" si="7"/>
        <v>0</v>
      </c>
      <c r="AR14" s="44"/>
      <c r="AS14" s="44"/>
      <c r="AT14" s="46">
        <f t="shared" si="8"/>
        <v>0</v>
      </c>
      <c r="AU14" s="41"/>
      <c r="AV14" s="139"/>
      <c r="AW14" s="49">
        <f t="shared" si="9"/>
        <v>0</v>
      </c>
      <c r="AX14" s="49">
        <f t="shared" si="0"/>
        <v>0</v>
      </c>
      <c r="AY14" s="49">
        <f t="shared" si="10"/>
        <v>0</v>
      </c>
      <c r="BB14" s="134" t="s">
        <v>231</v>
      </c>
      <c r="BC14" s="141"/>
      <c r="BF14" s="49"/>
      <c r="BG14" s="49"/>
      <c r="BI14" s="142"/>
    </row>
    <row r="15" ht="13.95" customHeight="1" spans="1:61">
      <c r="A15" s="127" t="s">
        <v>733</v>
      </c>
      <c r="B15" s="127" t="s">
        <v>767</v>
      </c>
      <c r="C15" s="30"/>
      <c r="D15" s="143"/>
      <c r="E15" s="133"/>
      <c r="F15" s="134" t="s">
        <v>236</v>
      </c>
      <c r="G15" s="97"/>
      <c r="H15" s="35"/>
      <c r="I15" s="36"/>
      <c r="J15" s="37"/>
      <c r="K15" s="38"/>
      <c r="L15" s="38"/>
      <c r="M15" s="38"/>
      <c r="N15" s="38"/>
      <c r="O15" s="38"/>
      <c r="P15" s="38"/>
      <c r="Q15" s="38"/>
      <c r="R15" s="39"/>
      <c r="S15" s="39"/>
      <c r="T15" s="39"/>
      <c r="U15" s="39"/>
      <c r="V15" s="98">
        <f t="shared" si="2"/>
        <v>0</v>
      </c>
      <c r="W15" s="37"/>
      <c r="X15" s="38"/>
      <c r="Y15" s="38"/>
      <c r="Z15" s="38"/>
      <c r="AA15" s="38"/>
      <c r="AB15" s="38"/>
      <c r="AC15" s="38"/>
      <c r="AD15" s="42"/>
      <c r="AE15" s="98"/>
      <c r="AF15" s="135">
        <f t="shared" si="3"/>
        <v>0</v>
      </c>
      <c r="AG15" s="43">
        <f t="shared" si="4"/>
        <v>0</v>
      </c>
      <c r="AH15" s="41"/>
      <c r="AI15" s="136">
        <f t="shared" si="5"/>
        <v>0</v>
      </c>
      <c r="AJ15" s="37"/>
      <c r="AK15" s="41"/>
      <c r="AL15" s="38"/>
      <c r="AM15" s="38"/>
      <c r="AN15" s="40">
        <f t="shared" si="6"/>
        <v>0</v>
      </c>
      <c r="AO15" s="137"/>
      <c r="AP15" s="138"/>
      <c r="AQ15" s="77">
        <f t="shared" si="7"/>
        <v>0</v>
      </c>
      <c r="AR15" s="44"/>
      <c r="AS15" s="44"/>
      <c r="AT15" s="46">
        <f t="shared" si="8"/>
        <v>0</v>
      </c>
      <c r="AU15" s="41"/>
      <c r="AV15" s="139"/>
      <c r="AW15" s="49">
        <f t="shared" si="9"/>
        <v>0</v>
      </c>
      <c r="AX15" s="49">
        <f t="shared" si="0"/>
        <v>0</v>
      </c>
      <c r="AY15" s="49">
        <f t="shared" si="10"/>
        <v>0</v>
      </c>
      <c r="BB15" s="134" t="s">
        <v>230</v>
      </c>
      <c r="BC15" s="141"/>
      <c r="BF15" s="49"/>
      <c r="BG15" s="49"/>
      <c r="BI15" s="142"/>
    </row>
    <row r="16" ht="13.95" customHeight="1" spans="1:61">
      <c r="A16" s="127" t="s">
        <v>733</v>
      </c>
      <c r="B16" s="127" t="s">
        <v>767</v>
      </c>
      <c r="C16" s="30"/>
      <c r="D16" s="143"/>
      <c r="E16" s="133"/>
      <c r="F16" s="134" t="s">
        <v>236</v>
      </c>
      <c r="G16" s="97"/>
      <c r="H16" s="35"/>
      <c r="I16" s="36"/>
      <c r="J16" s="37"/>
      <c r="K16" s="38"/>
      <c r="L16" s="38"/>
      <c r="M16" s="38"/>
      <c r="N16" s="38"/>
      <c r="O16" s="38"/>
      <c r="P16" s="38"/>
      <c r="Q16" s="38"/>
      <c r="R16" s="39"/>
      <c r="S16" s="39"/>
      <c r="T16" s="39"/>
      <c r="U16" s="39"/>
      <c r="V16" s="98">
        <f t="shared" si="2"/>
        <v>0</v>
      </c>
      <c r="W16" s="37"/>
      <c r="X16" s="38"/>
      <c r="Y16" s="38"/>
      <c r="Z16" s="38"/>
      <c r="AA16" s="38"/>
      <c r="AB16" s="38"/>
      <c r="AC16" s="38"/>
      <c r="AD16" s="42"/>
      <c r="AE16" s="98"/>
      <c r="AF16" s="135">
        <f t="shared" si="3"/>
        <v>0</v>
      </c>
      <c r="AG16" s="43">
        <f t="shared" si="4"/>
        <v>0</v>
      </c>
      <c r="AH16" s="41"/>
      <c r="AI16" s="136">
        <f t="shared" si="5"/>
        <v>0</v>
      </c>
      <c r="AJ16" s="37"/>
      <c r="AK16" s="41"/>
      <c r="AL16" s="38"/>
      <c r="AM16" s="38"/>
      <c r="AN16" s="40">
        <f t="shared" si="6"/>
        <v>0</v>
      </c>
      <c r="AO16" s="137"/>
      <c r="AP16" s="138"/>
      <c r="AQ16" s="77">
        <f t="shared" si="7"/>
        <v>0</v>
      </c>
      <c r="AR16" s="44"/>
      <c r="AS16" s="44"/>
      <c r="AT16" s="46">
        <f t="shared" si="8"/>
        <v>0</v>
      </c>
      <c r="AU16" s="41"/>
      <c r="AV16" s="139"/>
      <c r="AW16" s="49">
        <f t="shared" si="9"/>
        <v>0</v>
      </c>
      <c r="AX16" s="49">
        <f t="shared" si="0"/>
        <v>0</v>
      </c>
      <c r="AY16" s="49">
        <f t="shared" si="10"/>
        <v>0</v>
      </c>
      <c r="BB16" s="134" t="s">
        <v>3032</v>
      </c>
      <c r="BC16" s="141"/>
      <c r="BF16" s="49"/>
      <c r="BG16" s="49"/>
      <c r="BI16" s="142"/>
    </row>
    <row r="17" ht="13.95" customHeight="1" spans="1:61">
      <c r="A17" s="127" t="s">
        <v>733</v>
      </c>
      <c r="B17" s="127" t="s">
        <v>767</v>
      </c>
      <c r="C17" s="30"/>
      <c r="D17" s="151"/>
      <c r="E17" s="152" t="s">
        <v>238</v>
      </c>
      <c r="F17" s="33" t="s">
        <v>239</v>
      </c>
      <c r="G17" s="34"/>
      <c r="H17" s="35"/>
      <c r="I17" s="36"/>
      <c r="J17" s="37"/>
      <c r="K17" s="38"/>
      <c r="L17" s="38"/>
      <c r="M17" s="77"/>
      <c r="N17" s="77"/>
      <c r="O17" s="77"/>
      <c r="P17" s="77"/>
      <c r="Q17" s="77"/>
      <c r="R17" s="153"/>
      <c r="S17" s="153"/>
      <c r="T17" s="153"/>
      <c r="U17" s="153"/>
      <c r="V17" s="98">
        <f t="shared" si="2"/>
        <v>0</v>
      </c>
      <c r="W17" s="37"/>
      <c r="X17" s="77"/>
      <c r="Y17" s="77"/>
      <c r="Z17" s="77"/>
      <c r="AA17" s="77"/>
      <c r="AB17" s="38"/>
      <c r="AC17" s="77"/>
      <c r="AD17" s="154"/>
      <c r="AE17" s="40"/>
      <c r="AF17" s="135">
        <f t="shared" si="3"/>
        <v>0</v>
      </c>
      <c r="AG17" s="43">
        <f t="shared" si="4"/>
        <v>0</v>
      </c>
      <c r="AH17" s="41"/>
      <c r="AI17" s="44">
        <f>IF(Z17&gt;0,AG17-Z17,AG17)+AH17</f>
        <v>0</v>
      </c>
      <c r="AJ17" s="37"/>
      <c r="AK17" s="41"/>
      <c r="AL17" s="38"/>
      <c r="AM17" s="77"/>
      <c r="AN17" s="40">
        <f t="shared" si="6"/>
        <v>0</v>
      </c>
      <c r="AO17" s="137"/>
      <c r="AP17" s="138"/>
      <c r="AQ17" s="77">
        <f t="shared" si="7"/>
        <v>0</v>
      </c>
      <c r="AR17" s="155"/>
      <c r="AS17" s="44"/>
      <c r="AT17" s="46">
        <f t="shared" si="8"/>
        <v>0</v>
      </c>
      <c r="AU17" s="47"/>
      <c r="AV17" s="48"/>
      <c r="BB17" s="140" t="s">
        <v>3097</v>
      </c>
      <c r="BC17" s="141"/>
      <c r="BF17" s="49"/>
      <c r="BG17" s="49"/>
      <c r="BI17" s="142"/>
    </row>
    <row r="18" ht="13.95" customHeight="1" spans="1:61">
      <c r="A18" s="127" t="s">
        <v>733</v>
      </c>
      <c r="B18" s="127" t="s">
        <v>767</v>
      </c>
      <c r="C18" s="144"/>
      <c r="D18" s="145"/>
      <c r="E18" s="146" t="s">
        <v>193</v>
      </c>
      <c r="F18" s="147"/>
      <c r="G18" s="148">
        <f t="shared" ref="G18:AJ18" si="11">SUM(G7:G17)</f>
        <v>0</v>
      </c>
      <c r="H18" s="148">
        <f t="shared" si="11"/>
        <v>0</v>
      </c>
      <c r="I18" s="148">
        <f t="shared" si="11"/>
        <v>0</v>
      </c>
      <c r="J18" s="149">
        <f t="shared" si="11"/>
        <v>0</v>
      </c>
      <c r="K18" s="149">
        <f t="shared" si="11"/>
        <v>0</v>
      </c>
      <c r="L18" s="149">
        <f t="shared" si="11"/>
        <v>0</v>
      </c>
      <c r="M18" s="149">
        <f t="shared" si="11"/>
        <v>0</v>
      </c>
      <c r="N18" s="149">
        <f t="shared" si="11"/>
        <v>0</v>
      </c>
      <c r="O18" s="149">
        <f t="shared" si="11"/>
        <v>0</v>
      </c>
      <c r="P18" s="149">
        <f t="shared" si="11"/>
        <v>0</v>
      </c>
      <c r="Q18" s="149">
        <f t="shared" si="11"/>
        <v>0</v>
      </c>
      <c r="R18" s="149">
        <f t="shared" si="11"/>
        <v>0</v>
      </c>
      <c r="S18" s="149">
        <f t="shared" si="11"/>
        <v>0</v>
      </c>
      <c r="T18" s="149">
        <f t="shared" si="11"/>
        <v>0</v>
      </c>
      <c r="U18" s="149">
        <f t="shared" si="11"/>
        <v>0</v>
      </c>
      <c r="V18" s="149">
        <f t="shared" si="11"/>
        <v>0</v>
      </c>
      <c r="W18" s="149">
        <f t="shared" si="11"/>
        <v>0</v>
      </c>
      <c r="X18" s="149">
        <f t="shared" si="11"/>
        <v>0</v>
      </c>
      <c r="Y18" s="149">
        <f t="shared" si="11"/>
        <v>0</v>
      </c>
      <c r="Z18" s="149">
        <f t="shared" si="11"/>
        <v>0</v>
      </c>
      <c r="AA18" s="149">
        <f t="shared" si="11"/>
        <v>0</v>
      </c>
      <c r="AB18" s="149">
        <f t="shared" si="11"/>
        <v>0</v>
      </c>
      <c r="AC18" s="149">
        <f t="shared" si="11"/>
        <v>0</v>
      </c>
      <c r="AD18" s="149">
        <f t="shared" si="11"/>
        <v>0</v>
      </c>
      <c r="AE18" s="149">
        <f t="shared" si="11"/>
        <v>0</v>
      </c>
      <c r="AF18" s="149">
        <f t="shared" si="11"/>
        <v>0</v>
      </c>
      <c r="AG18" s="149">
        <f t="shared" si="11"/>
        <v>0</v>
      </c>
      <c r="AH18" s="149">
        <f t="shared" si="11"/>
        <v>0</v>
      </c>
      <c r="AI18" s="149">
        <f t="shared" si="11"/>
        <v>0</v>
      </c>
      <c r="AJ18" s="149">
        <f t="shared" si="11"/>
        <v>0</v>
      </c>
      <c r="AK18" s="149">
        <f>SUM(AK7:AK16)</f>
        <v>0</v>
      </c>
      <c r="AL18" s="149">
        <f>SUM(AL7:AL16)</f>
        <v>0</v>
      </c>
      <c r="AM18" s="149">
        <f>SUM(AM7:AM16)</f>
        <v>0</v>
      </c>
      <c r="AN18" s="149">
        <f t="shared" ref="AN18:AV18" si="12">SUM(AN7:AN17)</f>
        <v>0</v>
      </c>
      <c r="AO18" s="149">
        <f t="shared" si="12"/>
        <v>0</v>
      </c>
      <c r="AP18" s="149">
        <f t="shared" si="12"/>
        <v>0</v>
      </c>
      <c r="AQ18" s="149">
        <f t="shared" si="12"/>
        <v>0</v>
      </c>
      <c r="AR18" s="149">
        <f t="shared" si="12"/>
        <v>0</v>
      </c>
      <c r="AS18" s="149">
        <f t="shared" si="12"/>
        <v>0</v>
      </c>
      <c r="AT18" s="149">
        <f t="shared" si="12"/>
        <v>0</v>
      </c>
      <c r="AU18" s="149">
        <f t="shared" si="12"/>
        <v>0</v>
      </c>
      <c r="AV18" s="149">
        <f t="shared" si="12"/>
        <v>0</v>
      </c>
      <c r="AX18" s="49">
        <f t="shared" ref="AX18:AX52" si="13">SUM(J18:U18)+SUM(W18:AC18)-AG18</f>
        <v>0</v>
      </c>
      <c r="BB18" s="33" t="s">
        <v>3098</v>
      </c>
      <c r="BC18" s="141"/>
    </row>
    <row r="19" ht="13.95" customHeight="1" spans="1:61">
      <c r="A19" s="127" t="s">
        <v>733</v>
      </c>
      <c r="B19" s="127" t="s">
        <v>767</v>
      </c>
      <c r="C19" s="30"/>
      <c r="D19" s="132" t="s">
        <v>249</v>
      </c>
      <c r="E19" s="133" t="s">
        <v>3030</v>
      </c>
      <c r="F19" s="134" t="s">
        <v>3029</v>
      </c>
      <c r="G19" s="97"/>
      <c r="H19" s="35"/>
      <c r="I19" s="36"/>
      <c r="J19" s="37"/>
      <c r="K19" s="38"/>
      <c r="L19" s="38"/>
      <c r="M19" s="38"/>
      <c r="N19" s="38"/>
      <c r="O19" s="38"/>
      <c r="P19" s="38"/>
      <c r="Q19" s="38"/>
      <c r="R19" s="39"/>
      <c r="S19" s="39"/>
      <c r="T19" s="39"/>
      <c r="U19" s="39"/>
      <c r="V19" s="98">
        <f t="shared" ref="V19:V24" si="14">SUM(J19:U19)</f>
        <v>0</v>
      </c>
      <c r="W19" s="37"/>
      <c r="X19" s="38"/>
      <c r="Y19" s="38"/>
      <c r="Z19" s="38"/>
      <c r="AA19" s="38"/>
      <c r="AB19" s="38"/>
      <c r="AC19" s="38"/>
      <c r="AD19" s="42"/>
      <c r="AE19" s="98"/>
      <c r="AF19" s="135">
        <f t="shared" ref="AF19:AF24" si="15">SUM(W19:AE19)</f>
        <v>0</v>
      </c>
      <c r="AG19" s="43">
        <f t="shared" ref="AG19:AG24" si="16">V19+AF19</f>
        <v>0</v>
      </c>
      <c r="AH19" s="41"/>
      <c r="AI19" s="136">
        <f t="shared" ref="AI19:AI24" si="17">IF(Z19&gt;0,AG19-Z19,AG19)</f>
        <v>0</v>
      </c>
      <c r="AJ19" s="37"/>
      <c r="AK19" s="41"/>
      <c r="AL19" s="38"/>
      <c r="AM19" s="38"/>
      <c r="AN19" s="40">
        <f t="shared" ref="AN19:AN24" si="18">AG19+AJ19+AL19+AK19</f>
        <v>0</v>
      </c>
      <c r="AO19" s="137">
        <f t="shared" ref="AO19:AO24" si="19">INDEX(BC:BC,MATCH(F19,BB:BB,0))</f>
        <v>0</v>
      </c>
      <c r="AP19" s="138"/>
      <c r="AQ19" s="77">
        <f t="shared" ref="AQ19:AQ24" si="20">AO19-AP19</f>
        <v>0</v>
      </c>
      <c r="AR19" s="44"/>
      <c r="AS19" s="44"/>
      <c r="AT19" s="46">
        <f t="shared" ref="AT19:AT24" si="21">AI19-AQ19-AS19</f>
        <v>0</v>
      </c>
      <c r="AU19" s="41"/>
      <c r="AV19" s="139"/>
      <c r="AW19" s="49">
        <f t="shared" ref="AW19:AW24" si="22">I19*AU19-AV19</f>
        <v>0</v>
      </c>
      <c r="AX19" s="49">
        <f t="shared" si="13"/>
        <v>0</v>
      </c>
      <c r="AY19" s="49">
        <f t="shared" ref="AY19:AY24" si="23">AT19-AI19</f>
        <v>0</v>
      </c>
      <c r="BB19" s="140" t="s">
        <v>3029</v>
      </c>
      <c r="BC19" s="141"/>
      <c r="BF19" s="49"/>
      <c r="BG19" s="49"/>
      <c r="BI19" s="142"/>
    </row>
    <row r="20" ht="13.95" customHeight="1" spans="1:61">
      <c r="A20" s="127" t="s">
        <v>733</v>
      </c>
      <c r="B20" s="127" t="s">
        <v>767</v>
      </c>
      <c r="C20" s="30"/>
      <c r="D20" s="143"/>
      <c r="E20" s="133" t="s">
        <v>11</v>
      </c>
      <c r="F20" s="134" t="s">
        <v>250</v>
      </c>
      <c r="G20" s="97"/>
      <c r="H20" s="35"/>
      <c r="I20" s="36"/>
      <c r="J20" s="37"/>
      <c r="K20" s="38"/>
      <c r="L20" s="38"/>
      <c r="M20" s="38"/>
      <c r="N20" s="38"/>
      <c r="O20" s="38"/>
      <c r="P20" s="38"/>
      <c r="Q20" s="38"/>
      <c r="R20" s="39"/>
      <c r="S20" s="39"/>
      <c r="T20" s="39"/>
      <c r="U20" s="39"/>
      <c r="V20" s="98">
        <f t="shared" si="14"/>
        <v>0</v>
      </c>
      <c r="W20" s="37"/>
      <c r="X20" s="38"/>
      <c r="Y20" s="38"/>
      <c r="Z20" s="38"/>
      <c r="AA20" s="38"/>
      <c r="AB20" s="38"/>
      <c r="AC20" s="38"/>
      <c r="AD20" s="42"/>
      <c r="AE20" s="98"/>
      <c r="AF20" s="135">
        <f t="shared" si="15"/>
        <v>0</v>
      </c>
      <c r="AG20" s="43">
        <f t="shared" si="16"/>
        <v>0</v>
      </c>
      <c r="AH20" s="41"/>
      <c r="AI20" s="136">
        <f t="shared" si="17"/>
        <v>0</v>
      </c>
      <c r="AJ20" s="37"/>
      <c r="AK20" s="41"/>
      <c r="AL20" s="38"/>
      <c r="AM20" s="38"/>
      <c r="AN20" s="40">
        <f t="shared" si="18"/>
        <v>0</v>
      </c>
      <c r="AO20" s="137">
        <f t="shared" si="19"/>
        <v>0</v>
      </c>
      <c r="AP20" s="138"/>
      <c r="AQ20" s="77">
        <f t="shared" si="20"/>
        <v>0</v>
      </c>
      <c r="AR20" s="44"/>
      <c r="AS20" s="44"/>
      <c r="AT20" s="46">
        <f t="shared" si="21"/>
        <v>0</v>
      </c>
      <c r="AU20" s="41"/>
      <c r="AV20" s="139"/>
      <c r="AW20" s="49">
        <f t="shared" si="22"/>
        <v>0</v>
      </c>
      <c r="AX20" s="49">
        <f t="shared" si="13"/>
        <v>0</v>
      </c>
      <c r="AY20" s="49">
        <f t="shared" si="23"/>
        <v>0</v>
      </c>
      <c r="BB20" s="33" t="s">
        <v>250</v>
      </c>
      <c r="BC20" s="141"/>
      <c r="BF20" s="49"/>
      <c r="BG20" s="49"/>
      <c r="BI20" s="142"/>
    </row>
    <row r="21" ht="13.95" customHeight="1" spans="1:61">
      <c r="A21" s="127" t="s">
        <v>733</v>
      </c>
      <c r="B21" s="127" t="s">
        <v>767</v>
      </c>
      <c r="C21" s="30"/>
      <c r="D21" s="143"/>
      <c r="E21" s="133" t="s">
        <v>11</v>
      </c>
      <c r="F21" s="134" t="s">
        <v>251</v>
      </c>
      <c r="G21" s="97"/>
      <c r="H21" s="35"/>
      <c r="I21" s="36"/>
      <c r="J21" s="37"/>
      <c r="K21" s="38"/>
      <c r="L21" s="38"/>
      <c r="M21" s="38"/>
      <c r="N21" s="38"/>
      <c r="O21" s="38"/>
      <c r="P21" s="38"/>
      <c r="Q21" s="38"/>
      <c r="R21" s="39"/>
      <c r="S21" s="39"/>
      <c r="T21" s="39"/>
      <c r="U21" s="39"/>
      <c r="V21" s="98">
        <f t="shared" si="14"/>
        <v>0</v>
      </c>
      <c r="W21" s="37"/>
      <c r="X21" s="38"/>
      <c r="Y21" s="38"/>
      <c r="Z21" s="38"/>
      <c r="AA21" s="38"/>
      <c r="AB21" s="38"/>
      <c r="AC21" s="38"/>
      <c r="AD21" s="42"/>
      <c r="AE21" s="98"/>
      <c r="AF21" s="135">
        <f t="shared" si="15"/>
        <v>0</v>
      </c>
      <c r="AG21" s="43">
        <f t="shared" si="16"/>
        <v>0</v>
      </c>
      <c r="AH21" s="41"/>
      <c r="AI21" s="136">
        <f t="shared" si="17"/>
        <v>0</v>
      </c>
      <c r="AJ21" s="37"/>
      <c r="AK21" s="41"/>
      <c r="AL21" s="38"/>
      <c r="AM21" s="38"/>
      <c r="AN21" s="40">
        <f t="shared" si="18"/>
        <v>0</v>
      </c>
      <c r="AO21" s="137">
        <f t="shared" si="19"/>
        <v>0</v>
      </c>
      <c r="AP21" s="138"/>
      <c r="AQ21" s="77">
        <f t="shared" si="20"/>
        <v>0</v>
      </c>
      <c r="AR21" s="44"/>
      <c r="AS21" s="44"/>
      <c r="AT21" s="46">
        <f t="shared" si="21"/>
        <v>0</v>
      </c>
      <c r="AU21" s="41"/>
      <c r="AV21" s="139"/>
      <c r="AW21" s="49">
        <f t="shared" si="22"/>
        <v>0</v>
      </c>
      <c r="AX21" s="49">
        <f t="shared" si="13"/>
        <v>0</v>
      </c>
      <c r="AY21" s="49">
        <f t="shared" si="23"/>
        <v>0</v>
      </c>
      <c r="BB21" s="33" t="s">
        <v>251</v>
      </c>
      <c r="BC21" s="141"/>
      <c r="BF21" s="49"/>
      <c r="BG21" s="49"/>
      <c r="BI21" s="142"/>
    </row>
    <row r="22" ht="13.95" customHeight="1" spans="1:61">
      <c r="A22" s="127" t="s">
        <v>733</v>
      </c>
      <c r="B22" s="127" t="s">
        <v>767</v>
      </c>
      <c r="C22" s="30"/>
      <c r="D22" s="143"/>
      <c r="E22" s="133" t="s">
        <v>11</v>
      </c>
      <c r="F22" s="134" t="s">
        <v>252</v>
      </c>
      <c r="G22" s="97"/>
      <c r="H22" s="35"/>
      <c r="I22" s="36"/>
      <c r="J22" s="37"/>
      <c r="K22" s="38"/>
      <c r="L22" s="38"/>
      <c r="M22" s="38"/>
      <c r="N22" s="38"/>
      <c r="O22" s="38"/>
      <c r="P22" s="38"/>
      <c r="Q22" s="38"/>
      <c r="R22" s="39"/>
      <c r="S22" s="39"/>
      <c r="T22" s="39"/>
      <c r="U22" s="39"/>
      <c r="V22" s="98">
        <f t="shared" si="14"/>
        <v>0</v>
      </c>
      <c r="W22" s="37"/>
      <c r="X22" s="38"/>
      <c r="Y22" s="38"/>
      <c r="Z22" s="38"/>
      <c r="AA22" s="38"/>
      <c r="AB22" s="38"/>
      <c r="AC22" s="38"/>
      <c r="AD22" s="42"/>
      <c r="AE22" s="98"/>
      <c r="AF22" s="135">
        <f t="shared" si="15"/>
        <v>0</v>
      </c>
      <c r="AG22" s="43">
        <f t="shared" si="16"/>
        <v>0</v>
      </c>
      <c r="AH22" s="41"/>
      <c r="AI22" s="136">
        <f t="shared" si="17"/>
        <v>0</v>
      </c>
      <c r="AJ22" s="37"/>
      <c r="AK22" s="41"/>
      <c r="AL22" s="38"/>
      <c r="AM22" s="38"/>
      <c r="AN22" s="40">
        <f t="shared" si="18"/>
        <v>0</v>
      </c>
      <c r="AO22" s="137">
        <f t="shared" si="19"/>
        <v>0</v>
      </c>
      <c r="AP22" s="138"/>
      <c r="AQ22" s="77">
        <f t="shared" si="20"/>
        <v>0</v>
      </c>
      <c r="AR22" s="44"/>
      <c r="AS22" s="44"/>
      <c r="AT22" s="46">
        <f t="shared" si="21"/>
        <v>0</v>
      </c>
      <c r="AU22" s="41"/>
      <c r="AV22" s="139"/>
      <c r="AW22" s="49">
        <f t="shared" si="22"/>
        <v>0</v>
      </c>
      <c r="AX22" s="49">
        <f t="shared" si="13"/>
        <v>0</v>
      </c>
      <c r="AY22" s="49">
        <f t="shared" si="23"/>
        <v>0</v>
      </c>
      <c r="BB22" s="134" t="s">
        <v>252</v>
      </c>
      <c r="BC22" s="141"/>
      <c r="BF22" s="49"/>
      <c r="BG22" s="49"/>
      <c r="BI22" s="142"/>
    </row>
    <row r="23" ht="13.95" customHeight="1" spans="1:61">
      <c r="A23" s="127" t="s">
        <v>733</v>
      </c>
      <c r="B23" s="127" t="s">
        <v>767</v>
      </c>
      <c r="C23" s="30"/>
      <c r="D23" s="143"/>
      <c r="E23" s="133" t="s">
        <v>11</v>
      </c>
      <c r="F23" s="134" t="s">
        <v>236</v>
      </c>
      <c r="G23" s="97"/>
      <c r="H23" s="35"/>
      <c r="I23" s="36"/>
      <c r="J23" s="37"/>
      <c r="K23" s="38"/>
      <c r="L23" s="38"/>
      <c r="M23" s="38"/>
      <c r="N23" s="38"/>
      <c r="O23" s="38"/>
      <c r="P23" s="38"/>
      <c r="Q23" s="38"/>
      <c r="R23" s="39"/>
      <c r="S23" s="39"/>
      <c r="T23" s="39"/>
      <c r="U23" s="39"/>
      <c r="V23" s="98">
        <f t="shared" si="14"/>
        <v>0</v>
      </c>
      <c r="W23" s="37"/>
      <c r="X23" s="38"/>
      <c r="Y23" s="38"/>
      <c r="Z23" s="38"/>
      <c r="AA23" s="38"/>
      <c r="AB23" s="38"/>
      <c r="AC23" s="38"/>
      <c r="AD23" s="42"/>
      <c r="AE23" s="98"/>
      <c r="AF23" s="135">
        <f t="shared" si="15"/>
        <v>0</v>
      </c>
      <c r="AG23" s="43">
        <f t="shared" si="16"/>
        <v>0</v>
      </c>
      <c r="AH23" s="41"/>
      <c r="AI23" s="136">
        <f t="shared" si="17"/>
        <v>0</v>
      </c>
      <c r="AJ23" s="37"/>
      <c r="AK23" s="41"/>
      <c r="AL23" s="38"/>
      <c r="AM23" s="38"/>
      <c r="AN23" s="40">
        <f t="shared" si="18"/>
        <v>0</v>
      </c>
      <c r="AO23" s="137">
        <f t="shared" si="19"/>
        <v>0</v>
      </c>
      <c r="AP23" s="138"/>
      <c r="AQ23" s="77">
        <f t="shared" si="20"/>
        <v>0</v>
      </c>
      <c r="AR23" s="44"/>
      <c r="AS23" s="44"/>
      <c r="AT23" s="46">
        <f t="shared" si="21"/>
        <v>0</v>
      </c>
      <c r="AU23" s="41"/>
      <c r="AV23" s="139"/>
      <c r="AW23" s="49">
        <f t="shared" si="22"/>
        <v>0</v>
      </c>
      <c r="AX23" s="49">
        <f t="shared" si="13"/>
        <v>0</v>
      </c>
      <c r="AY23" s="49">
        <f t="shared" si="23"/>
        <v>0</v>
      </c>
      <c r="BB23" s="134" t="s">
        <v>3099</v>
      </c>
      <c r="BC23" s="141"/>
      <c r="BF23" s="49"/>
      <c r="BG23" s="49"/>
      <c r="BI23" s="142"/>
    </row>
    <row r="24" ht="13.95" customHeight="1" spans="1:61">
      <c r="A24" s="127" t="s">
        <v>733</v>
      </c>
      <c r="B24" s="127" t="s">
        <v>767</v>
      </c>
      <c r="C24" s="30"/>
      <c r="D24" s="143"/>
      <c r="E24" s="133" t="s">
        <v>238</v>
      </c>
      <c r="F24" s="134" t="s">
        <v>253</v>
      </c>
      <c r="G24" s="97"/>
      <c r="H24" s="35"/>
      <c r="I24" s="36"/>
      <c r="J24" s="37"/>
      <c r="K24" s="38"/>
      <c r="L24" s="38"/>
      <c r="M24" s="38"/>
      <c r="N24" s="38"/>
      <c r="O24" s="38"/>
      <c r="P24" s="38"/>
      <c r="Q24" s="38"/>
      <c r="R24" s="39"/>
      <c r="S24" s="39"/>
      <c r="T24" s="39"/>
      <c r="U24" s="39"/>
      <c r="V24" s="98">
        <f t="shared" si="14"/>
        <v>0</v>
      </c>
      <c r="W24" s="37"/>
      <c r="X24" s="38"/>
      <c r="Y24" s="38"/>
      <c r="Z24" s="38"/>
      <c r="AA24" s="38"/>
      <c r="AB24" s="38"/>
      <c r="AC24" s="38"/>
      <c r="AD24" s="42"/>
      <c r="AE24" s="98"/>
      <c r="AF24" s="135">
        <f t="shared" si="15"/>
        <v>0</v>
      </c>
      <c r="AG24" s="43">
        <f t="shared" si="16"/>
        <v>0</v>
      </c>
      <c r="AH24" s="41"/>
      <c r="AI24" s="136">
        <f t="shared" si="17"/>
        <v>0</v>
      </c>
      <c r="AJ24" s="37"/>
      <c r="AK24" s="41"/>
      <c r="AL24" s="38"/>
      <c r="AM24" s="38"/>
      <c r="AN24" s="40">
        <f t="shared" si="18"/>
        <v>0</v>
      </c>
      <c r="AO24" s="137">
        <f t="shared" si="19"/>
        <v>0</v>
      </c>
      <c r="AP24" s="138"/>
      <c r="AQ24" s="77">
        <f t="shared" si="20"/>
        <v>0</v>
      </c>
      <c r="AR24" s="44"/>
      <c r="AS24" s="44"/>
      <c r="AT24" s="46">
        <f t="shared" si="21"/>
        <v>0</v>
      </c>
      <c r="AU24" s="41"/>
      <c r="AV24" s="139"/>
      <c r="AW24" s="49">
        <f t="shared" si="22"/>
        <v>0</v>
      </c>
      <c r="AX24" s="49">
        <f t="shared" si="13"/>
        <v>0</v>
      </c>
      <c r="AY24" s="49">
        <f t="shared" si="23"/>
        <v>0</v>
      </c>
      <c r="BB24" s="134" t="s">
        <v>253</v>
      </c>
      <c r="BC24" s="141"/>
      <c r="BF24" s="49"/>
      <c r="BG24" s="49"/>
      <c r="BI24" s="142"/>
    </row>
    <row r="25" ht="13.95" customHeight="1" spans="1:61">
      <c r="A25" s="127" t="s">
        <v>733</v>
      </c>
      <c r="B25" s="127" t="s">
        <v>767</v>
      </c>
      <c r="C25" s="144"/>
      <c r="D25" s="145"/>
      <c r="E25" s="146" t="s">
        <v>193</v>
      </c>
      <c r="F25" s="147"/>
      <c r="G25" s="148">
        <f t="shared" ref="G25:AV25" si="24">SUM(G19:G24)</f>
        <v>0</v>
      </c>
      <c r="H25" s="148">
        <f t="shared" si="24"/>
        <v>0</v>
      </c>
      <c r="I25" s="148">
        <f t="shared" si="24"/>
        <v>0</v>
      </c>
      <c r="J25" s="149">
        <f t="shared" si="24"/>
        <v>0</v>
      </c>
      <c r="K25" s="149">
        <f t="shared" si="24"/>
        <v>0</v>
      </c>
      <c r="L25" s="149">
        <f t="shared" si="24"/>
        <v>0</v>
      </c>
      <c r="M25" s="149">
        <f t="shared" si="24"/>
        <v>0</v>
      </c>
      <c r="N25" s="149">
        <f t="shared" si="24"/>
        <v>0</v>
      </c>
      <c r="O25" s="149">
        <f t="shared" si="24"/>
        <v>0</v>
      </c>
      <c r="P25" s="149">
        <f t="shared" si="24"/>
        <v>0</v>
      </c>
      <c r="Q25" s="149">
        <f t="shared" si="24"/>
        <v>0</v>
      </c>
      <c r="R25" s="149">
        <f t="shared" si="24"/>
        <v>0</v>
      </c>
      <c r="S25" s="149">
        <f t="shared" si="24"/>
        <v>0</v>
      </c>
      <c r="T25" s="149">
        <f t="shared" si="24"/>
        <v>0</v>
      </c>
      <c r="U25" s="149">
        <f t="shared" si="24"/>
        <v>0</v>
      </c>
      <c r="V25" s="149">
        <f t="shared" si="24"/>
        <v>0</v>
      </c>
      <c r="W25" s="149">
        <f t="shared" si="24"/>
        <v>0</v>
      </c>
      <c r="X25" s="149">
        <f t="shared" si="24"/>
        <v>0</v>
      </c>
      <c r="Y25" s="149">
        <f t="shared" si="24"/>
        <v>0</v>
      </c>
      <c r="Z25" s="149">
        <f t="shared" si="24"/>
        <v>0</v>
      </c>
      <c r="AA25" s="149">
        <f t="shared" si="24"/>
        <v>0</v>
      </c>
      <c r="AB25" s="149">
        <f t="shared" si="24"/>
        <v>0</v>
      </c>
      <c r="AC25" s="149">
        <f t="shared" si="24"/>
        <v>0</v>
      </c>
      <c r="AD25" s="149">
        <f t="shared" si="24"/>
        <v>0</v>
      </c>
      <c r="AE25" s="149">
        <f t="shared" si="24"/>
        <v>0</v>
      </c>
      <c r="AF25" s="149">
        <f t="shared" si="24"/>
        <v>0</v>
      </c>
      <c r="AG25" s="149">
        <f t="shared" si="24"/>
        <v>0</v>
      </c>
      <c r="AH25" s="149">
        <f t="shared" si="24"/>
        <v>0</v>
      </c>
      <c r="AI25" s="149">
        <f t="shared" si="24"/>
        <v>0</v>
      </c>
      <c r="AJ25" s="149">
        <f t="shared" si="24"/>
        <v>0</v>
      </c>
      <c r="AK25" s="149">
        <f t="shared" si="24"/>
        <v>0</v>
      </c>
      <c r="AL25" s="149">
        <f t="shared" si="24"/>
        <v>0</v>
      </c>
      <c r="AM25" s="149">
        <f t="shared" si="24"/>
        <v>0</v>
      </c>
      <c r="AN25" s="149">
        <f t="shared" si="24"/>
        <v>0</v>
      </c>
      <c r="AO25" s="149">
        <f t="shared" si="24"/>
        <v>0</v>
      </c>
      <c r="AP25" s="149">
        <f t="shared" si="24"/>
        <v>0</v>
      </c>
      <c r="AQ25" s="149">
        <f t="shared" si="24"/>
        <v>0</v>
      </c>
      <c r="AR25" s="149">
        <f t="shared" si="24"/>
        <v>0</v>
      </c>
      <c r="AS25" s="149">
        <f t="shared" si="24"/>
        <v>0</v>
      </c>
      <c r="AT25" s="149">
        <f t="shared" si="24"/>
        <v>0</v>
      </c>
      <c r="AU25" s="149">
        <f t="shared" si="24"/>
        <v>0</v>
      </c>
      <c r="AV25" s="149">
        <f t="shared" si="24"/>
        <v>0</v>
      </c>
      <c r="AX25" s="49">
        <f t="shared" si="13"/>
        <v>0</v>
      </c>
      <c r="BB25" s="134" t="s">
        <v>3100</v>
      </c>
      <c r="BC25" s="141"/>
    </row>
    <row r="26" ht="13.95" customHeight="1" spans="1:61">
      <c r="A26" s="127" t="s">
        <v>733</v>
      </c>
      <c r="B26" s="127" t="s">
        <v>767</v>
      </c>
      <c r="C26" s="30"/>
      <c r="D26" s="132" t="s">
        <v>660</v>
      </c>
      <c r="E26" s="133" t="s">
        <v>3026</v>
      </c>
      <c r="F26" s="134" t="s">
        <v>3100</v>
      </c>
      <c r="G26" s="97"/>
      <c r="H26" s="35"/>
      <c r="I26" s="36"/>
      <c r="J26" s="37"/>
      <c r="K26" s="38"/>
      <c r="L26" s="38"/>
      <c r="M26" s="38"/>
      <c r="N26" s="38"/>
      <c r="O26" s="38"/>
      <c r="P26" s="38"/>
      <c r="Q26" s="38"/>
      <c r="R26" s="39"/>
      <c r="S26" s="39"/>
      <c r="T26" s="39"/>
      <c r="U26" s="39"/>
      <c r="V26" s="98">
        <f t="shared" ref="V26:V31" si="25">SUM(J26:U26)</f>
        <v>0</v>
      </c>
      <c r="W26" s="37"/>
      <c r="X26" s="38"/>
      <c r="Y26" s="38"/>
      <c r="Z26" s="38"/>
      <c r="AA26" s="38"/>
      <c r="AB26" s="38"/>
      <c r="AC26" s="38"/>
      <c r="AD26" s="42"/>
      <c r="AE26" s="98"/>
      <c r="AF26" s="135">
        <f t="shared" ref="AF26:AF31" si="26">SUM(W26:AE26)</f>
        <v>0</v>
      </c>
      <c r="AG26" s="43">
        <f t="shared" ref="AG26:AG31" si="27">V26+AF26</f>
        <v>0</v>
      </c>
      <c r="AH26" s="41"/>
      <c r="AI26" s="136">
        <f t="shared" ref="AI26:AI31" si="28">IF(Z26&gt;0,AG26-Z26,AG26)</f>
        <v>0</v>
      </c>
      <c r="AJ26" s="37"/>
      <c r="AK26" s="41"/>
      <c r="AL26" s="38"/>
      <c r="AM26" s="38"/>
      <c r="AN26" s="40">
        <f t="shared" ref="AN26:AN31" si="29">AG26+AJ26+AL26+AK26</f>
        <v>0</v>
      </c>
      <c r="AO26" s="137">
        <f>INDEX(BC:BC,MATCH(F26,BB:BB,0))</f>
        <v>0</v>
      </c>
      <c r="AP26" s="138"/>
      <c r="AQ26" s="77">
        <f t="shared" ref="AQ26:AQ31" si="30">AO26-AP26</f>
        <v>0</v>
      </c>
      <c r="AR26" s="44"/>
      <c r="AS26" s="44"/>
      <c r="AT26" s="46">
        <f t="shared" ref="AT26:AT31" si="31">AI26-AQ26-AS26</f>
        <v>0</v>
      </c>
      <c r="AU26" s="41"/>
      <c r="AV26" s="139"/>
      <c r="AW26" s="49">
        <f t="shared" ref="AW26:AW31" si="32">I26*AU26-AV26</f>
        <v>0</v>
      </c>
      <c r="AX26" s="49">
        <f t="shared" si="13"/>
        <v>0</v>
      </c>
      <c r="AY26" s="49">
        <f t="shared" ref="AY26:AY31" si="33">AT26-AI26</f>
        <v>0</v>
      </c>
      <c r="BB26" s="140" t="s">
        <v>236</v>
      </c>
      <c r="BC26" s="141"/>
      <c r="BF26" s="49"/>
      <c r="BG26" s="49"/>
      <c r="BI26" s="142"/>
    </row>
    <row r="27" ht="13.95" customHeight="1" spans="1:61">
      <c r="A27" s="127" t="s">
        <v>733</v>
      </c>
      <c r="B27" s="127" t="s">
        <v>767</v>
      </c>
      <c r="C27" s="30"/>
      <c r="D27" s="143"/>
      <c r="E27" s="133" t="s">
        <v>11</v>
      </c>
      <c r="F27" s="134" t="s">
        <v>241</v>
      </c>
      <c r="G27" s="97"/>
      <c r="H27" s="35"/>
      <c r="I27" s="36"/>
      <c r="J27" s="37"/>
      <c r="K27" s="38"/>
      <c r="L27" s="38"/>
      <c r="M27" s="38"/>
      <c r="N27" s="38"/>
      <c r="O27" s="38"/>
      <c r="P27" s="38"/>
      <c r="Q27" s="38"/>
      <c r="R27" s="39"/>
      <c r="S27" s="39"/>
      <c r="T27" s="39"/>
      <c r="U27" s="39"/>
      <c r="V27" s="98">
        <f t="shared" si="25"/>
        <v>0</v>
      </c>
      <c r="W27" s="37"/>
      <c r="X27" s="38"/>
      <c r="Y27" s="38"/>
      <c r="Z27" s="38"/>
      <c r="AA27" s="38"/>
      <c r="AB27" s="38"/>
      <c r="AC27" s="38"/>
      <c r="AD27" s="42"/>
      <c r="AE27" s="98"/>
      <c r="AF27" s="135">
        <f t="shared" si="26"/>
        <v>0</v>
      </c>
      <c r="AG27" s="43">
        <f t="shared" si="27"/>
        <v>0</v>
      </c>
      <c r="AH27" s="41"/>
      <c r="AI27" s="136">
        <f t="shared" si="28"/>
        <v>0</v>
      </c>
      <c r="AJ27" s="37"/>
      <c r="AK27" s="41"/>
      <c r="AL27" s="38"/>
      <c r="AM27" s="38"/>
      <c r="AN27" s="40">
        <f t="shared" si="29"/>
        <v>0</v>
      </c>
      <c r="AO27" s="137">
        <f>INDEX(BC:BC,MATCH(F27,BB:BB,0))</f>
        <v>0</v>
      </c>
      <c r="AP27" s="138"/>
      <c r="AQ27" s="77">
        <f t="shared" si="30"/>
        <v>0</v>
      </c>
      <c r="AR27" s="44"/>
      <c r="AS27" s="44"/>
      <c r="AT27" s="46">
        <f t="shared" si="31"/>
        <v>0</v>
      </c>
      <c r="AU27" s="41"/>
      <c r="AV27" s="139"/>
      <c r="AW27" s="49">
        <f t="shared" si="32"/>
        <v>0</v>
      </c>
      <c r="AX27" s="49">
        <f t="shared" si="13"/>
        <v>0</v>
      </c>
      <c r="AY27" s="49">
        <f t="shared" si="33"/>
        <v>0</v>
      </c>
      <c r="BB27" s="33" t="s">
        <v>241</v>
      </c>
      <c r="BC27" s="141"/>
      <c r="BF27" s="49"/>
      <c r="BG27" s="49"/>
      <c r="BI27" s="142"/>
    </row>
    <row r="28" ht="13.95" customHeight="1" spans="1:61">
      <c r="A28" s="127" t="s">
        <v>733</v>
      </c>
      <c r="B28" s="127" t="s">
        <v>767</v>
      </c>
      <c r="C28" s="30"/>
      <c r="D28" s="143"/>
      <c r="E28" s="133" t="s">
        <v>11</v>
      </c>
      <c r="F28" s="134" t="s">
        <v>242</v>
      </c>
      <c r="G28" s="97"/>
      <c r="H28" s="35"/>
      <c r="I28" s="36"/>
      <c r="J28" s="37"/>
      <c r="K28" s="38"/>
      <c r="L28" s="38"/>
      <c r="M28" s="38"/>
      <c r="N28" s="38"/>
      <c r="O28" s="38"/>
      <c r="P28" s="38"/>
      <c r="Q28" s="38"/>
      <c r="R28" s="39"/>
      <c r="S28" s="39"/>
      <c r="T28" s="39"/>
      <c r="U28" s="39"/>
      <c r="V28" s="98">
        <f t="shared" si="25"/>
        <v>0</v>
      </c>
      <c r="W28" s="37"/>
      <c r="X28" s="38"/>
      <c r="Y28" s="38"/>
      <c r="Z28" s="38"/>
      <c r="AA28" s="38"/>
      <c r="AB28" s="38"/>
      <c r="AC28" s="38"/>
      <c r="AD28" s="42"/>
      <c r="AE28" s="98"/>
      <c r="AF28" s="135">
        <f t="shared" si="26"/>
        <v>0</v>
      </c>
      <c r="AG28" s="43">
        <f t="shared" si="27"/>
        <v>0</v>
      </c>
      <c r="AH28" s="41"/>
      <c r="AI28" s="136">
        <f t="shared" si="28"/>
        <v>0</v>
      </c>
      <c r="AJ28" s="37"/>
      <c r="AK28" s="41"/>
      <c r="AL28" s="38"/>
      <c r="AM28" s="38"/>
      <c r="AN28" s="40">
        <f t="shared" si="29"/>
        <v>0</v>
      </c>
      <c r="AO28" s="137">
        <f>INDEX(BC:BC,MATCH(F28,BB:BB,0))</f>
        <v>0</v>
      </c>
      <c r="AP28" s="138"/>
      <c r="AQ28" s="77">
        <f t="shared" si="30"/>
        <v>0</v>
      </c>
      <c r="AR28" s="44"/>
      <c r="AS28" s="44"/>
      <c r="AT28" s="46">
        <f t="shared" si="31"/>
        <v>0</v>
      </c>
      <c r="AU28" s="41"/>
      <c r="AV28" s="139"/>
      <c r="AW28" s="49">
        <f t="shared" si="32"/>
        <v>0</v>
      </c>
      <c r="AX28" s="49">
        <f t="shared" si="13"/>
        <v>0</v>
      </c>
      <c r="AY28" s="49">
        <f t="shared" si="33"/>
        <v>0</v>
      </c>
      <c r="BB28" s="33" t="s">
        <v>242</v>
      </c>
      <c r="BC28" s="141"/>
      <c r="BF28" s="49"/>
      <c r="BG28" s="49"/>
      <c r="BI28" s="142"/>
    </row>
    <row r="29" ht="13.95" customHeight="1" spans="1:61">
      <c r="A29" s="127" t="s">
        <v>733</v>
      </c>
      <c r="B29" s="127" t="s">
        <v>767</v>
      </c>
      <c r="C29" s="30"/>
      <c r="D29" s="143"/>
      <c r="E29" s="133" t="s">
        <v>11</v>
      </c>
      <c r="F29" s="134" t="s">
        <v>243</v>
      </c>
      <c r="G29" s="97"/>
      <c r="H29" s="35"/>
      <c r="I29" s="36"/>
      <c r="J29" s="37"/>
      <c r="K29" s="38"/>
      <c r="L29" s="38"/>
      <c r="M29" s="38"/>
      <c r="N29" s="38"/>
      <c r="O29" s="38"/>
      <c r="P29" s="38"/>
      <c r="Q29" s="38"/>
      <c r="R29" s="39"/>
      <c r="S29" s="39"/>
      <c r="T29" s="39"/>
      <c r="U29" s="39"/>
      <c r="V29" s="98">
        <f t="shared" si="25"/>
        <v>0</v>
      </c>
      <c r="W29" s="37"/>
      <c r="X29" s="38"/>
      <c r="Y29" s="38"/>
      <c r="Z29" s="38"/>
      <c r="AA29" s="38"/>
      <c r="AB29" s="38"/>
      <c r="AC29" s="38"/>
      <c r="AD29" s="42"/>
      <c r="AE29" s="98"/>
      <c r="AF29" s="135">
        <f t="shared" si="26"/>
        <v>0</v>
      </c>
      <c r="AG29" s="43">
        <f t="shared" si="27"/>
        <v>0</v>
      </c>
      <c r="AH29" s="41"/>
      <c r="AI29" s="136">
        <f t="shared" si="28"/>
        <v>0</v>
      </c>
      <c r="AJ29" s="37"/>
      <c r="AK29" s="41"/>
      <c r="AL29" s="38"/>
      <c r="AM29" s="38"/>
      <c r="AN29" s="40">
        <f t="shared" si="29"/>
        <v>0</v>
      </c>
      <c r="AO29" s="137">
        <f>INDEX(BC:BC,MATCH(F29,BB:BB,0))</f>
        <v>0</v>
      </c>
      <c r="AP29" s="138"/>
      <c r="AQ29" s="77">
        <f t="shared" si="30"/>
        <v>0</v>
      </c>
      <c r="AR29" s="44"/>
      <c r="AS29" s="44"/>
      <c r="AT29" s="46">
        <f t="shared" si="31"/>
        <v>0</v>
      </c>
      <c r="AU29" s="41"/>
      <c r="AV29" s="139"/>
      <c r="AW29" s="49">
        <f t="shared" si="32"/>
        <v>0</v>
      </c>
      <c r="AX29" s="49">
        <f t="shared" si="13"/>
        <v>0</v>
      </c>
      <c r="AY29" s="49">
        <f t="shared" si="33"/>
        <v>0</v>
      </c>
      <c r="BB29" s="134" t="s">
        <v>243</v>
      </c>
      <c r="BC29" s="141"/>
      <c r="BF29" s="49"/>
      <c r="BG29" s="49"/>
      <c r="BI29" s="142"/>
    </row>
    <row r="30" ht="13.95" customHeight="1" spans="1:61">
      <c r="A30" s="127" t="s">
        <v>733</v>
      </c>
      <c r="B30" s="127" t="s">
        <v>767</v>
      </c>
      <c r="C30" s="30"/>
      <c r="D30" s="143"/>
      <c r="E30" s="133" t="s">
        <v>11</v>
      </c>
      <c r="F30" s="134" t="s">
        <v>245</v>
      </c>
      <c r="G30" s="97"/>
      <c r="H30" s="35"/>
      <c r="I30" s="36"/>
      <c r="J30" s="37"/>
      <c r="K30" s="38"/>
      <c r="L30" s="38"/>
      <c r="M30" s="38"/>
      <c r="N30" s="38"/>
      <c r="O30" s="38"/>
      <c r="P30" s="38"/>
      <c r="Q30" s="38"/>
      <c r="R30" s="39"/>
      <c r="S30" s="39"/>
      <c r="T30" s="39"/>
      <c r="U30" s="39"/>
      <c r="V30" s="98">
        <f t="shared" si="25"/>
        <v>0</v>
      </c>
      <c r="W30" s="37"/>
      <c r="X30" s="38"/>
      <c r="Y30" s="38"/>
      <c r="Z30" s="38"/>
      <c r="AA30" s="38"/>
      <c r="AB30" s="38"/>
      <c r="AC30" s="38"/>
      <c r="AD30" s="42"/>
      <c r="AE30" s="98"/>
      <c r="AF30" s="135">
        <f t="shared" si="26"/>
        <v>0</v>
      </c>
      <c r="AG30" s="43">
        <f t="shared" si="27"/>
        <v>0</v>
      </c>
      <c r="AH30" s="41"/>
      <c r="AI30" s="136">
        <f t="shared" si="28"/>
        <v>0</v>
      </c>
      <c r="AJ30" s="37"/>
      <c r="AK30" s="41"/>
      <c r="AL30" s="38"/>
      <c r="AM30" s="38"/>
      <c r="AN30" s="40">
        <f t="shared" si="29"/>
        <v>0</v>
      </c>
      <c r="AO30" s="137"/>
      <c r="AP30" s="138"/>
      <c r="AQ30" s="77">
        <f t="shared" si="30"/>
        <v>0</v>
      </c>
      <c r="AR30" s="44"/>
      <c r="AS30" s="44"/>
      <c r="AT30" s="46">
        <f t="shared" si="31"/>
        <v>0</v>
      </c>
      <c r="AU30" s="41"/>
      <c r="AV30" s="139"/>
      <c r="AW30" s="49">
        <f t="shared" si="32"/>
        <v>0</v>
      </c>
      <c r="AX30" s="49">
        <f t="shared" si="13"/>
        <v>0</v>
      </c>
      <c r="AY30" s="49">
        <f t="shared" si="33"/>
        <v>0</v>
      </c>
      <c r="BB30" s="134" t="s">
        <v>243</v>
      </c>
      <c r="BC30" s="141"/>
      <c r="BF30" s="49"/>
      <c r="BG30" s="49"/>
      <c r="BI30" s="142"/>
    </row>
    <row r="31" ht="13.95" customHeight="1" spans="1:61">
      <c r="A31" s="127" t="s">
        <v>733</v>
      </c>
      <c r="B31" s="127" t="s">
        <v>767</v>
      </c>
      <c r="C31" s="30"/>
      <c r="D31" s="143"/>
      <c r="E31" s="133" t="s">
        <v>238</v>
      </c>
      <c r="F31" s="134" t="s">
        <v>248</v>
      </c>
      <c r="G31" s="97"/>
      <c r="H31" s="35"/>
      <c r="I31" s="36"/>
      <c r="J31" s="37"/>
      <c r="K31" s="38"/>
      <c r="L31" s="38"/>
      <c r="M31" s="38"/>
      <c r="N31" s="38"/>
      <c r="O31" s="38"/>
      <c r="P31" s="38"/>
      <c r="Q31" s="38"/>
      <c r="R31" s="39"/>
      <c r="S31" s="39"/>
      <c r="T31" s="39"/>
      <c r="U31" s="39"/>
      <c r="V31" s="98">
        <f t="shared" si="25"/>
        <v>0</v>
      </c>
      <c r="W31" s="37"/>
      <c r="X31" s="38"/>
      <c r="Y31" s="38"/>
      <c r="Z31" s="38"/>
      <c r="AA31" s="38"/>
      <c r="AB31" s="38"/>
      <c r="AC31" s="38"/>
      <c r="AD31" s="42"/>
      <c r="AE31" s="98"/>
      <c r="AF31" s="135">
        <f t="shared" si="26"/>
        <v>0</v>
      </c>
      <c r="AG31" s="43">
        <f t="shared" si="27"/>
        <v>0</v>
      </c>
      <c r="AH31" s="41"/>
      <c r="AI31" s="136">
        <f t="shared" si="28"/>
        <v>0</v>
      </c>
      <c r="AJ31" s="37"/>
      <c r="AK31" s="41"/>
      <c r="AL31" s="38"/>
      <c r="AM31" s="38"/>
      <c r="AN31" s="40">
        <f t="shared" si="29"/>
        <v>0</v>
      </c>
      <c r="AO31" s="137">
        <f>INDEX(BC:BC,MATCH(F31,BB:BB,0))</f>
        <v>0</v>
      </c>
      <c r="AP31" s="138"/>
      <c r="AQ31" s="77">
        <f t="shared" si="30"/>
        <v>0</v>
      </c>
      <c r="AR31" s="44"/>
      <c r="AS31" s="44"/>
      <c r="AT31" s="46">
        <f t="shared" si="31"/>
        <v>0</v>
      </c>
      <c r="AU31" s="41"/>
      <c r="AV31" s="139"/>
      <c r="AW31" s="49">
        <f t="shared" si="32"/>
        <v>0</v>
      </c>
      <c r="AX31" s="49">
        <f t="shared" si="13"/>
        <v>0</v>
      </c>
      <c r="AY31" s="49">
        <f t="shared" si="33"/>
        <v>0</v>
      </c>
      <c r="BB31" s="134" t="s">
        <v>248</v>
      </c>
      <c r="BC31" s="141"/>
      <c r="BF31" s="49"/>
      <c r="BG31" s="49"/>
      <c r="BI31" s="142"/>
    </row>
    <row r="32" ht="13.95" customHeight="1" spans="1:61">
      <c r="A32" s="127" t="s">
        <v>733</v>
      </c>
      <c r="B32" s="127" t="s">
        <v>767</v>
      </c>
      <c r="C32" s="144"/>
      <c r="D32" s="145"/>
      <c r="E32" s="146" t="s">
        <v>193</v>
      </c>
      <c r="F32" s="147"/>
      <c r="G32" s="148">
        <f t="shared" ref="G32:AV32" si="34">SUM(G26:G31)</f>
        <v>0</v>
      </c>
      <c r="H32" s="148">
        <f t="shared" si="34"/>
        <v>0</v>
      </c>
      <c r="I32" s="148">
        <f t="shared" si="34"/>
        <v>0</v>
      </c>
      <c r="J32" s="149">
        <f t="shared" si="34"/>
        <v>0</v>
      </c>
      <c r="K32" s="149">
        <f t="shared" si="34"/>
        <v>0</v>
      </c>
      <c r="L32" s="149">
        <f t="shared" si="34"/>
        <v>0</v>
      </c>
      <c r="M32" s="149">
        <f t="shared" si="34"/>
        <v>0</v>
      </c>
      <c r="N32" s="149">
        <f t="shared" si="34"/>
        <v>0</v>
      </c>
      <c r="O32" s="149">
        <f t="shared" si="34"/>
        <v>0</v>
      </c>
      <c r="P32" s="149">
        <f t="shared" si="34"/>
        <v>0</v>
      </c>
      <c r="Q32" s="149">
        <f t="shared" si="34"/>
        <v>0</v>
      </c>
      <c r="R32" s="149">
        <f t="shared" si="34"/>
        <v>0</v>
      </c>
      <c r="S32" s="149">
        <f t="shared" si="34"/>
        <v>0</v>
      </c>
      <c r="T32" s="149">
        <f t="shared" si="34"/>
        <v>0</v>
      </c>
      <c r="U32" s="149">
        <f t="shared" si="34"/>
        <v>0</v>
      </c>
      <c r="V32" s="149">
        <f t="shared" si="34"/>
        <v>0</v>
      </c>
      <c r="W32" s="149">
        <f t="shared" si="34"/>
        <v>0</v>
      </c>
      <c r="X32" s="149">
        <f t="shared" si="34"/>
        <v>0</v>
      </c>
      <c r="Y32" s="149">
        <f t="shared" si="34"/>
        <v>0</v>
      </c>
      <c r="Z32" s="149">
        <f t="shared" si="34"/>
        <v>0</v>
      </c>
      <c r="AA32" s="149">
        <f t="shared" si="34"/>
        <v>0</v>
      </c>
      <c r="AB32" s="149">
        <f t="shared" si="34"/>
        <v>0</v>
      </c>
      <c r="AC32" s="149">
        <f t="shared" si="34"/>
        <v>0</v>
      </c>
      <c r="AD32" s="149">
        <f t="shared" si="34"/>
        <v>0</v>
      </c>
      <c r="AE32" s="149">
        <f t="shared" si="34"/>
        <v>0</v>
      </c>
      <c r="AF32" s="149">
        <f t="shared" si="34"/>
        <v>0</v>
      </c>
      <c r="AG32" s="149">
        <f t="shared" si="34"/>
        <v>0</v>
      </c>
      <c r="AH32" s="149">
        <f t="shared" si="34"/>
        <v>0</v>
      </c>
      <c r="AI32" s="149">
        <f t="shared" si="34"/>
        <v>0</v>
      </c>
      <c r="AJ32" s="149">
        <f t="shared" si="34"/>
        <v>0</v>
      </c>
      <c r="AK32" s="149">
        <f t="shared" si="34"/>
        <v>0</v>
      </c>
      <c r="AL32" s="149">
        <f t="shared" si="34"/>
        <v>0</v>
      </c>
      <c r="AM32" s="149">
        <f t="shared" si="34"/>
        <v>0</v>
      </c>
      <c r="AN32" s="149">
        <f t="shared" si="34"/>
        <v>0</v>
      </c>
      <c r="AO32" s="149">
        <f t="shared" si="34"/>
        <v>0</v>
      </c>
      <c r="AP32" s="149">
        <f t="shared" si="34"/>
        <v>0</v>
      </c>
      <c r="AQ32" s="149">
        <f t="shared" si="34"/>
        <v>0</v>
      </c>
      <c r="AR32" s="149">
        <f t="shared" si="34"/>
        <v>0</v>
      </c>
      <c r="AS32" s="149">
        <f t="shared" si="34"/>
        <v>0</v>
      </c>
      <c r="AT32" s="149">
        <f t="shared" si="34"/>
        <v>0</v>
      </c>
      <c r="AU32" s="149">
        <f t="shared" si="34"/>
        <v>0</v>
      </c>
      <c r="AV32" s="149">
        <f t="shared" si="34"/>
        <v>0</v>
      </c>
      <c r="AX32" s="49">
        <f t="shared" si="13"/>
        <v>0</v>
      </c>
      <c r="BB32" s="134" t="s">
        <v>258</v>
      </c>
      <c r="BC32" s="141"/>
    </row>
    <row r="33" ht="13.95" customHeight="1" spans="1:61">
      <c r="A33" s="127" t="s">
        <v>733</v>
      </c>
      <c r="B33" s="127" t="s">
        <v>767</v>
      </c>
      <c r="C33" s="30"/>
      <c r="D33" s="132" t="s">
        <v>667</v>
      </c>
      <c r="E33" s="133" t="s">
        <v>3101</v>
      </c>
      <c r="F33" s="134" t="s">
        <v>3025</v>
      </c>
      <c r="G33" s="97"/>
      <c r="H33" s="35"/>
      <c r="I33" s="36"/>
      <c r="J33" s="37"/>
      <c r="K33" s="38"/>
      <c r="L33" s="38"/>
      <c r="M33" s="38"/>
      <c r="N33" s="38"/>
      <c r="O33" s="38"/>
      <c r="P33" s="38"/>
      <c r="Q33" s="38"/>
      <c r="R33" s="39"/>
      <c r="S33" s="39"/>
      <c r="T33" s="39"/>
      <c r="U33" s="39"/>
      <c r="V33" s="98">
        <f t="shared" ref="V33:V41" si="35">SUM(J33:U33)</f>
        <v>0</v>
      </c>
      <c r="W33" s="37"/>
      <c r="X33" s="38"/>
      <c r="Y33" s="38"/>
      <c r="Z33" s="38"/>
      <c r="AA33" s="38"/>
      <c r="AB33" s="38"/>
      <c r="AC33" s="38"/>
      <c r="AD33" s="42"/>
      <c r="AE33" s="98"/>
      <c r="AF33" s="135">
        <f t="shared" ref="AF33:AF41" si="36">SUM(W33:AE33)</f>
        <v>0</v>
      </c>
      <c r="AG33" s="43">
        <f t="shared" ref="AG33:AG41" si="37">V33+AF33</f>
        <v>0</v>
      </c>
      <c r="AH33" s="41"/>
      <c r="AI33" s="136">
        <f t="shared" ref="AI33:AI41" si="38">IF(Z33&gt;0,AG33-Z33,AG33)</f>
        <v>0</v>
      </c>
      <c r="AJ33" s="37"/>
      <c r="AK33" s="41"/>
      <c r="AL33" s="38"/>
      <c r="AM33" s="38"/>
      <c r="AN33" s="40">
        <f t="shared" ref="AN33:AN41" si="39">AG33+AJ33+AL33+AK33</f>
        <v>0</v>
      </c>
      <c r="AO33" s="137">
        <f>INDEX(BC:BC,MATCH(F33,BB:BB,0))</f>
        <v>0</v>
      </c>
      <c r="AP33" s="138"/>
      <c r="AQ33" s="77">
        <f t="shared" ref="AQ33:AQ41" si="40">AO33-AP33</f>
        <v>0</v>
      </c>
      <c r="AR33" s="44"/>
      <c r="AS33" s="44"/>
      <c r="AT33" s="46">
        <f t="shared" ref="AT33:AT41" si="41">AI33-AQ33-AS33</f>
        <v>0</v>
      </c>
      <c r="AU33" s="41"/>
      <c r="AV33" s="139"/>
      <c r="AW33" s="49">
        <f t="shared" ref="AW33:AW41" si="42">I33*AU33-AV33</f>
        <v>0</v>
      </c>
      <c r="AX33" s="49">
        <f t="shared" si="13"/>
        <v>0</v>
      </c>
      <c r="AY33" s="49">
        <f t="shared" ref="AY33:AY41" si="43">AT33-AI33</f>
        <v>0</v>
      </c>
      <c r="BB33" s="140" t="s">
        <v>3025</v>
      </c>
      <c r="BC33" s="141"/>
      <c r="BF33" s="49"/>
      <c r="BG33" s="49"/>
      <c r="BI33" s="142"/>
    </row>
    <row r="34" ht="13.95" customHeight="1" spans="1:61">
      <c r="A34" s="127" t="s">
        <v>733</v>
      </c>
      <c r="B34" s="127" t="s">
        <v>767</v>
      </c>
      <c r="C34" s="30"/>
      <c r="D34" s="143"/>
      <c r="E34" s="133" t="s">
        <v>11</v>
      </c>
      <c r="F34" s="134" t="s">
        <v>260</v>
      </c>
      <c r="G34" s="97"/>
      <c r="H34" s="35"/>
      <c r="I34" s="36"/>
      <c r="J34" s="37"/>
      <c r="K34" s="38"/>
      <c r="L34" s="38"/>
      <c r="M34" s="38"/>
      <c r="N34" s="38"/>
      <c r="O34" s="38"/>
      <c r="P34" s="38"/>
      <c r="Q34" s="38"/>
      <c r="R34" s="39"/>
      <c r="S34" s="39"/>
      <c r="T34" s="39"/>
      <c r="U34" s="39"/>
      <c r="V34" s="98">
        <f t="shared" si="35"/>
        <v>0</v>
      </c>
      <c r="W34" s="37"/>
      <c r="X34" s="38"/>
      <c r="Y34" s="38"/>
      <c r="Z34" s="38"/>
      <c r="AA34" s="38"/>
      <c r="AB34" s="38"/>
      <c r="AC34" s="38"/>
      <c r="AD34" s="42"/>
      <c r="AE34" s="98"/>
      <c r="AF34" s="135">
        <f t="shared" si="36"/>
        <v>0</v>
      </c>
      <c r="AG34" s="43">
        <f t="shared" si="37"/>
        <v>0</v>
      </c>
      <c r="AH34" s="41"/>
      <c r="AI34" s="136">
        <f t="shared" si="38"/>
        <v>0</v>
      </c>
      <c r="AJ34" s="37"/>
      <c r="AK34" s="41"/>
      <c r="AL34" s="38"/>
      <c r="AM34" s="38"/>
      <c r="AN34" s="40">
        <f t="shared" si="39"/>
        <v>0</v>
      </c>
      <c r="AO34" s="137">
        <f>INDEX(BC:BC,MATCH(F34,BB:BB,0))</f>
        <v>0</v>
      </c>
      <c r="AP34" s="138"/>
      <c r="AQ34" s="77">
        <f t="shared" si="40"/>
        <v>0</v>
      </c>
      <c r="AR34" s="44"/>
      <c r="AS34" s="44"/>
      <c r="AT34" s="46">
        <f t="shared" si="41"/>
        <v>0</v>
      </c>
      <c r="AU34" s="41"/>
      <c r="AV34" s="139"/>
      <c r="AW34" s="49">
        <f t="shared" si="42"/>
        <v>0</v>
      </c>
      <c r="AX34" s="49">
        <f t="shared" si="13"/>
        <v>0</v>
      </c>
      <c r="AY34" s="49">
        <f t="shared" si="43"/>
        <v>0</v>
      </c>
      <c r="BB34" s="33" t="s">
        <v>260</v>
      </c>
      <c r="BC34" s="141"/>
      <c r="BF34" s="49"/>
      <c r="BG34" s="49"/>
      <c r="BI34" s="142"/>
    </row>
    <row r="35" ht="13.95" customHeight="1" spans="1:61">
      <c r="A35" s="127" t="s">
        <v>733</v>
      </c>
      <c r="B35" s="127" t="s">
        <v>767</v>
      </c>
      <c r="C35" s="30"/>
      <c r="D35" s="143"/>
      <c r="E35" s="133" t="s">
        <v>11</v>
      </c>
      <c r="F35" s="134" t="s">
        <v>258</v>
      </c>
      <c r="G35" s="97"/>
      <c r="H35" s="35"/>
      <c r="I35" s="36"/>
      <c r="J35" s="37"/>
      <c r="K35" s="38"/>
      <c r="L35" s="38"/>
      <c r="M35" s="38"/>
      <c r="N35" s="38"/>
      <c r="O35" s="38"/>
      <c r="P35" s="38"/>
      <c r="Q35" s="38"/>
      <c r="R35" s="39"/>
      <c r="S35" s="39"/>
      <c r="T35" s="39"/>
      <c r="U35" s="39"/>
      <c r="V35" s="98">
        <f t="shared" si="35"/>
        <v>0</v>
      </c>
      <c r="W35" s="37"/>
      <c r="X35" s="38"/>
      <c r="Y35" s="38"/>
      <c r="Z35" s="38"/>
      <c r="AA35" s="38"/>
      <c r="AB35" s="38"/>
      <c r="AC35" s="38"/>
      <c r="AD35" s="42"/>
      <c r="AE35" s="98"/>
      <c r="AF35" s="135">
        <f t="shared" si="36"/>
        <v>0</v>
      </c>
      <c r="AG35" s="43">
        <f t="shared" si="37"/>
        <v>0</v>
      </c>
      <c r="AH35" s="41"/>
      <c r="AI35" s="136">
        <f t="shared" si="38"/>
        <v>0</v>
      </c>
      <c r="AJ35" s="37"/>
      <c r="AK35" s="41"/>
      <c r="AL35" s="38"/>
      <c r="AM35" s="38"/>
      <c r="AN35" s="40">
        <f t="shared" si="39"/>
        <v>0</v>
      </c>
      <c r="AO35" s="137"/>
      <c r="AP35" s="138"/>
      <c r="AQ35" s="77">
        <f t="shared" si="40"/>
        <v>0</v>
      </c>
      <c r="AR35" s="44"/>
      <c r="AS35" s="44"/>
      <c r="AT35" s="46">
        <f t="shared" si="41"/>
        <v>0</v>
      </c>
      <c r="AU35" s="41"/>
      <c r="AV35" s="139"/>
      <c r="AW35" s="49">
        <f t="shared" si="42"/>
        <v>0</v>
      </c>
      <c r="AX35" s="49">
        <f t="shared" si="13"/>
        <v>0</v>
      </c>
      <c r="AY35" s="49">
        <f t="shared" si="43"/>
        <v>0</v>
      </c>
      <c r="BB35" s="33" t="s">
        <v>261</v>
      </c>
      <c r="BC35" s="141"/>
      <c r="BF35" s="49"/>
      <c r="BG35" s="49"/>
      <c r="BI35" s="142"/>
    </row>
    <row r="36" ht="13.95" customHeight="1" spans="1:61">
      <c r="A36" s="127" t="s">
        <v>733</v>
      </c>
      <c r="B36" s="127" t="s">
        <v>767</v>
      </c>
      <c r="C36" s="30"/>
      <c r="D36" s="143"/>
      <c r="E36" s="133" t="s">
        <v>11</v>
      </c>
      <c r="F36" s="134" t="s">
        <v>259</v>
      </c>
      <c r="G36" s="97"/>
      <c r="H36" s="35"/>
      <c r="I36" s="36"/>
      <c r="J36" s="37"/>
      <c r="K36" s="38"/>
      <c r="L36" s="38"/>
      <c r="M36" s="38"/>
      <c r="N36" s="38"/>
      <c r="O36" s="38"/>
      <c r="P36" s="38"/>
      <c r="Q36" s="38"/>
      <c r="R36" s="39"/>
      <c r="S36" s="39"/>
      <c r="T36" s="39"/>
      <c r="U36" s="39"/>
      <c r="V36" s="98">
        <f t="shared" si="35"/>
        <v>0</v>
      </c>
      <c r="W36" s="37"/>
      <c r="X36" s="38"/>
      <c r="Y36" s="38"/>
      <c r="Z36" s="38"/>
      <c r="AA36" s="38"/>
      <c r="AB36" s="38"/>
      <c r="AC36" s="38"/>
      <c r="AD36" s="42"/>
      <c r="AE36" s="98"/>
      <c r="AF36" s="135">
        <f t="shared" si="36"/>
        <v>0</v>
      </c>
      <c r="AG36" s="43">
        <f t="shared" si="37"/>
        <v>0</v>
      </c>
      <c r="AH36" s="41"/>
      <c r="AI36" s="136">
        <f t="shared" si="38"/>
        <v>0</v>
      </c>
      <c r="AJ36" s="37"/>
      <c r="AK36" s="41"/>
      <c r="AL36" s="38"/>
      <c r="AM36" s="38"/>
      <c r="AN36" s="40">
        <f t="shared" si="39"/>
        <v>0</v>
      </c>
      <c r="AO36" s="137">
        <f>INDEX(BC:BC,MATCH(F36,BB:BB,0))</f>
        <v>0</v>
      </c>
      <c r="AP36" s="138"/>
      <c r="AQ36" s="77">
        <f t="shared" si="40"/>
        <v>0</v>
      </c>
      <c r="AR36" s="44"/>
      <c r="AS36" s="44"/>
      <c r="AT36" s="46">
        <f t="shared" si="41"/>
        <v>0</v>
      </c>
      <c r="AU36" s="41"/>
      <c r="AV36" s="139"/>
      <c r="AW36" s="49">
        <f t="shared" si="42"/>
        <v>0</v>
      </c>
      <c r="AX36" s="49">
        <f t="shared" si="13"/>
        <v>0</v>
      </c>
      <c r="AY36" s="49">
        <f t="shared" si="43"/>
        <v>0</v>
      </c>
      <c r="BB36" s="134" t="s">
        <v>256</v>
      </c>
      <c r="BC36" s="141"/>
      <c r="BF36" s="49"/>
      <c r="BG36" s="49"/>
      <c r="BI36" s="142"/>
    </row>
    <row r="37" ht="13.95" customHeight="1" spans="1:61">
      <c r="A37" s="127" t="s">
        <v>733</v>
      </c>
      <c r="B37" s="127" t="s">
        <v>767</v>
      </c>
      <c r="C37" s="30"/>
      <c r="D37" s="143"/>
      <c r="E37" s="133" t="s">
        <v>2971</v>
      </c>
      <c r="F37" s="134" t="s">
        <v>256</v>
      </c>
      <c r="G37" s="97"/>
      <c r="H37" s="35"/>
      <c r="I37" s="36"/>
      <c r="J37" s="37"/>
      <c r="K37" s="38"/>
      <c r="L37" s="38"/>
      <c r="M37" s="38"/>
      <c r="N37" s="38"/>
      <c r="O37" s="38"/>
      <c r="P37" s="38"/>
      <c r="Q37" s="38"/>
      <c r="R37" s="39"/>
      <c r="S37" s="39"/>
      <c r="T37" s="39"/>
      <c r="U37" s="39"/>
      <c r="V37" s="98">
        <f t="shared" si="35"/>
        <v>0</v>
      </c>
      <c r="W37" s="37"/>
      <c r="X37" s="38"/>
      <c r="Y37" s="38"/>
      <c r="Z37" s="38"/>
      <c r="AA37" s="38"/>
      <c r="AB37" s="38"/>
      <c r="AC37" s="38"/>
      <c r="AD37" s="42"/>
      <c r="AE37" s="98"/>
      <c r="AF37" s="135">
        <f t="shared" si="36"/>
        <v>0</v>
      </c>
      <c r="AG37" s="43">
        <f t="shared" si="37"/>
        <v>0</v>
      </c>
      <c r="AH37" s="41"/>
      <c r="AI37" s="136">
        <f t="shared" si="38"/>
        <v>0</v>
      </c>
      <c r="AJ37" s="37"/>
      <c r="AK37" s="41"/>
      <c r="AL37" s="38"/>
      <c r="AM37" s="38"/>
      <c r="AN37" s="40">
        <f t="shared" si="39"/>
        <v>0</v>
      </c>
      <c r="AO37" s="137"/>
      <c r="AP37" s="138"/>
      <c r="AQ37" s="77">
        <f t="shared" si="40"/>
        <v>0</v>
      </c>
      <c r="AR37" s="44"/>
      <c r="AS37" s="44"/>
      <c r="AT37" s="46">
        <f t="shared" si="41"/>
        <v>0</v>
      </c>
      <c r="AU37" s="41"/>
      <c r="AV37" s="139"/>
      <c r="AW37" s="49">
        <f t="shared" si="42"/>
        <v>0</v>
      </c>
      <c r="AX37" s="49">
        <f t="shared" si="13"/>
        <v>0</v>
      </c>
      <c r="AY37" s="49">
        <f t="shared" si="43"/>
        <v>0</v>
      </c>
      <c r="BB37" s="134" t="s">
        <v>3102</v>
      </c>
      <c r="BC37" s="141"/>
      <c r="BF37" s="49"/>
      <c r="BG37" s="49"/>
      <c r="BI37" s="142"/>
    </row>
    <row r="38" ht="13.95" customHeight="1" spans="1:61">
      <c r="A38" s="127" t="s">
        <v>733</v>
      </c>
      <c r="B38" s="127" t="s">
        <v>767</v>
      </c>
      <c r="C38" s="30"/>
      <c r="D38" s="143"/>
      <c r="E38" s="133" t="s">
        <v>11</v>
      </c>
      <c r="F38" s="134" t="s">
        <v>257</v>
      </c>
      <c r="G38" s="97"/>
      <c r="H38" s="35"/>
      <c r="I38" s="36"/>
      <c r="J38" s="37"/>
      <c r="K38" s="38"/>
      <c r="L38" s="38"/>
      <c r="M38" s="38"/>
      <c r="N38" s="38"/>
      <c r="O38" s="38"/>
      <c r="P38" s="38"/>
      <c r="Q38" s="38"/>
      <c r="R38" s="39"/>
      <c r="S38" s="39"/>
      <c r="T38" s="39"/>
      <c r="U38" s="39"/>
      <c r="V38" s="98">
        <f t="shared" si="35"/>
        <v>0</v>
      </c>
      <c r="W38" s="37"/>
      <c r="X38" s="38"/>
      <c r="Y38" s="38"/>
      <c r="Z38" s="38"/>
      <c r="AA38" s="38"/>
      <c r="AB38" s="38"/>
      <c r="AC38" s="38"/>
      <c r="AD38" s="42"/>
      <c r="AE38" s="98"/>
      <c r="AF38" s="135">
        <f t="shared" si="36"/>
        <v>0</v>
      </c>
      <c r="AG38" s="43">
        <f t="shared" si="37"/>
        <v>0</v>
      </c>
      <c r="AH38" s="41"/>
      <c r="AI38" s="136">
        <f t="shared" si="38"/>
        <v>0</v>
      </c>
      <c r="AJ38" s="37"/>
      <c r="AK38" s="41"/>
      <c r="AL38" s="38"/>
      <c r="AM38" s="38"/>
      <c r="AN38" s="40">
        <f t="shared" si="39"/>
        <v>0</v>
      </c>
      <c r="AO38" s="137">
        <f>INDEX(BC:BC,MATCH(F38,BB:BB,0))</f>
        <v>0</v>
      </c>
      <c r="AP38" s="138"/>
      <c r="AQ38" s="77">
        <f t="shared" si="40"/>
        <v>0</v>
      </c>
      <c r="AR38" s="44"/>
      <c r="AS38" s="44"/>
      <c r="AT38" s="46">
        <f t="shared" si="41"/>
        <v>0</v>
      </c>
      <c r="AU38" s="41"/>
      <c r="AV38" s="139"/>
      <c r="AW38" s="49">
        <f t="shared" si="42"/>
        <v>0</v>
      </c>
      <c r="AX38" s="49">
        <f t="shared" si="13"/>
        <v>0</v>
      </c>
      <c r="AY38" s="49">
        <f t="shared" si="43"/>
        <v>0</v>
      </c>
      <c r="BB38" s="134" t="s">
        <v>256</v>
      </c>
      <c r="BC38" s="141"/>
      <c r="BF38" s="49"/>
      <c r="BG38" s="49"/>
      <c r="BI38" s="142"/>
    </row>
    <row r="39" ht="13.95" customHeight="1" spans="1:61">
      <c r="A39" s="127" t="s">
        <v>733</v>
      </c>
      <c r="B39" s="127" t="s">
        <v>767</v>
      </c>
      <c r="C39" s="30"/>
      <c r="D39" s="143"/>
      <c r="E39" s="133"/>
      <c r="F39" s="134" t="s">
        <v>236</v>
      </c>
      <c r="G39" s="97"/>
      <c r="H39" s="35"/>
      <c r="I39" s="36"/>
      <c r="J39" s="37"/>
      <c r="K39" s="38"/>
      <c r="L39" s="38"/>
      <c r="M39" s="38"/>
      <c r="N39" s="38"/>
      <c r="O39" s="38"/>
      <c r="P39" s="38"/>
      <c r="Q39" s="38"/>
      <c r="R39" s="39"/>
      <c r="S39" s="39"/>
      <c r="T39" s="39"/>
      <c r="U39" s="39"/>
      <c r="V39" s="98">
        <f t="shared" si="35"/>
        <v>0</v>
      </c>
      <c r="W39" s="37"/>
      <c r="X39" s="38"/>
      <c r="Y39" s="38"/>
      <c r="Z39" s="38"/>
      <c r="AA39" s="38"/>
      <c r="AB39" s="38"/>
      <c r="AC39" s="38"/>
      <c r="AD39" s="42"/>
      <c r="AE39" s="98"/>
      <c r="AF39" s="135">
        <f t="shared" si="36"/>
        <v>0</v>
      </c>
      <c r="AG39" s="43">
        <f t="shared" si="37"/>
        <v>0</v>
      </c>
      <c r="AH39" s="41"/>
      <c r="AI39" s="136">
        <f t="shared" si="38"/>
        <v>0</v>
      </c>
      <c r="AJ39" s="37"/>
      <c r="AK39" s="41"/>
      <c r="AL39" s="38"/>
      <c r="AM39" s="38"/>
      <c r="AN39" s="40">
        <f t="shared" si="39"/>
        <v>0</v>
      </c>
      <c r="AO39" s="137"/>
      <c r="AP39" s="138"/>
      <c r="AQ39" s="77">
        <f t="shared" si="40"/>
        <v>0</v>
      </c>
      <c r="AR39" s="44"/>
      <c r="AS39" s="44"/>
      <c r="AT39" s="46">
        <f t="shared" si="41"/>
        <v>0</v>
      </c>
      <c r="AU39" s="41"/>
      <c r="AV39" s="139"/>
      <c r="AW39" s="49">
        <f t="shared" si="42"/>
        <v>0</v>
      </c>
      <c r="AX39" s="49">
        <f t="shared" si="13"/>
        <v>0</v>
      </c>
      <c r="AY39" s="49">
        <f t="shared" si="43"/>
        <v>0</v>
      </c>
      <c r="BB39" s="134" t="s">
        <v>3102</v>
      </c>
      <c r="BC39" s="141"/>
      <c r="BF39" s="49"/>
      <c r="BG39" s="49"/>
      <c r="BI39" s="142"/>
    </row>
    <row r="40" ht="13.95" customHeight="1" spans="1:61">
      <c r="A40" s="127" t="s">
        <v>733</v>
      </c>
      <c r="B40" s="127" t="s">
        <v>767</v>
      </c>
      <c r="C40" s="30"/>
      <c r="D40" s="143"/>
      <c r="E40" s="133"/>
      <c r="F40" s="134" t="s">
        <v>236</v>
      </c>
      <c r="G40" s="97"/>
      <c r="H40" s="35"/>
      <c r="I40" s="36"/>
      <c r="J40" s="37"/>
      <c r="K40" s="38"/>
      <c r="L40" s="38"/>
      <c r="M40" s="38"/>
      <c r="N40" s="38"/>
      <c r="O40" s="38"/>
      <c r="P40" s="38"/>
      <c r="Q40" s="38"/>
      <c r="R40" s="39"/>
      <c r="S40" s="39"/>
      <c r="T40" s="39"/>
      <c r="U40" s="39"/>
      <c r="V40" s="98">
        <f t="shared" si="35"/>
        <v>0</v>
      </c>
      <c r="W40" s="37"/>
      <c r="X40" s="38"/>
      <c r="Y40" s="38"/>
      <c r="Z40" s="38"/>
      <c r="AA40" s="38"/>
      <c r="AB40" s="38"/>
      <c r="AC40" s="38"/>
      <c r="AD40" s="42"/>
      <c r="AE40" s="98"/>
      <c r="AF40" s="135">
        <f t="shared" si="36"/>
        <v>0</v>
      </c>
      <c r="AG40" s="43">
        <f t="shared" si="37"/>
        <v>0</v>
      </c>
      <c r="AH40" s="41"/>
      <c r="AI40" s="136">
        <f t="shared" si="38"/>
        <v>0</v>
      </c>
      <c r="AJ40" s="37"/>
      <c r="AK40" s="41"/>
      <c r="AL40" s="38"/>
      <c r="AM40" s="38"/>
      <c r="AN40" s="40">
        <f t="shared" si="39"/>
        <v>0</v>
      </c>
      <c r="AO40" s="137">
        <f>INDEX(BC:BC,MATCH(F40,BB:BB,0))</f>
        <v>0</v>
      </c>
      <c r="AP40" s="138"/>
      <c r="AQ40" s="77">
        <f t="shared" si="40"/>
        <v>0</v>
      </c>
      <c r="AR40" s="44"/>
      <c r="AS40" s="44"/>
      <c r="AT40" s="46">
        <f t="shared" si="41"/>
        <v>0</v>
      </c>
      <c r="AU40" s="41"/>
      <c r="AV40" s="139"/>
      <c r="AW40" s="49">
        <f t="shared" si="42"/>
        <v>0</v>
      </c>
      <c r="AX40" s="49">
        <f t="shared" si="13"/>
        <v>0</v>
      </c>
      <c r="AY40" s="49">
        <f t="shared" si="43"/>
        <v>0</v>
      </c>
      <c r="BB40" s="134" t="s">
        <v>3102</v>
      </c>
      <c r="BC40" s="141"/>
      <c r="BF40" s="49"/>
      <c r="BG40" s="49"/>
      <c r="BI40" s="142"/>
    </row>
    <row r="41" ht="13.95" customHeight="1" spans="1:61">
      <c r="A41" s="127" t="s">
        <v>733</v>
      </c>
      <c r="B41" s="127" t="s">
        <v>767</v>
      </c>
      <c r="C41" s="30"/>
      <c r="D41" s="143"/>
      <c r="E41" s="133" t="s">
        <v>238</v>
      </c>
      <c r="F41" s="134" t="s">
        <v>261</v>
      </c>
      <c r="G41" s="97"/>
      <c r="H41" s="35"/>
      <c r="I41" s="36"/>
      <c r="J41" s="37"/>
      <c r="K41" s="38"/>
      <c r="L41" s="38"/>
      <c r="M41" s="38"/>
      <c r="N41" s="38"/>
      <c r="O41" s="38"/>
      <c r="P41" s="38"/>
      <c r="Q41" s="38"/>
      <c r="R41" s="39"/>
      <c r="S41" s="39"/>
      <c r="T41" s="39"/>
      <c r="U41" s="39"/>
      <c r="V41" s="98">
        <f t="shared" si="35"/>
        <v>0</v>
      </c>
      <c r="W41" s="37"/>
      <c r="X41" s="38"/>
      <c r="Y41" s="38"/>
      <c r="Z41" s="38"/>
      <c r="AA41" s="38"/>
      <c r="AB41" s="38"/>
      <c r="AC41" s="38"/>
      <c r="AD41" s="42"/>
      <c r="AE41" s="98"/>
      <c r="AF41" s="135">
        <f t="shared" si="36"/>
        <v>0</v>
      </c>
      <c r="AG41" s="43">
        <f t="shared" si="37"/>
        <v>0</v>
      </c>
      <c r="AH41" s="41"/>
      <c r="AI41" s="136">
        <f t="shared" si="38"/>
        <v>0</v>
      </c>
      <c r="AJ41" s="37"/>
      <c r="AK41" s="41"/>
      <c r="AL41" s="38"/>
      <c r="AM41" s="38"/>
      <c r="AN41" s="40">
        <f t="shared" si="39"/>
        <v>0</v>
      </c>
      <c r="AO41" s="137">
        <f>INDEX(BC:BC,MATCH(F41,BB:BB,0))</f>
        <v>0</v>
      </c>
      <c r="AP41" s="138"/>
      <c r="AQ41" s="77">
        <f t="shared" si="40"/>
        <v>0</v>
      </c>
      <c r="AR41" s="44"/>
      <c r="AS41" s="44"/>
      <c r="AT41" s="46">
        <f t="shared" si="41"/>
        <v>0</v>
      </c>
      <c r="AU41" s="41"/>
      <c r="AV41" s="139"/>
      <c r="AW41" s="49">
        <f t="shared" si="42"/>
        <v>0</v>
      </c>
      <c r="AX41" s="49">
        <f t="shared" si="13"/>
        <v>0</v>
      </c>
      <c r="AY41" s="49">
        <f t="shared" si="43"/>
        <v>0</v>
      </c>
      <c r="BB41" s="134" t="s">
        <v>907</v>
      </c>
      <c r="BC41" s="141"/>
      <c r="BF41" s="49"/>
      <c r="BG41" s="49"/>
      <c r="BI41" s="142"/>
    </row>
    <row r="42" ht="13.95" customHeight="1" spans="1:61">
      <c r="A42" s="127" t="s">
        <v>733</v>
      </c>
      <c r="B42" s="127" t="s">
        <v>767</v>
      </c>
      <c r="C42" s="144"/>
      <c r="D42" s="145"/>
      <c r="E42" s="146" t="s">
        <v>193</v>
      </c>
      <c r="F42" s="147"/>
      <c r="G42" s="148">
        <f t="shared" ref="G42:AV42" si="44">SUM(G33:G41)</f>
        <v>0</v>
      </c>
      <c r="H42" s="148">
        <f t="shared" si="44"/>
        <v>0</v>
      </c>
      <c r="I42" s="148">
        <f t="shared" si="44"/>
        <v>0</v>
      </c>
      <c r="J42" s="149">
        <f t="shared" si="44"/>
        <v>0</v>
      </c>
      <c r="K42" s="149">
        <f t="shared" si="44"/>
        <v>0</v>
      </c>
      <c r="L42" s="149">
        <f t="shared" si="44"/>
        <v>0</v>
      </c>
      <c r="M42" s="149">
        <f t="shared" si="44"/>
        <v>0</v>
      </c>
      <c r="N42" s="149">
        <f t="shared" si="44"/>
        <v>0</v>
      </c>
      <c r="O42" s="149">
        <f t="shared" si="44"/>
        <v>0</v>
      </c>
      <c r="P42" s="149">
        <f t="shared" si="44"/>
        <v>0</v>
      </c>
      <c r="Q42" s="149">
        <f t="shared" si="44"/>
        <v>0</v>
      </c>
      <c r="R42" s="149">
        <f t="shared" si="44"/>
        <v>0</v>
      </c>
      <c r="S42" s="149">
        <f t="shared" si="44"/>
        <v>0</v>
      </c>
      <c r="T42" s="149">
        <f t="shared" si="44"/>
        <v>0</v>
      </c>
      <c r="U42" s="149">
        <f t="shared" si="44"/>
        <v>0</v>
      </c>
      <c r="V42" s="149">
        <f t="shared" si="44"/>
        <v>0</v>
      </c>
      <c r="W42" s="149">
        <f t="shared" si="44"/>
        <v>0</v>
      </c>
      <c r="X42" s="149">
        <f t="shared" si="44"/>
        <v>0</v>
      </c>
      <c r="Y42" s="149">
        <f t="shared" si="44"/>
        <v>0</v>
      </c>
      <c r="Z42" s="149">
        <f t="shared" si="44"/>
        <v>0</v>
      </c>
      <c r="AA42" s="149">
        <f t="shared" si="44"/>
        <v>0</v>
      </c>
      <c r="AB42" s="149">
        <f t="shared" si="44"/>
        <v>0</v>
      </c>
      <c r="AC42" s="149">
        <f t="shared" si="44"/>
        <v>0</v>
      </c>
      <c r="AD42" s="149">
        <f t="shared" si="44"/>
        <v>0</v>
      </c>
      <c r="AE42" s="149">
        <f t="shared" si="44"/>
        <v>0</v>
      </c>
      <c r="AF42" s="149">
        <f t="shared" si="44"/>
        <v>0</v>
      </c>
      <c r="AG42" s="149">
        <f t="shared" si="44"/>
        <v>0</v>
      </c>
      <c r="AH42" s="149">
        <f t="shared" si="44"/>
        <v>0</v>
      </c>
      <c r="AI42" s="149">
        <f t="shared" si="44"/>
        <v>0</v>
      </c>
      <c r="AJ42" s="149">
        <f t="shared" si="44"/>
        <v>0</v>
      </c>
      <c r="AK42" s="149">
        <f t="shared" si="44"/>
        <v>0</v>
      </c>
      <c r="AL42" s="149">
        <f t="shared" si="44"/>
        <v>0</v>
      </c>
      <c r="AM42" s="149">
        <f t="shared" si="44"/>
        <v>0</v>
      </c>
      <c r="AN42" s="149">
        <f t="shared" si="44"/>
        <v>0</v>
      </c>
      <c r="AO42" s="149">
        <f t="shared" si="44"/>
        <v>0</v>
      </c>
      <c r="AP42" s="149">
        <f t="shared" si="44"/>
        <v>0</v>
      </c>
      <c r="AQ42" s="149">
        <f t="shared" si="44"/>
        <v>0</v>
      </c>
      <c r="AR42" s="149">
        <f t="shared" si="44"/>
        <v>0</v>
      </c>
      <c r="AS42" s="149">
        <f t="shared" si="44"/>
        <v>0</v>
      </c>
      <c r="AT42" s="149">
        <f t="shared" si="44"/>
        <v>0</v>
      </c>
      <c r="AU42" s="149">
        <f t="shared" si="44"/>
        <v>0</v>
      </c>
      <c r="AV42" s="149">
        <f t="shared" si="44"/>
        <v>0</v>
      </c>
      <c r="AX42" s="49">
        <f t="shared" si="13"/>
        <v>0</v>
      </c>
      <c r="BB42" s="134" t="s">
        <v>3103</v>
      </c>
      <c r="BC42" s="141"/>
    </row>
    <row r="43" ht="13.95" customHeight="1" spans="1:61">
      <c r="A43" s="127" t="s">
        <v>733</v>
      </c>
      <c r="B43" s="127" t="s">
        <v>767</v>
      </c>
      <c r="C43" s="30"/>
      <c r="D43" s="132" t="s">
        <v>263</v>
      </c>
      <c r="E43" s="133" t="s">
        <v>3101</v>
      </c>
      <c r="F43" s="134" t="s">
        <v>1134</v>
      </c>
      <c r="G43" s="97"/>
      <c r="H43" s="35"/>
      <c r="I43" s="36"/>
      <c r="J43" s="37"/>
      <c r="K43" s="38"/>
      <c r="L43" s="38"/>
      <c r="M43" s="38"/>
      <c r="N43" s="38"/>
      <c r="O43" s="38"/>
      <c r="P43" s="38"/>
      <c r="Q43" s="38"/>
      <c r="R43" s="39"/>
      <c r="S43" s="39"/>
      <c r="T43" s="39"/>
      <c r="U43" s="39"/>
      <c r="V43" s="98">
        <f t="shared" ref="V43:V50" si="45">SUM(J43:U43)</f>
        <v>0</v>
      </c>
      <c r="W43" s="37"/>
      <c r="X43" s="38"/>
      <c r="Y43" s="38"/>
      <c r="Z43" s="38"/>
      <c r="AA43" s="38"/>
      <c r="AB43" s="38"/>
      <c r="AC43" s="38"/>
      <c r="AD43" s="42"/>
      <c r="AE43" s="98"/>
      <c r="AF43" s="135">
        <f t="shared" ref="AF43:AF50" si="46">SUM(W43:AE43)</f>
        <v>0</v>
      </c>
      <c r="AG43" s="43">
        <f t="shared" ref="AG43:AG50" si="47">V43+AF43</f>
        <v>0</v>
      </c>
      <c r="AH43" s="41"/>
      <c r="AI43" s="136">
        <f t="shared" ref="AI43:AI50" si="48">IF(Z43&gt;0,AG43-Z43,AG43)</f>
        <v>0</v>
      </c>
      <c r="AJ43" s="37"/>
      <c r="AK43" s="41"/>
      <c r="AL43" s="38"/>
      <c r="AM43" s="38"/>
      <c r="AN43" s="40">
        <f t="shared" ref="AN43:AN50" si="49">AG43+AJ43+AL43+AK43</f>
        <v>0</v>
      </c>
      <c r="AO43" s="137">
        <f>INDEX(BC:BC,MATCH(F43,BB:BB,0))</f>
        <v>0</v>
      </c>
      <c r="AP43" s="138"/>
      <c r="AQ43" s="77">
        <f t="shared" ref="AQ43:AQ50" si="50">AO43-AP43</f>
        <v>0</v>
      </c>
      <c r="AR43" s="44"/>
      <c r="AS43" s="44"/>
      <c r="AT43" s="46">
        <f t="shared" ref="AT43:AT50" si="51">AI43-AQ43-AS43</f>
        <v>0</v>
      </c>
      <c r="AU43" s="41"/>
      <c r="AV43" s="139"/>
      <c r="AW43" s="49">
        <f t="shared" ref="AW43:AW50" si="52">I43*AU43-AV43</f>
        <v>0</v>
      </c>
      <c r="AX43" s="49">
        <f t="shared" si="13"/>
        <v>0</v>
      </c>
      <c r="AY43" s="49">
        <f t="shared" ref="AY43:AY50" si="53">AT43-AI43</f>
        <v>0</v>
      </c>
      <c r="BB43" s="140" t="s">
        <v>1134</v>
      </c>
      <c r="BC43" s="141"/>
      <c r="BF43" s="49"/>
      <c r="BG43" s="49"/>
      <c r="BI43" s="142"/>
    </row>
    <row r="44" ht="13.95" customHeight="1" spans="1:61">
      <c r="A44" s="127" t="s">
        <v>733</v>
      </c>
      <c r="B44" s="127" t="s">
        <v>767</v>
      </c>
      <c r="C44" s="30"/>
      <c r="D44" s="143"/>
      <c r="E44" s="133" t="s">
        <v>11</v>
      </c>
      <c r="F44" s="134" t="s">
        <v>269</v>
      </c>
      <c r="G44" s="97"/>
      <c r="H44" s="35"/>
      <c r="I44" s="36"/>
      <c r="J44" s="37"/>
      <c r="K44" s="38"/>
      <c r="L44" s="38"/>
      <c r="M44" s="38"/>
      <c r="N44" s="38"/>
      <c r="O44" s="38"/>
      <c r="P44" s="38"/>
      <c r="Q44" s="38"/>
      <c r="R44" s="39"/>
      <c r="S44" s="39"/>
      <c r="T44" s="39"/>
      <c r="U44" s="39"/>
      <c r="V44" s="98">
        <f t="shared" si="45"/>
        <v>0</v>
      </c>
      <c r="W44" s="37"/>
      <c r="X44" s="38"/>
      <c r="Y44" s="38"/>
      <c r="Z44" s="38"/>
      <c r="AA44" s="38"/>
      <c r="AB44" s="38"/>
      <c r="AC44" s="38"/>
      <c r="AD44" s="42"/>
      <c r="AE44" s="98"/>
      <c r="AF44" s="135">
        <f t="shared" si="46"/>
        <v>0</v>
      </c>
      <c r="AG44" s="43">
        <f t="shared" si="47"/>
        <v>0</v>
      </c>
      <c r="AH44" s="41"/>
      <c r="AI44" s="136">
        <f t="shared" si="48"/>
        <v>0</v>
      </c>
      <c r="AJ44" s="37"/>
      <c r="AK44" s="41"/>
      <c r="AL44" s="38"/>
      <c r="AM44" s="38"/>
      <c r="AN44" s="40">
        <f t="shared" si="49"/>
        <v>0</v>
      </c>
      <c r="AO44" s="137"/>
      <c r="AP44" s="138"/>
      <c r="AQ44" s="77">
        <f t="shared" si="50"/>
        <v>0</v>
      </c>
      <c r="AR44" s="44"/>
      <c r="AS44" s="44"/>
      <c r="AT44" s="46">
        <f t="shared" si="51"/>
        <v>0</v>
      </c>
      <c r="AU44" s="41"/>
      <c r="AV44" s="139"/>
      <c r="AW44" s="49">
        <f t="shared" si="52"/>
        <v>0</v>
      </c>
      <c r="AX44" s="49">
        <f t="shared" si="13"/>
        <v>0</v>
      </c>
      <c r="AY44" s="49">
        <f t="shared" si="53"/>
        <v>0</v>
      </c>
      <c r="BB44" s="134" t="s">
        <v>267</v>
      </c>
      <c r="BC44" s="141"/>
      <c r="BF44" s="49"/>
      <c r="BG44" s="49"/>
      <c r="BI44" s="142"/>
    </row>
    <row r="45" ht="14.1" customHeight="1" spans="1:61">
      <c r="A45" s="127" t="s">
        <v>733</v>
      </c>
      <c r="B45" s="127" t="s">
        <v>767</v>
      </c>
      <c r="C45" s="30"/>
      <c r="D45" s="143"/>
      <c r="E45" s="133" t="s">
        <v>11</v>
      </c>
      <c r="F45" s="134" t="s">
        <v>264</v>
      </c>
      <c r="G45" s="97"/>
      <c r="H45" s="35"/>
      <c r="I45" s="36"/>
      <c r="J45" s="37"/>
      <c r="K45" s="38"/>
      <c r="L45" s="38"/>
      <c r="M45" s="38"/>
      <c r="N45" s="38"/>
      <c r="O45" s="38"/>
      <c r="P45" s="38"/>
      <c r="Q45" s="38"/>
      <c r="R45" s="39"/>
      <c r="S45" s="39"/>
      <c r="T45" s="39"/>
      <c r="U45" s="39"/>
      <c r="V45" s="98">
        <f t="shared" si="45"/>
        <v>0</v>
      </c>
      <c r="W45" s="37"/>
      <c r="X45" s="38"/>
      <c r="Y45" s="38"/>
      <c r="Z45" s="38"/>
      <c r="AA45" s="38"/>
      <c r="AB45" s="38"/>
      <c r="AC45" s="38"/>
      <c r="AD45" s="42"/>
      <c r="AE45" s="98"/>
      <c r="AF45" s="135">
        <f t="shared" si="46"/>
        <v>0</v>
      </c>
      <c r="AG45" s="43">
        <f t="shared" si="47"/>
        <v>0</v>
      </c>
      <c r="AH45" s="41"/>
      <c r="AI45" s="136">
        <f t="shared" si="48"/>
        <v>0</v>
      </c>
      <c r="AJ45" s="37"/>
      <c r="AK45" s="41"/>
      <c r="AL45" s="38"/>
      <c r="AM45" s="38"/>
      <c r="AN45" s="40">
        <f t="shared" si="49"/>
        <v>0</v>
      </c>
      <c r="AO45" s="137">
        <f t="shared" ref="AO45:AO50" si="54">INDEX(BC:BC,MATCH(F45,BB:BB,0))</f>
        <v>0</v>
      </c>
      <c r="AP45" s="138"/>
      <c r="AQ45" s="77">
        <f t="shared" si="50"/>
        <v>0</v>
      </c>
      <c r="AR45" s="44"/>
      <c r="AS45" s="44"/>
      <c r="AT45" s="46">
        <f t="shared" si="51"/>
        <v>0</v>
      </c>
      <c r="AU45" s="41"/>
      <c r="AV45" s="139"/>
      <c r="AW45" s="49">
        <f t="shared" si="52"/>
        <v>0</v>
      </c>
      <c r="AX45" s="49">
        <f t="shared" si="13"/>
        <v>0</v>
      </c>
      <c r="AY45" s="49">
        <f t="shared" si="53"/>
        <v>0</v>
      </c>
      <c r="BB45" s="33" t="s">
        <v>264</v>
      </c>
      <c r="BC45" s="141"/>
      <c r="BF45" s="49"/>
      <c r="BG45" s="49"/>
      <c r="BI45" s="142"/>
    </row>
    <row r="46" ht="13.95" customHeight="1" spans="1:61">
      <c r="A46" s="127" t="s">
        <v>733</v>
      </c>
      <c r="B46" s="127" t="s">
        <v>767</v>
      </c>
      <c r="C46" s="30"/>
      <c r="D46" s="143"/>
      <c r="E46" s="133" t="s">
        <v>11</v>
      </c>
      <c r="F46" s="134" t="s">
        <v>3104</v>
      </c>
      <c r="G46" s="97"/>
      <c r="H46" s="35"/>
      <c r="I46" s="36"/>
      <c r="J46" s="37"/>
      <c r="K46" s="38"/>
      <c r="L46" s="38"/>
      <c r="M46" s="38"/>
      <c r="N46" s="38"/>
      <c r="O46" s="38"/>
      <c r="P46" s="38"/>
      <c r="Q46" s="38"/>
      <c r="R46" s="39"/>
      <c r="S46" s="39"/>
      <c r="T46" s="39"/>
      <c r="U46" s="39"/>
      <c r="V46" s="98">
        <f t="shared" si="45"/>
        <v>0</v>
      </c>
      <c r="W46" s="37"/>
      <c r="X46" s="38"/>
      <c r="Y46" s="38"/>
      <c r="Z46" s="38"/>
      <c r="AA46" s="38"/>
      <c r="AB46" s="38"/>
      <c r="AC46" s="38"/>
      <c r="AD46" s="42"/>
      <c r="AE46" s="98"/>
      <c r="AF46" s="135">
        <f t="shared" si="46"/>
        <v>0</v>
      </c>
      <c r="AG46" s="43">
        <f t="shared" si="47"/>
        <v>0</v>
      </c>
      <c r="AH46" s="41"/>
      <c r="AI46" s="136">
        <f t="shared" si="48"/>
        <v>0</v>
      </c>
      <c r="AJ46" s="37"/>
      <c r="AK46" s="41"/>
      <c r="AL46" s="38"/>
      <c r="AM46" s="38"/>
      <c r="AN46" s="40">
        <f t="shared" si="49"/>
        <v>0</v>
      </c>
      <c r="AO46" s="137">
        <f t="shared" si="54"/>
        <v>0</v>
      </c>
      <c r="AP46" s="138"/>
      <c r="AQ46" s="77">
        <f t="shared" si="50"/>
        <v>0</v>
      </c>
      <c r="AR46" s="44"/>
      <c r="AS46" s="44"/>
      <c r="AT46" s="46">
        <f t="shared" si="51"/>
        <v>0</v>
      </c>
      <c r="AU46" s="41"/>
      <c r="AV46" s="139"/>
      <c r="AW46" s="49">
        <f t="shared" si="52"/>
        <v>0</v>
      </c>
      <c r="AX46" s="49">
        <f t="shared" si="13"/>
        <v>0</v>
      </c>
      <c r="AY46" s="49">
        <f t="shared" si="53"/>
        <v>0</v>
      </c>
      <c r="BB46" s="33" t="s">
        <v>3104</v>
      </c>
      <c r="BC46" s="141"/>
      <c r="BF46" s="49"/>
      <c r="BG46" s="49"/>
      <c r="BI46" s="142"/>
    </row>
    <row r="47" ht="13.95" customHeight="1" spans="1:61">
      <c r="A47" s="127" t="s">
        <v>733</v>
      </c>
      <c r="B47" s="127" t="s">
        <v>767</v>
      </c>
      <c r="C47" s="30"/>
      <c r="D47" s="143"/>
      <c r="E47" s="133" t="s">
        <v>11</v>
      </c>
      <c r="F47" s="134" t="s">
        <v>265</v>
      </c>
      <c r="G47" s="97"/>
      <c r="H47" s="35"/>
      <c r="I47" s="36"/>
      <c r="J47" s="37"/>
      <c r="K47" s="38"/>
      <c r="L47" s="38"/>
      <c r="M47" s="38"/>
      <c r="N47" s="38"/>
      <c r="O47" s="38"/>
      <c r="P47" s="38"/>
      <c r="Q47" s="38"/>
      <c r="R47" s="39"/>
      <c r="S47" s="39"/>
      <c r="T47" s="39"/>
      <c r="U47" s="39"/>
      <c r="V47" s="98">
        <f t="shared" si="45"/>
        <v>0</v>
      </c>
      <c r="W47" s="37"/>
      <c r="X47" s="38"/>
      <c r="Y47" s="38"/>
      <c r="Z47" s="38"/>
      <c r="AA47" s="38"/>
      <c r="AB47" s="38"/>
      <c r="AC47" s="38"/>
      <c r="AD47" s="42"/>
      <c r="AE47" s="98"/>
      <c r="AF47" s="135">
        <f t="shared" si="46"/>
        <v>0</v>
      </c>
      <c r="AG47" s="43">
        <f t="shared" si="47"/>
        <v>0</v>
      </c>
      <c r="AH47" s="41"/>
      <c r="AI47" s="136">
        <f t="shared" si="48"/>
        <v>0</v>
      </c>
      <c r="AJ47" s="37"/>
      <c r="AK47" s="41"/>
      <c r="AL47" s="38"/>
      <c r="AM47" s="38"/>
      <c r="AN47" s="40">
        <f t="shared" si="49"/>
        <v>0</v>
      </c>
      <c r="AO47" s="137">
        <f t="shared" si="54"/>
        <v>0</v>
      </c>
      <c r="AP47" s="138"/>
      <c r="AQ47" s="77">
        <f t="shared" si="50"/>
        <v>0</v>
      </c>
      <c r="AR47" s="44"/>
      <c r="AS47" s="44"/>
      <c r="AT47" s="46">
        <f t="shared" si="51"/>
        <v>0</v>
      </c>
      <c r="AU47" s="41"/>
      <c r="AV47" s="139"/>
      <c r="AW47" s="49">
        <f t="shared" si="52"/>
        <v>0</v>
      </c>
      <c r="AX47" s="49">
        <f t="shared" si="13"/>
        <v>0</v>
      </c>
      <c r="AY47" s="49">
        <f t="shared" si="53"/>
        <v>0</v>
      </c>
      <c r="BB47" s="33" t="s">
        <v>3104</v>
      </c>
      <c r="BC47" s="141"/>
      <c r="BF47" s="49"/>
      <c r="BG47" s="49"/>
      <c r="BI47" s="142"/>
    </row>
    <row r="48" ht="13.95" customHeight="1" spans="1:61">
      <c r="A48" s="127" t="s">
        <v>733</v>
      </c>
      <c r="B48" s="127" t="s">
        <v>767</v>
      </c>
      <c r="C48" s="30"/>
      <c r="D48" s="143"/>
      <c r="E48" s="133" t="s">
        <v>11</v>
      </c>
      <c r="F48" s="134" t="s">
        <v>266</v>
      </c>
      <c r="G48" s="97"/>
      <c r="H48" s="35"/>
      <c r="I48" s="36"/>
      <c r="J48" s="37"/>
      <c r="K48" s="38"/>
      <c r="L48" s="38"/>
      <c r="M48" s="38"/>
      <c r="N48" s="38"/>
      <c r="O48" s="38"/>
      <c r="P48" s="38"/>
      <c r="Q48" s="38"/>
      <c r="R48" s="39"/>
      <c r="S48" s="39"/>
      <c r="T48" s="39"/>
      <c r="U48" s="39"/>
      <c r="V48" s="98">
        <f t="shared" si="45"/>
        <v>0</v>
      </c>
      <c r="W48" s="37"/>
      <c r="X48" s="38"/>
      <c r="Y48" s="38"/>
      <c r="Z48" s="38"/>
      <c r="AA48" s="38"/>
      <c r="AB48" s="38"/>
      <c r="AC48" s="38"/>
      <c r="AD48" s="42"/>
      <c r="AE48" s="98"/>
      <c r="AF48" s="135">
        <f t="shared" si="46"/>
        <v>0</v>
      </c>
      <c r="AG48" s="43">
        <f t="shared" si="47"/>
        <v>0</v>
      </c>
      <c r="AH48" s="41"/>
      <c r="AI48" s="136">
        <f t="shared" si="48"/>
        <v>0</v>
      </c>
      <c r="AJ48" s="37"/>
      <c r="AK48" s="41"/>
      <c r="AL48" s="38"/>
      <c r="AM48" s="38"/>
      <c r="AN48" s="40">
        <f t="shared" si="49"/>
        <v>0</v>
      </c>
      <c r="AO48" s="137">
        <f t="shared" si="54"/>
        <v>0</v>
      </c>
      <c r="AP48" s="138"/>
      <c r="AQ48" s="77">
        <f t="shared" si="50"/>
        <v>0</v>
      </c>
      <c r="AR48" s="44"/>
      <c r="AS48" s="44"/>
      <c r="AT48" s="46">
        <f t="shared" si="51"/>
        <v>0</v>
      </c>
      <c r="AU48" s="41"/>
      <c r="AV48" s="139"/>
      <c r="AW48" s="49">
        <f t="shared" si="52"/>
        <v>0</v>
      </c>
      <c r="AX48" s="49">
        <f t="shared" si="13"/>
        <v>0</v>
      </c>
      <c r="AY48" s="49">
        <f t="shared" si="53"/>
        <v>0</v>
      </c>
      <c r="BB48" s="134" t="s">
        <v>265</v>
      </c>
      <c r="BC48" s="141"/>
      <c r="BF48" s="49"/>
      <c r="BG48" s="49"/>
      <c r="BI48" s="142"/>
    </row>
    <row r="49" ht="13.95" customHeight="1" spans="1:61">
      <c r="A49" s="127" t="s">
        <v>733</v>
      </c>
      <c r="B49" s="127" t="s">
        <v>767</v>
      </c>
      <c r="C49" s="30"/>
      <c r="D49" s="143"/>
      <c r="E49" s="133" t="s">
        <v>11</v>
      </c>
      <c r="F49" s="134" t="s">
        <v>268</v>
      </c>
      <c r="G49" s="97"/>
      <c r="H49" s="35"/>
      <c r="I49" s="36"/>
      <c r="J49" s="37"/>
      <c r="K49" s="38"/>
      <c r="L49" s="38"/>
      <c r="M49" s="38"/>
      <c r="N49" s="38"/>
      <c r="O49" s="38"/>
      <c r="P49" s="38"/>
      <c r="Q49" s="38"/>
      <c r="R49" s="39"/>
      <c r="S49" s="39"/>
      <c r="T49" s="39"/>
      <c r="U49" s="39"/>
      <c r="V49" s="98">
        <f t="shared" si="45"/>
        <v>0</v>
      </c>
      <c r="W49" s="37"/>
      <c r="X49" s="38"/>
      <c r="Y49" s="38"/>
      <c r="Z49" s="38"/>
      <c r="AA49" s="38"/>
      <c r="AB49" s="38"/>
      <c r="AC49" s="38"/>
      <c r="AD49" s="42"/>
      <c r="AE49" s="98"/>
      <c r="AF49" s="135">
        <f t="shared" si="46"/>
        <v>0</v>
      </c>
      <c r="AG49" s="43">
        <f t="shared" si="47"/>
        <v>0</v>
      </c>
      <c r="AH49" s="41"/>
      <c r="AI49" s="136">
        <f t="shared" si="48"/>
        <v>0</v>
      </c>
      <c r="AJ49" s="37"/>
      <c r="AK49" s="41"/>
      <c r="AL49" s="38"/>
      <c r="AM49" s="38"/>
      <c r="AN49" s="40">
        <f t="shared" si="49"/>
        <v>0</v>
      </c>
      <c r="AO49" s="137">
        <f t="shared" si="54"/>
        <v>0</v>
      </c>
      <c r="AP49" s="138"/>
      <c r="AQ49" s="77">
        <f t="shared" si="50"/>
        <v>0</v>
      </c>
      <c r="AR49" s="44"/>
      <c r="AS49" s="44"/>
      <c r="AT49" s="46">
        <f t="shared" si="51"/>
        <v>0</v>
      </c>
      <c r="AU49" s="41"/>
      <c r="AV49" s="139"/>
      <c r="AW49" s="49">
        <f t="shared" si="52"/>
        <v>0</v>
      </c>
      <c r="AX49" s="49">
        <f t="shared" si="13"/>
        <v>0</v>
      </c>
      <c r="AY49" s="49">
        <f t="shared" si="53"/>
        <v>0</v>
      </c>
      <c r="BB49" s="134" t="s">
        <v>266</v>
      </c>
      <c r="BC49" s="141"/>
      <c r="BF49" s="49"/>
      <c r="BG49" s="49"/>
      <c r="BI49" s="142"/>
    </row>
    <row r="50" ht="13.95" customHeight="1" spans="1:61">
      <c r="A50" s="127" t="s">
        <v>733</v>
      </c>
      <c r="B50" s="127" t="s">
        <v>767</v>
      </c>
      <c r="C50" s="30"/>
      <c r="D50" s="143"/>
      <c r="E50" s="133" t="s">
        <v>238</v>
      </c>
      <c r="F50" s="134" t="s">
        <v>270</v>
      </c>
      <c r="G50" s="97"/>
      <c r="H50" s="35"/>
      <c r="I50" s="36"/>
      <c r="J50" s="37"/>
      <c r="K50" s="38"/>
      <c r="L50" s="38"/>
      <c r="M50" s="38"/>
      <c r="N50" s="38"/>
      <c r="O50" s="38"/>
      <c r="P50" s="38"/>
      <c r="Q50" s="38"/>
      <c r="R50" s="39"/>
      <c r="S50" s="39"/>
      <c r="T50" s="39"/>
      <c r="U50" s="39"/>
      <c r="V50" s="98">
        <f t="shared" si="45"/>
        <v>0</v>
      </c>
      <c r="W50" s="37"/>
      <c r="X50" s="38"/>
      <c r="Y50" s="38"/>
      <c r="Z50" s="38"/>
      <c r="AA50" s="38"/>
      <c r="AB50" s="38"/>
      <c r="AC50" s="38"/>
      <c r="AD50" s="42"/>
      <c r="AE50" s="98"/>
      <c r="AF50" s="135">
        <f t="shared" si="46"/>
        <v>0</v>
      </c>
      <c r="AG50" s="43">
        <f t="shared" si="47"/>
        <v>0</v>
      </c>
      <c r="AH50" s="41"/>
      <c r="AI50" s="136">
        <f t="shared" si="48"/>
        <v>0</v>
      </c>
      <c r="AJ50" s="37"/>
      <c r="AK50" s="41"/>
      <c r="AL50" s="38"/>
      <c r="AM50" s="38"/>
      <c r="AN50" s="40">
        <f t="shared" si="49"/>
        <v>0</v>
      </c>
      <c r="AO50" s="137">
        <f t="shared" si="54"/>
        <v>0</v>
      </c>
      <c r="AP50" s="138"/>
      <c r="AQ50" s="77">
        <f t="shared" si="50"/>
        <v>0</v>
      </c>
      <c r="AR50" s="44"/>
      <c r="AS50" s="44"/>
      <c r="AT50" s="46">
        <f t="shared" si="51"/>
        <v>0</v>
      </c>
      <c r="AU50" s="41"/>
      <c r="AV50" s="139"/>
      <c r="AW50" s="49">
        <f t="shared" si="52"/>
        <v>0</v>
      </c>
      <c r="AX50" s="49">
        <f t="shared" si="13"/>
        <v>0</v>
      </c>
      <c r="AY50" s="49">
        <f t="shared" si="53"/>
        <v>0</v>
      </c>
      <c r="BB50" s="134" t="s">
        <v>270</v>
      </c>
      <c r="BC50" s="141"/>
      <c r="BF50" s="49"/>
      <c r="BG50" s="49"/>
      <c r="BI50" s="142"/>
    </row>
    <row r="51" ht="13.95" customHeight="1" spans="1:61">
      <c r="A51" s="127" t="s">
        <v>733</v>
      </c>
      <c r="B51" s="127" t="s">
        <v>767</v>
      </c>
      <c r="C51" s="144"/>
      <c r="D51" s="145"/>
      <c r="E51" s="146" t="s">
        <v>193</v>
      </c>
      <c r="F51" s="147"/>
      <c r="G51" s="148">
        <f t="shared" ref="G51:AV51" si="55">SUM(G43:G50)</f>
        <v>0</v>
      </c>
      <c r="H51" s="148">
        <f t="shared" si="55"/>
        <v>0</v>
      </c>
      <c r="I51" s="148">
        <f t="shared" si="55"/>
        <v>0</v>
      </c>
      <c r="J51" s="149">
        <f t="shared" si="55"/>
        <v>0</v>
      </c>
      <c r="K51" s="149">
        <f t="shared" si="55"/>
        <v>0</v>
      </c>
      <c r="L51" s="149">
        <f t="shared" si="55"/>
        <v>0</v>
      </c>
      <c r="M51" s="149">
        <f t="shared" si="55"/>
        <v>0</v>
      </c>
      <c r="N51" s="149">
        <f t="shared" si="55"/>
        <v>0</v>
      </c>
      <c r="O51" s="149">
        <f t="shared" si="55"/>
        <v>0</v>
      </c>
      <c r="P51" s="149">
        <f t="shared" si="55"/>
        <v>0</v>
      </c>
      <c r="Q51" s="149">
        <f t="shared" si="55"/>
        <v>0</v>
      </c>
      <c r="R51" s="149">
        <f t="shared" si="55"/>
        <v>0</v>
      </c>
      <c r="S51" s="149">
        <f t="shared" si="55"/>
        <v>0</v>
      </c>
      <c r="T51" s="149">
        <f t="shared" si="55"/>
        <v>0</v>
      </c>
      <c r="U51" s="149">
        <f t="shared" si="55"/>
        <v>0</v>
      </c>
      <c r="V51" s="149">
        <f t="shared" si="55"/>
        <v>0</v>
      </c>
      <c r="W51" s="149">
        <f t="shared" si="55"/>
        <v>0</v>
      </c>
      <c r="X51" s="149">
        <f t="shared" si="55"/>
        <v>0</v>
      </c>
      <c r="Y51" s="149">
        <f t="shared" si="55"/>
        <v>0</v>
      </c>
      <c r="Z51" s="149">
        <f t="shared" si="55"/>
        <v>0</v>
      </c>
      <c r="AA51" s="149">
        <f t="shared" si="55"/>
        <v>0</v>
      </c>
      <c r="AB51" s="149">
        <f t="shared" si="55"/>
        <v>0</v>
      </c>
      <c r="AC51" s="149">
        <f t="shared" si="55"/>
        <v>0</v>
      </c>
      <c r="AD51" s="149">
        <f t="shared" si="55"/>
        <v>0</v>
      </c>
      <c r="AE51" s="149">
        <f t="shared" si="55"/>
        <v>0</v>
      </c>
      <c r="AF51" s="149">
        <f t="shared" si="55"/>
        <v>0</v>
      </c>
      <c r="AG51" s="149">
        <f t="shared" si="55"/>
        <v>0</v>
      </c>
      <c r="AH51" s="149">
        <f t="shared" si="55"/>
        <v>0</v>
      </c>
      <c r="AI51" s="149">
        <f t="shared" si="55"/>
        <v>0</v>
      </c>
      <c r="AJ51" s="149">
        <f t="shared" si="55"/>
        <v>0</v>
      </c>
      <c r="AK51" s="149">
        <f t="shared" si="55"/>
        <v>0</v>
      </c>
      <c r="AL51" s="149">
        <f t="shared" si="55"/>
        <v>0</v>
      </c>
      <c r="AM51" s="149">
        <f t="shared" si="55"/>
        <v>0</v>
      </c>
      <c r="AN51" s="149">
        <f t="shared" si="55"/>
        <v>0</v>
      </c>
      <c r="AO51" s="149">
        <f t="shared" si="55"/>
        <v>0</v>
      </c>
      <c r="AP51" s="149">
        <f t="shared" si="55"/>
        <v>0</v>
      </c>
      <c r="AQ51" s="149">
        <f t="shared" si="55"/>
        <v>0</v>
      </c>
      <c r="AR51" s="149">
        <f t="shared" si="55"/>
        <v>0</v>
      </c>
      <c r="AS51" s="149">
        <f t="shared" si="55"/>
        <v>0</v>
      </c>
      <c r="AT51" s="149">
        <f t="shared" si="55"/>
        <v>0</v>
      </c>
      <c r="AU51" s="149">
        <f t="shared" si="55"/>
        <v>0</v>
      </c>
      <c r="AV51" s="149">
        <f t="shared" si="55"/>
        <v>0</v>
      </c>
      <c r="AX51" s="49">
        <f t="shared" si="13"/>
        <v>0</v>
      </c>
      <c r="BB51" s="33" t="s">
        <v>3105</v>
      </c>
      <c r="BC51" s="141"/>
    </row>
    <row r="52" ht="13.95" customHeight="1" spans="1:61">
      <c r="A52" s="127" t="s">
        <v>733</v>
      </c>
      <c r="B52" s="127" t="s">
        <v>767</v>
      </c>
      <c r="C52" s="156"/>
      <c r="D52" s="157"/>
      <c r="E52" s="158" t="s">
        <v>222</v>
      </c>
      <c r="F52" s="159"/>
      <c r="G52" s="160">
        <f t="shared" ref="G52:AV52" si="56">SUM(G6,G18,G25,G32,G42,G51)</f>
        <v>0</v>
      </c>
      <c r="H52" s="160">
        <f t="shared" si="56"/>
        <v>0</v>
      </c>
      <c r="I52" s="160">
        <f t="shared" si="56"/>
        <v>0</v>
      </c>
      <c r="J52" s="160">
        <f t="shared" si="56"/>
        <v>0</v>
      </c>
      <c r="K52" s="160">
        <f t="shared" si="56"/>
        <v>0</v>
      </c>
      <c r="L52" s="160">
        <f t="shared" si="56"/>
        <v>0</v>
      </c>
      <c r="M52" s="160">
        <f t="shared" si="56"/>
        <v>0</v>
      </c>
      <c r="N52" s="160">
        <f t="shared" si="56"/>
        <v>0</v>
      </c>
      <c r="O52" s="160">
        <f t="shared" si="56"/>
        <v>0</v>
      </c>
      <c r="P52" s="160">
        <f t="shared" si="56"/>
        <v>0</v>
      </c>
      <c r="Q52" s="160">
        <f t="shared" si="56"/>
        <v>0</v>
      </c>
      <c r="R52" s="160">
        <f t="shared" si="56"/>
        <v>0</v>
      </c>
      <c r="S52" s="160">
        <f t="shared" si="56"/>
        <v>0</v>
      </c>
      <c r="T52" s="160">
        <f t="shared" si="56"/>
        <v>0</v>
      </c>
      <c r="U52" s="160">
        <f t="shared" si="56"/>
        <v>0</v>
      </c>
      <c r="V52" s="160">
        <f t="shared" si="56"/>
        <v>0</v>
      </c>
      <c r="W52" s="160">
        <f t="shared" si="56"/>
        <v>0</v>
      </c>
      <c r="X52" s="160">
        <f t="shared" si="56"/>
        <v>0</v>
      </c>
      <c r="Y52" s="160">
        <f t="shared" si="56"/>
        <v>0</v>
      </c>
      <c r="Z52" s="160">
        <f t="shared" si="56"/>
        <v>0</v>
      </c>
      <c r="AA52" s="160">
        <f t="shared" si="56"/>
        <v>0</v>
      </c>
      <c r="AB52" s="160">
        <f t="shared" si="56"/>
        <v>0</v>
      </c>
      <c r="AC52" s="160">
        <f t="shared" si="56"/>
        <v>0</v>
      </c>
      <c r="AD52" s="160">
        <f t="shared" si="56"/>
        <v>0</v>
      </c>
      <c r="AE52" s="160">
        <f t="shared" si="56"/>
        <v>0</v>
      </c>
      <c r="AF52" s="160">
        <f t="shared" si="56"/>
        <v>0</v>
      </c>
      <c r="AG52" s="160">
        <f t="shared" si="56"/>
        <v>0</v>
      </c>
      <c r="AH52" s="160">
        <f t="shared" si="56"/>
        <v>0</v>
      </c>
      <c r="AI52" s="160">
        <f t="shared" si="56"/>
        <v>0</v>
      </c>
      <c r="AJ52" s="160">
        <f t="shared" si="56"/>
        <v>0</v>
      </c>
      <c r="AK52" s="160">
        <f t="shared" si="56"/>
        <v>0</v>
      </c>
      <c r="AL52" s="160">
        <f t="shared" si="56"/>
        <v>0</v>
      </c>
      <c r="AM52" s="160">
        <f t="shared" si="56"/>
        <v>0</v>
      </c>
      <c r="AN52" s="160">
        <f t="shared" si="56"/>
        <v>0</v>
      </c>
      <c r="AO52" s="160">
        <f t="shared" si="56"/>
        <v>0</v>
      </c>
      <c r="AP52" s="160">
        <f t="shared" si="56"/>
        <v>0</v>
      </c>
      <c r="AQ52" s="160">
        <f t="shared" si="56"/>
        <v>0</v>
      </c>
      <c r="AR52" s="160">
        <f t="shared" si="56"/>
        <v>0</v>
      </c>
      <c r="AS52" s="160">
        <f t="shared" si="56"/>
        <v>0</v>
      </c>
      <c r="AT52" s="160">
        <f t="shared" si="56"/>
        <v>0</v>
      </c>
      <c r="AU52" s="160">
        <f t="shared" si="56"/>
        <v>0</v>
      </c>
      <c r="AV52" s="160">
        <f t="shared" si="56"/>
        <v>0</v>
      </c>
      <c r="AX52" s="64">
        <f t="shared" si="13"/>
        <v>0</v>
      </c>
      <c r="BB52" s="161" t="s">
        <v>232</v>
      </c>
      <c r="BC52" s="162"/>
    </row>
    <row r="53" ht="23.25" customHeight="1" spans="1:61">
      <c r="A53" s="127"/>
      <c r="B53" s="127"/>
      <c r="D53" s="66"/>
      <c r="E53" s="67"/>
      <c r="F53" s="163"/>
      <c r="AG53" s="125"/>
      <c r="AV53" s="125"/>
      <c r="BB53" s="164" t="s">
        <v>3106</v>
      </c>
      <c r="BC53" s="141"/>
    </row>
    <row r="54" ht="12.3" customHeight="1" spans="1:61">
      <c r="A54" s="127"/>
      <c r="B54" s="127"/>
      <c r="D54" s="68"/>
      <c r="E54" s="69"/>
      <c r="F54" s="165"/>
      <c r="I54" s="166">
        <f>243+230+239</f>
        <v>712</v>
      </c>
      <c r="BB54" s="164" t="s">
        <v>3107</v>
      </c>
      <c r="BC54" s="141"/>
    </row>
    <row r="55" ht="12.15" customHeight="1" spans="1:61">
      <c r="A55" s="127"/>
      <c r="B55" s="127"/>
      <c r="D55" s="49" t="s">
        <v>3108</v>
      </c>
      <c r="M55" s="49" t="s">
        <v>3109</v>
      </c>
      <c r="Q55" s="26"/>
      <c r="U55" s="70"/>
      <c r="V55" s="49" t="s">
        <v>3007</v>
      </c>
      <c r="AG55" s="49" t="s">
        <v>3110</v>
      </c>
      <c r="AI55" s="26"/>
      <c r="AL55" s="49"/>
      <c r="AT55" s="71" t="s">
        <v>3111</v>
      </c>
      <c r="BB55" s="164" t="s">
        <v>3112</v>
      </c>
      <c r="BC55" s="141"/>
    </row>
    <row r="56" spans="1:61">
      <c r="A56" s="127"/>
      <c r="B56" s="127"/>
      <c r="D56" s="49"/>
      <c r="AL56" s="49"/>
      <c r="AT56" s="49"/>
      <c r="BB56" s="167" t="s">
        <v>259</v>
      </c>
      <c r="BC56" s="141"/>
    </row>
    <row r="57" spans="1:61">
      <c r="D57" s="49"/>
      <c r="X57" s="26"/>
      <c r="BB57" s="141" t="s">
        <v>257</v>
      </c>
      <c r="BC57" s="141"/>
    </row>
    <row r="58" spans="1:61">
      <c r="D58" s="49"/>
      <c r="X58" s="26"/>
      <c r="BB58" s="134" t="s">
        <v>268</v>
      </c>
      <c r="BC58" s="141"/>
    </row>
    <row r="59" spans="1:61">
      <c r="D59" s="49"/>
      <c r="X59" s="26"/>
      <c r="BB59" s="141"/>
      <c r="BC59" s="141"/>
    </row>
    <row r="60" spans="1:61">
      <c r="D60" s="49"/>
      <c r="X60" s="26"/>
      <c r="BB60" s="141"/>
      <c r="BC60" s="141"/>
    </row>
    <row r="61" spans="1:61">
      <c r="D61" s="49"/>
      <c r="X61" s="26"/>
      <c r="BB61" s="141"/>
      <c r="BC61" s="141"/>
    </row>
    <row r="62" spans="1:61">
      <c r="D62" s="49"/>
      <c r="X62" s="26"/>
      <c r="BB62" s="141"/>
      <c r="BC62" s="141"/>
    </row>
    <row r="63" spans="1:61">
      <c r="D63" s="49"/>
      <c r="BB63" s="141"/>
      <c r="BC63" s="141"/>
    </row>
    <row r="64" spans="1:61">
      <c r="C64" s="49"/>
      <c r="D64" s="49"/>
      <c r="G64" s="49"/>
      <c r="H64" s="49"/>
      <c r="I64" s="49"/>
      <c r="AG64" s="49"/>
      <c r="AH64" s="49"/>
      <c r="AI64" s="49"/>
      <c r="AJ64" s="49"/>
      <c r="AK64" s="49"/>
      <c r="AL64" s="49"/>
      <c r="AN64" s="49"/>
      <c r="AO64" s="49"/>
      <c r="AP64" s="49"/>
      <c r="AQ64" s="49"/>
      <c r="AR64" s="49"/>
      <c r="AS64" s="49"/>
      <c r="AT64" s="71"/>
      <c r="AU64" s="49"/>
      <c r="AV64" s="49"/>
      <c r="BB64" s="141"/>
      <c r="BC64" s="141"/>
    </row>
    <row r="65" spans="3:55">
      <c r="C65" s="49"/>
      <c r="D65" s="49"/>
      <c r="G65" s="49"/>
      <c r="H65" s="49"/>
      <c r="I65" s="49"/>
      <c r="AG65" s="49"/>
      <c r="AH65" s="49"/>
      <c r="AI65" s="49"/>
      <c r="AJ65" s="49"/>
      <c r="AK65" s="49"/>
      <c r="AL65" s="49"/>
      <c r="AN65" s="49"/>
      <c r="AO65" s="49"/>
      <c r="AP65" s="49"/>
      <c r="AQ65" s="49"/>
      <c r="AR65" s="49"/>
      <c r="AS65" s="49"/>
      <c r="AT65" s="71"/>
      <c r="AU65" s="49"/>
      <c r="AV65" s="49"/>
      <c r="BB65" s="141"/>
      <c r="BC65" s="141"/>
    </row>
    <row r="66" spans="3:55">
      <c r="C66" s="49"/>
      <c r="D66" s="49"/>
      <c r="G66" s="49"/>
      <c r="H66" s="49"/>
      <c r="I66" s="49"/>
      <c r="AG66" s="49"/>
      <c r="AH66" s="49"/>
      <c r="AI66" s="49"/>
      <c r="AJ66" s="49"/>
      <c r="AK66" s="49"/>
      <c r="AL66" s="49"/>
      <c r="AN66" s="49"/>
      <c r="AO66" s="49"/>
      <c r="AP66" s="49"/>
      <c r="AQ66" s="49"/>
      <c r="AR66" s="49"/>
      <c r="AS66" s="49"/>
      <c r="AT66" s="71"/>
      <c r="AU66" s="49"/>
      <c r="AV66" s="49"/>
      <c r="BB66" s="141"/>
      <c r="BC66" s="141"/>
    </row>
    <row r="67" spans="3:55">
      <c r="C67" s="49"/>
      <c r="D67" s="49"/>
      <c r="G67" s="49"/>
      <c r="H67" s="49"/>
      <c r="I67" s="49"/>
      <c r="AG67" s="49"/>
      <c r="AH67" s="49"/>
      <c r="AI67" s="49"/>
      <c r="AJ67" s="49"/>
      <c r="AK67" s="49"/>
      <c r="AL67" s="49"/>
      <c r="AN67" s="49"/>
      <c r="AO67" s="49"/>
      <c r="AP67" s="49"/>
      <c r="AQ67" s="49"/>
      <c r="AR67" s="49"/>
      <c r="AS67" s="49"/>
      <c r="AT67" s="71"/>
      <c r="AU67" s="49"/>
      <c r="AV67" s="49"/>
      <c r="BB67" s="141"/>
      <c r="BC67" s="141"/>
    </row>
    <row r="68" spans="3:55">
      <c r="C68" s="49"/>
      <c r="D68" s="49"/>
      <c r="G68" s="49"/>
      <c r="H68" s="49"/>
      <c r="I68" s="49"/>
      <c r="AG68" s="49"/>
      <c r="AH68" s="49"/>
      <c r="AI68" s="49"/>
      <c r="AJ68" s="49"/>
      <c r="AK68" s="49"/>
      <c r="AL68" s="49"/>
      <c r="AN68" s="49"/>
      <c r="AO68" s="49"/>
      <c r="AP68" s="49"/>
      <c r="AQ68" s="49"/>
      <c r="AR68" s="49"/>
      <c r="AS68" s="49"/>
      <c r="AT68" s="71"/>
      <c r="AU68" s="49"/>
      <c r="AV68" s="49"/>
      <c r="BB68" s="141"/>
      <c r="BC68" s="141"/>
    </row>
    <row r="69" spans="3:55">
      <c r="C69" s="49"/>
      <c r="D69" s="49"/>
      <c r="G69" s="49"/>
      <c r="H69" s="49"/>
      <c r="I69" s="49"/>
      <c r="AG69" s="49"/>
      <c r="AH69" s="49"/>
      <c r="AI69" s="49"/>
      <c r="AJ69" s="49"/>
      <c r="AK69" s="49"/>
      <c r="AL69" s="49"/>
      <c r="AN69" s="49"/>
      <c r="AO69" s="49"/>
      <c r="AP69" s="49"/>
      <c r="AQ69" s="49"/>
      <c r="AR69" s="49"/>
      <c r="AS69" s="49"/>
      <c r="AT69" s="71"/>
      <c r="AU69" s="49"/>
      <c r="AV69" s="49"/>
      <c r="BB69" s="141"/>
      <c r="BC69" s="141"/>
    </row>
    <row r="70" spans="3:55">
      <c r="C70" s="49"/>
      <c r="D70" s="49"/>
      <c r="G70" s="49"/>
      <c r="H70" s="49"/>
      <c r="I70" s="49"/>
      <c r="AG70" s="49"/>
      <c r="AH70" s="49"/>
      <c r="AI70" s="49"/>
      <c r="AJ70" s="49"/>
      <c r="AK70" s="49"/>
      <c r="AL70" s="49"/>
      <c r="AN70" s="49"/>
      <c r="AO70" s="49"/>
      <c r="AP70" s="49"/>
      <c r="AQ70" s="49"/>
      <c r="AR70" s="49"/>
      <c r="AS70" s="49"/>
      <c r="AT70" s="71"/>
      <c r="AU70" s="49"/>
      <c r="AV70" s="49"/>
      <c r="BB70" s="141"/>
      <c r="BC70" s="141"/>
    </row>
    <row r="71" spans="3:55">
      <c r="C71" s="49"/>
      <c r="D71" s="49"/>
      <c r="G71" s="49"/>
      <c r="H71" s="49"/>
      <c r="I71" s="49"/>
      <c r="AG71" s="49"/>
      <c r="AH71" s="49"/>
      <c r="AI71" s="49"/>
      <c r="AJ71" s="49"/>
      <c r="AK71" s="49"/>
      <c r="AL71" s="49"/>
      <c r="AN71" s="49"/>
      <c r="AO71" s="49"/>
      <c r="AP71" s="49"/>
      <c r="AQ71" s="49"/>
      <c r="AR71" s="49"/>
      <c r="AS71" s="49"/>
      <c r="AT71" s="71"/>
      <c r="AU71" s="49"/>
      <c r="AV71" s="49"/>
      <c r="BB71" s="141"/>
      <c r="BC71" s="141"/>
    </row>
    <row r="72" spans="3:55">
      <c r="C72" s="49"/>
      <c r="D72" s="49"/>
      <c r="E72" s="49"/>
      <c r="G72" s="49"/>
      <c r="H72" s="49"/>
      <c r="I72" s="49"/>
      <c r="AG72" s="49"/>
      <c r="AH72" s="49"/>
      <c r="AI72" s="49"/>
      <c r="AJ72" s="49"/>
      <c r="AK72" s="49"/>
      <c r="AL72" s="49"/>
      <c r="AN72" s="49"/>
      <c r="AO72" s="49"/>
      <c r="AP72" s="49"/>
      <c r="AQ72" s="49"/>
      <c r="AR72" s="49"/>
      <c r="AS72" s="49"/>
      <c r="AT72" s="71"/>
      <c r="AU72" s="49"/>
      <c r="AV72" s="49"/>
      <c r="BB72" s="141"/>
      <c r="BC72" s="141"/>
    </row>
    <row r="73" spans="3:55">
      <c r="C73" s="49"/>
      <c r="D73" s="49"/>
      <c r="E73" s="49"/>
      <c r="G73" s="49"/>
      <c r="H73" s="49"/>
      <c r="I73" s="49"/>
      <c r="AG73" s="49"/>
      <c r="AH73" s="49"/>
      <c r="AI73" s="49"/>
      <c r="AJ73" s="49"/>
      <c r="AK73" s="49"/>
      <c r="AL73" s="49"/>
      <c r="AN73" s="49"/>
      <c r="AO73" s="49"/>
      <c r="AP73" s="49"/>
      <c r="AQ73" s="49"/>
      <c r="AR73" s="49"/>
      <c r="AS73" s="49"/>
      <c r="AT73" s="71"/>
      <c r="AU73" s="49"/>
      <c r="AV73" s="49"/>
      <c r="BB73" s="141"/>
      <c r="BC73" s="141"/>
    </row>
    <row r="74" spans="3:55">
      <c r="C74" s="49"/>
      <c r="D74" s="49"/>
      <c r="E74" s="49"/>
      <c r="G74" s="49"/>
      <c r="H74" s="49"/>
      <c r="I74" s="49"/>
      <c r="AG74" s="49"/>
      <c r="AH74" s="49"/>
      <c r="AI74" s="49"/>
      <c r="AJ74" s="49"/>
      <c r="AK74" s="49"/>
      <c r="AL74" s="49"/>
      <c r="AN74" s="49"/>
      <c r="AO74" s="49"/>
      <c r="AP74" s="49"/>
      <c r="AQ74" s="49"/>
      <c r="AR74" s="49"/>
      <c r="AS74" s="49"/>
      <c r="AT74" s="71"/>
      <c r="AU74" s="49"/>
      <c r="AV74" s="49"/>
      <c r="BB74" s="167"/>
      <c r="BC74" s="141"/>
    </row>
    <row r="75" spans="3:55">
      <c r="C75" s="49"/>
      <c r="D75" s="49"/>
      <c r="E75" s="49"/>
      <c r="G75" s="49"/>
      <c r="H75" s="49"/>
      <c r="I75" s="49"/>
      <c r="AG75" s="49"/>
      <c r="AH75" s="49"/>
      <c r="AI75" s="49"/>
      <c r="AJ75" s="49"/>
      <c r="AK75" s="49"/>
      <c r="AL75" s="49"/>
      <c r="AN75" s="49"/>
      <c r="AO75" s="49"/>
      <c r="AP75" s="49"/>
      <c r="AQ75" s="49"/>
      <c r="AR75" s="49"/>
      <c r="AS75" s="49"/>
      <c r="AT75" s="71"/>
      <c r="AU75" s="49"/>
      <c r="AV75" s="49"/>
      <c r="BB75" s="167"/>
      <c r="BC75" s="141"/>
    </row>
    <row r="76" spans="3:55">
      <c r="C76" s="49"/>
      <c r="D76" s="49"/>
      <c r="E76" s="49"/>
      <c r="G76" s="49"/>
      <c r="H76" s="49"/>
      <c r="I76" s="49"/>
      <c r="AG76" s="49"/>
      <c r="AH76" s="49"/>
      <c r="AI76" s="49"/>
      <c r="AJ76" s="49"/>
      <c r="AK76" s="49"/>
      <c r="AL76" s="49"/>
      <c r="AN76" s="49"/>
      <c r="AO76" s="49"/>
      <c r="AP76" s="49"/>
      <c r="AQ76" s="49"/>
      <c r="AR76" s="49"/>
      <c r="AS76" s="49"/>
      <c r="AT76" s="71"/>
      <c r="AU76" s="49"/>
      <c r="AV76" s="49"/>
      <c r="BB76" s="167"/>
      <c r="BC76" s="141"/>
    </row>
    <row r="77" spans="3:55">
      <c r="C77" s="49"/>
      <c r="D77" s="49"/>
      <c r="E77" s="49"/>
      <c r="G77" s="49"/>
      <c r="H77" s="49"/>
      <c r="I77" s="49"/>
      <c r="AG77" s="49"/>
      <c r="AH77" s="49"/>
      <c r="AI77" s="49"/>
      <c r="AJ77" s="49"/>
      <c r="AK77" s="49"/>
      <c r="AL77" s="49"/>
      <c r="AN77" s="49"/>
      <c r="AO77" s="49"/>
      <c r="AP77" s="49"/>
      <c r="AQ77" s="49"/>
      <c r="AR77" s="49"/>
      <c r="AS77" s="49"/>
      <c r="AT77" s="71"/>
      <c r="AU77" s="49"/>
      <c r="AV77" s="49"/>
      <c r="BB77" s="167"/>
      <c r="BC77" s="141"/>
    </row>
    <row r="78" spans="3:55">
      <c r="C78" s="49"/>
      <c r="D78" s="49"/>
      <c r="E78" s="49"/>
      <c r="G78" s="49"/>
      <c r="H78" s="49"/>
      <c r="I78" s="49"/>
      <c r="AG78" s="49"/>
      <c r="AH78" s="49"/>
      <c r="AI78" s="49"/>
      <c r="AJ78" s="49"/>
      <c r="AK78" s="49"/>
      <c r="AL78" s="49"/>
      <c r="AN78" s="49"/>
      <c r="AO78" s="49"/>
      <c r="AP78" s="49"/>
      <c r="AQ78" s="49"/>
      <c r="AR78" s="49"/>
      <c r="AS78" s="49"/>
      <c r="AT78" s="71"/>
      <c r="AU78" s="49"/>
      <c r="AV78" s="49"/>
      <c r="BB78" s="141"/>
      <c r="BC78" s="141"/>
    </row>
    <row r="79" spans="3:55">
      <c r="C79" s="49"/>
      <c r="D79" s="49"/>
      <c r="E79" s="49"/>
      <c r="G79" s="49"/>
      <c r="H79" s="49"/>
      <c r="I79" s="49"/>
      <c r="AG79" s="49"/>
      <c r="AH79" s="49"/>
      <c r="AI79" s="49"/>
      <c r="AJ79" s="49"/>
      <c r="AK79" s="49"/>
      <c r="AL79" s="49"/>
      <c r="AN79" s="49"/>
      <c r="AO79" s="49"/>
      <c r="AP79" s="49"/>
      <c r="AQ79" s="49"/>
      <c r="AR79" s="49"/>
      <c r="AS79" s="49"/>
      <c r="AT79" s="71"/>
      <c r="AU79" s="49"/>
      <c r="AV79" s="49"/>
      <c r="BB79" s="141"/>
      <c r="BC79" s="141"/>
    </row>
    <row r="80" spans="3:55">
      <c r="C80" s="49"/>
      <c r="D80" s="49"/>
      <c r="E80" s="49"/>
      <c r="G80" s="49"/>
      <c r="H80" s="49"/>
      <c r="I80" s="49"/>
      <c r="AG80" s="49"/>
      <c r="AH80" s="49"/>
      <c r="AI80" s="49"/>
      <c r="AJ80" s="49"/>
      <c r="AK80" s="49"/>
      <c r="AL80" s="49"/>
      <c r="AN80" s="49"/>
      <c r="AO80" s="49"/>
      <c r="AP80" s="49"/>
      <c r="AQ80" s="49"/>
      <c r="AR80" s="49"/>
      <c r="AS80" s="49"/>
      <c r="AT80" s="71"/>
      <c r="AU80" s="49"/>
      <c r="AV80" s="49"/>
      <c r="BB80" s="141"/>
      <c r="BC80" s="141"/>
    </row>
    <row r="81" spans="3:55">
      <c r="C81" s="49"/>
      <c r="D81" s="49"/>
      <c r="E81" s="49"/>
      <c r="G81" s="49"/>
      <c r="H81" s="49"/>
      <c r="I81" s="49"/>
      <c r="AG81" s="49"/>
      <c r="AH81" s="49"/>
      <c r="AI81" s="49"/>
      <c r="AJ81" s="49"/>
      <c r="AK81" s="49"/>
      <c r="AL81" s="49"/>
      <c r="AN81" s="49"/>
      <c r="AO81" s="49"/>
      <c r="AP81" s="49"/>
      <c r="AQ81" s="49"/>
      <c r="AR81" s="49"/>
      <c r="AS81" s="49"/>
      <c r="AT81" s="71"/>
      <c r="AU81" s="49"/>
      <c r="AV81" s="49"/>
      <c r="BB81" s="141"/>
      <c r="BC81" s="141"/>
    </row>
    <row r="82" spans="3:55">
      <c r="C82" s="49"/>
      <c r="D82" s="49"/>
      <c r="E82" s="49"/>
      <c r="G82" s="49"/>
      <c r="H82" s="49"/>
      <c r="I82" s="49"/>
      <c r="AG82" s="49"/>
      <c r="AH82" s="49"/>
      <c r="AI82" s="49"/>
      <c r="AJ82" s="49"/>
      <c r="AK82" s="49"/>
      <c r="AL82" s="49"/>
      <c r="AN82" s="49"/>
      <c r="AO82" s="49"/>
      <c r="AP82" s="49"/>
      <c r="AQ82" s="49"/>
      <c r="AR82" s="49"/>
      <c r="AS82" s="49"/>
      <c r="AT82" s="71"/>
      <c r="AU82" s="49"/>
      <c r="AV82" s="49"/>
      <c r="BB82" s="141"/>
      <c r="BC82" s="141"/>
    </row>
    <row r="83" spans="3:55">
      <c r="C83" s="49"/>
      <c r="D83" s="49"/>
      <c r="E83" s="49"/>
      <c r="G83" s="49"/>
      <c r="H83" s="49"/>
      <c r="I83" s="49"/>
      <c r="AG83" s="49"/>
      <c r="AH83" s="49"/>
      <c r="AI83" s="49"/>
      <c r="AJ83" s="49"/>
      <c r="AK83" s="49"/>
      <c r="AL83" s="49"/>
      <c r="AN83" s="49"/>
      <c r="AO83" s="49"/>
      <c r="AP83" s="49"/>
      <c r="AQ83" s="49"/>
      <c r="AR83" s="49"/>
      <c r="AS83" s="49"/>
      <c r="AT83" s="71"/>
      <c r="AU83" s="49"/>
      <c r="AV83" s="49"/>
      <c r="BB83" s="141"/>
      <c r="BC83" s="141"/>
    </row>
    <row r="84" spans="3:55">
      <c r="C84" s="49"/>
      <c r="D84" s="49"/>
      <c r="E84" s="49"/>
      <c r="G84" s="49"/>
      <c r="H84" s="49"/>
      <c r="I84" s="49"/>
      <c r="AG84" s="49"/>
      <c r="AH84" s="49"/>
      <c r="AI84" s="49"/>
      <c r="AJ84" s="49"/>
      <c r="AK84" s="49"/>
      <c r="AL84" s="49"/>
      <c r="AN84" s="49"/>
      <c r="AO84" s="49"/>
      <c r="AP84" s="49"/>
      <c r="AQ84" s="49"/>
      <c r="AR84" s="49"/>
      <c r="AS84" s="49"/>
      <c r="AT84" s="71"/>
      <c r="AU84" s="49"/>
      <c r="AV84" s="49"/>
      <c r="BB84" s="141"/>
      <c r="BC84" s="141"/>
    </row>
    <row r="85" spans="3:55">
      <c r="C85" s="49"/>
      <c r="D85" s="49"/>
      <c r="E85" s="49"/>
      <c r="G85" s="49"/>
      <c r="H85" s="49"/>
      <c r="I85" s="49"/>
      <c r="AG85" s="49"/>
      <c r="AH85" s="49"/>
      <c r="AI85" s="49"/>
      <c r="AJ85" s="49"/>
      <c r="AK85" s="49"/>
      <c r="AL85" s="49"/>
      <c r="AN85" s="49"/>
      <c r="AO85" s="49"/>
      <c r="AP85" s="49"/>
      <c r="AQ85" s="49"/>
      <c r="AR85" s="49"/>
      <c r="AS85" s="49"/>
      <c r="AT85" s="71"/>
      <c r="AU85" s="49"/>
      <c r="AV85" s="49"/>
      <c r="BB85" s="141"/>
      <c r="BC85" s="141"/>
    </row>
    <row r="86" spans="3:55">
      <c r="C86" s="49"/>
      <c r="D86" s="49"/>
      <c r="E86" s="49"/>
      <c r="G86" s="49"/>
      <c r="H86" s="49"/>
      <c r="I86" s="49"/>
      <c r="AG86" s="49"/>
      <c r="AH86" s="49"/>
      <c r="AI86" s="49"/>
      <c r="AJ86" s="49"/>
      <c r="AK86" s="49"/>
      <c r="AL86" s="49"/>
      <c r="AN86" s="49"/>
      <c r="AO86" s="49"/>
      <c r="AP86" s="49"/>
      <c r="AQ86" s="49"/>
      <c r="AR86" s="49"/>
      <c r="AS86" s="49"/>
      <c r="AT86" s="71"/>
      <c r="AU86" s="49"/>
      <c r="AV86" s="49"/>
      <c r="BB86" s="141"/>
      <c r="BC86" s="141"/>
    </row>
    <row r="87" spans="3:55">
      <c r="C87" s="49"/>
      <c r="D87" s="49"/>
      <c r="E87" s="49"/>
      <c r="G87" s="49"/>
      <c r="H87" s="49"/>
      <c r="I87" s="49"/>
      <c r="AG87" s="49"/>
      <c r="AH87" s="49"/>
      <c r="AI87" s="49"/>
      <c r="AJ87" s="49"/>
      <c r="AK87" s="49"/>
      <c r="AL87" s="49"/>
      <c r="AN87" s="49"/>
      <c r="AO87" s="49"/>
      <c r="AP87" s="49"/>
      <c r="AQ87" s="49"/>
      <c r="AR87" s="49"/>
      <c r="AS87" s="49"/>
      <c r="AT87" s="71"/>
      <c r="AU87" s="49"/>
      <c r="AV87" s="49"/>
      <c r="BB87" s="141"/>
      <c r="BC87" s="141"/>
    </row>
    <row r="88" spans="3:55">
      <c r="C88" s="49"/>
      <c r="D88" s="49"/>
      <c r="E88" s="49"/>
      <c r="G88" s="49"/>
      <c r="H88" s="49"/>
      <c r="I88" s="49"/>
      <c r="AG88" s="49"/>
      <c r="AH88" s="49"/>
      <c r="AI88" s="49"/>
      <c r="AJ88" s="49"/>
      <c r="AK88" s="49"/>
      <c r="AL88" s="49"/>
      <c r="AN88" s="49"/>
      <c r="AO88" s="49"/>
      <c r="AP88" s="49"/>
      <c r="AQ88" s="49"/>
      <c r="AR88" s="49"/>
      <c r="AS88" s="49"/>
      <c r="AT88" s="71"/>
      <c r="AU88" s="49"/>
      <c r="AV88" s="49"/>
      <c r="BB88" s="141"/>
      <c r="BC88" s="141"/>
    </row>
    <row r="89" spans="3:55">
      <c r="C89" s="49"/>
      <c r="D89" s="49"/>
      <c r="E89" s="49"/>
      <c r="G89" s="49"/>
      <c r="H89" s="49"/>
      <c r="I89" s="49"/>
      <c r="AG89" s="49"/>
      <c r="AH89" s="49"/>
      <c r="AI89" s="49"/>
      <c r="AJ89" s="49"/>
      <c r="AK89" s="49"/>
      <c r="AL89" s="49"/>
      <c r="AN89" s="49"/>
      <c r="AO89" s="49"/>
      <c r="AP89" s="49"/>
      <c r="AQ89" s="49"/>
      <c r="AR89" s="49"/>
      <c r="AS89" s="49"/>
      <c r="AT89" s="71"/>
      <c r="AU89" s="49"/>
      <c r="AV89" s="49"/>
      <c r="BB89" s="141"/>
      <c r="BC89" s="141"/>
    </row>
    <row r="90" spans="3:55">
      <c r="C90" s="49"/>
      <c r="D90" s="49"/>
      <c r="E90" s="49"/>
      <c r="G90" s="49"/>
      <c r="H90" s="49"/>
      <c r="I90" s="49"/>
      <c r="AG90" s="49"/>
      <c r="AH90" s="49"/>
      <c r="AI90" s="49"/>
      <c r="AJ90" s="49"/>
      <c r="AK90" s="49"/>
      <c r="AL90" s="49"/>
      <c r="AN90" s="49"/>
      <c r="AO90" s="49"/>
      <c r="AP90" s="49"/>
      <c r="AQ90" s="49"/>
      <c r="AR90" s="49"/>
      <c r="AS90" s="49"/>
      <c r="AT90" s="71"/>
      <c r="AU90" s="49"/>
      <c r="AV90" s="49"/>
      <c r="BB90" s="141"/>
      <c r="BC90" s="141"/>
    </row>
    <row r="91" spans="3:55">
      <c r="C91" s="49"/>
      <c r="D91" s="49"/>
      <c r="E91" s="49"/>
      <c r="G91" s="49"/>
      <c r="H91" s="49"/>
      <c r="I91" s="49"/>
      <c r="AG91" s="49"/>
      <c r="AH91" s="49"/>
      <c r="AI91" s="49"/>
      <c r="AJ91" s="49"/>
      <c r="AK91" s="49"/>
      <c r="AL91" s="49"/>
      <c r="AN91" s="49"/>
      <c r="AO91" s="49"/>
      <c r="AP91" s="49"/>
      <c r="AQ91" s="49"/>
      <c r="AR91" s="49"/>
      <c r="AS91" s="49"/>
      <c r="AT91" s="71"/>
      <c r="AU91" s="49"/>
      <c r="AV91" s="49"/>
      <c r="BB91" s="141"/>
      <c r="BC91" s="141"/>
    </row>
    <row r="92" spans="3:55">
      <c r="C92" s="49"/>
      <c r="D92" s="49"/>
      <c r="E92" s="49"/>
      <c r="G92" s="49"/>
      <c r="H92" s="49"/>
      <c r="I92" s="49"/>
      <c r="AG92" s="49"/>
      <c r="AH92" s="49"/>
      <c r="AI92" s="49"/>
      <c r="AJ92" s="49"/>
      <c r="AK92" s="49"/>
      <c r="AL92" s="49"/>
      <c r="AN92" s="49"/>
      <c r="AO92" s="49"/>
      <c r="AP92" s="49"/>
      <c r="AQ92" s="49"/>
      <c r="AR92" s="49"/>
      <c r="AS92" s="49"/>
      <c r="AT92" s="71"/>
      <c r="AU92" s="49"/>
      <c r="AV92" s="49"/>
      <c r="BB92" s="141"/>
      <c r="BC92" s="141"/>
    </row>
    <row r="93" spans="3:55">
      <c r="C93" s="49"/>
      <c r="D93" s="49"/>
      <c r="E93" s="49"/>
      <c r="G93" s="49"/>
      <c r="H93" s="49"/>
      <c r="I93" s="49"/>
      <c r="AG93" s="49"/>
      <c r="AH93" s="49"/>
      <c r="AI93" s="49"/>
      <c r="AJ93" s="49"/>
      <c r="AK93" s="49"/>
      <c r="AL93" s="49"/>
      <c r="AN93" s="49"/>
      <c r="AO93" s="49"/>
      <c r="AP93" s="49"/>
      <c r="AQ93" s="49"/>
      <c r="AR93" s="49"/>
      <c r="AS93" s="49"/>
      <c r="AT93" s="71"/>
      <c r="AU93" s="49"/>
      <c r="AV93" s="49"/>
      <c r="BB93" s="141"/>
      <c r="BC93" s="141"/>
    </row>
    <row r="94" spans="3:55">
      <c r="C94" s="49"/>
      <c r="D94" s="49"/>
      <c r="E94" s="49"/>
      <c r="G94" s="49"/>
      <c r="H94" s="49"/>
      <c r="I94" s="49"/>
      <c r="AG94" s="49"/>
      <c r="AH94" s="49"/>
      <c r="AI94" s="49"/>
      <c r="AJ94" s="49"/>
      <c r="AK94" s="49"/>
      <c r="AL94" s="49"/>
      <c r="AN94" s="49"/>
      <c r="AO94" s="49"/>
      <c r="AP94" s="49"/>
      <c r="AQ94" s="49"/>
      <c r="AR94" s="49"/>
      <c r="AS94" s="49"/>
      <c r="AT94" s="71"/>
      <c r="AU94" s="49"/>
      <c r="AV94" s="49"/>
      <c r="BB94" s="141"/>
      <c r="BC94" s="141"/>
    </row>
    <row r="95" spans="3:55">
      <c r="C95" s="49"/>
      <c r="D95" s="49"/>
      <c r="E95" s="49"/>
      <c r="G95" s="49"/>
      <c r="H95" s="49"/>
      <c r="I95" s="49"/>
      <c r="AG95" s="49"/>
      <c r="AH95" s="49"/>
      <c r="AI95" s="49"/>
      <c r="AJ95" s="49"/>
      <c r="AK95" s="49"/>
      <c r="AL95" s="49"/>
      <c r="AN95" s="49"/>
      <c r="AO95" s="49"/>
      <c r="AP95" s="49"/>
      <c r="AQ95" s="49"/>
      <c r="AR95" s="49"/>
      <c r="AS95" s="49"/>
      <c r="AT95" s="71"/>
      <c r="AU95" s="49"/>
      <c r="AV95" s="49"/>
      <c r="BB95" s="141"/>
      <c r="BC95" s="141"/>
    </row>
    <row r="96" spans="3:55">
      <c r="C96" s="49"/>
      <c r="D96" s="49"/>
      <c r="E96" s="49"/>
      <c r="G96" s="49"/>
      <c r="H96" s="49"/>
      <c r="I96" s="49"/>
      <c r="AG96" s="49"/>
      <c r="AH96" s="49"/>
      <c r="AI96" s="49"/>
      <c r="AJ96" s="49"/>
      <c r="AK96" s="49"/>
      <c r="AL96" s="49"/>
      <c r="AN96" s="49"/>
      <c r="AO96" s="49"/>
      <c r="AP96" s="49"/>
      <c r="AQ96" s="49"/>
      <c r="AR96" s="49"/>
      <c r="AS96" s="49"/>
      <c r="AT96" s="71"/>
      <c r="AU96" s="49"/>
      <c r="AV96" s="49"/>
      <c r="BB96" s="141"/>
      <c r="BC96" s="141"/>
    </row>
    <row r="97" spans="3:55">
      <c r="C97" s="49"/>
      <c r="D97" s="49"/>
      <c r="E97" s="49"/>
      <c r="G97" s="49"/>
      <c r="H97" s="49"/>
      <c r="I97" s="49"/>
      <c r="AG97" s="49"/>
      <c r="AH97" s="49"/>
      <c r="AI97" s="49"/>
      <c r="AJ97" s="49"/>
      <c r="AK97" s="49"/>
      <c r="AL97" s="49"/>
      <c r="AN97" s="49"/>
      <c r="AO97" s="49"/>
      <c r="AP97" s="49"/>
      <c r="AQ97" s="49"/>
      <c r="AR97" s="49"/>
      <c r="AS97" s="49"/>
      <c r="AT97" s="71"/>
      <c r="AU97" s="49"/>
      <c r="AV97" s="49"/>
      <c r="BB97" s="141"/>
      <c r="BC97" s="141"/>
    </row>
    <row r="98" spans="3:55">
      <c r="C98" s="49"/>
      <c r="D98" s="49"/>
      <c r="E98" s="49"/>
      <c r="G98" s="49"/>
      <c r="H98" s="49"/>
      <c r="I98" s="49"/>
      <c r="AG98" s="49"/>
      <c r="AH98" s="49"/>
      <c r="AI98" s="49"/>
      <c r="AJ98" s="49"/>
      <c r="AK98" s="49"/>
      <c r="AL98" s="49"/>
      <c r="AN98" s="49"/>
      <c r="AO98" s="49"/>
      <c r="AP98" s="49"/>
      <c r="AQ98" s="49"/>
      <c r="AR98" s="49"/>
      <c r="AS98" s="49"/>
      <c r="AT98" s="71"/>
      <c r="AU98" s="49"/>
      <c r="AV98" s="49"/>
      <c r="BB98" s="141"/>
      <c r="BC98" s="141"/>
    </row>
    <row r="99" spans="3:55">
      <c r="C99" s="49"/>
      <c r="D99" s="49"/>
      <c r="E99" s="49"/>
      <c r="G99" s="49"/>
      <c r="H99" s="49"/>
      <c r="I99" s="49"/>
      <c r="AG99" s="49"/>
      <c r="AH99" s="49"/>
      <c r="AI99" s="49"/>
      <c r="AJ99" s="49"/>
      <c r="AK99" s="49"/>
      <c r="AL99" s="49"/>
      <c r="AN99" s="49"/>
      <c r="AO99" s="49"/>
      <c r="AP99" s="49"/>
      <c r="AQ99" s="49"/>
      <c r="AR99" s="49"/>
      <c r="AS99" s="49"/>
      <c r="AT99" s="71"/>
      <c r="AU99" s="49"/>
      <c r="AV99" s="49"/>
      <c r="BB99" s="164"/>
      <c r="BC99" s="141"/>
    </row>
    <row r="100" spans="3:55">
      <c r="C100" s="49"/>
      <c r="D100" s="49"/>
      <c r="E100" s="49"/>
      <c r="G100" s="49"/>
      <c r="H100" s="49"/>
      <c r="I100" s="49"/>
      <c r="AG100" s="49"/>
      <c r="AH100" s="49"/>
      <c r="AI100" s="49"/>
      <c r="AJ100" s="49"/>
      <c r="AK100" s="49"/>
      <c r="AL100" s="49"/>
      <c r="AN100" s="49"/>
      <c r="AO100" s="49"/>
      <c r="AP100" s="49"/>
      <c r="AQ100" s="49"/>
      <c r="AR100" s="49"/>
      <c r="AS100" s="49"/>
      <c r="AT100" s="71"/>
      <c r="AU100" s="49"/>
      <c r="AV100" s="49"/>
      <c r="BB100" s="167"/>
      <c r="BC100" s="141"/>
    </row>
    <row r="101" spans="3:55">
      <c r="C101" s="49"/>
      <c r="D101" s="49"/>
      <c r="E101" s="49"/>
      <c r="G101" s="49"/>
      <c r="H101" s="49"/>
      <c r="I101" s="49"/>
      <c r="AG101" s="49"/>
      <c r="AH101" s="49"/>
      <c r="AI101" s="49"/>
      <c r="AJ101" s="49"/>
      <c r="AK101" s="49"/>
      <c r="AL101" s="49"/>
      <c r="AN101" s="49"/>
      <c r="AO101" s="49"/>
      <c r="AP101" s="49"/>
      <c r="AQ101" s="49"/>
      <c r="AR101" s="49"/>
      <c r="AS101" s="49"/>
      <c r="AT101" s="71"/>
      <c r="AU101" s="49"/>
      <c r="AV101" s="49"/>
      <c r="BB101" s="164"/>
      <c r="BC101" s="141"/>
    </row>
    <row r="102" spans="3:55">
      <c r="C102" s="49"/>
      <c r="D102" s="49"/>
      <c r="E102" s="49"/>
      <c r="F102" s="168"/>
      <c r="G102" s="49"/>
      <c r="H102" s="49"/>
      <c r="I102" s="49"/>
      <c r="AG102" s="49"/>
      <c r="AH102" s="49"/>
      <c r="AI102" s="49"/>
      <c r="AJ102" s="49"/>
      <c r="AK102" s="49"/>
      <c r="AL102" s="49"/>
      <c r="AN102" s="49"/>
      <c r="AO102" s="49"/>
      <c r="AP102" s="49"/>
      <c r="AQ102" s="49"/>
      <c r="AR102" s="49"/>
      <c r="AS102" s="49"/>
      <c r="AT102" s="71"/>
      <c r="AU102" s="49"/>
      <c r="AV102" s="49"/>
      <c r="BB102" s="141"/>
      <c r="BC102" s="141"/>
    </row>
    <row r="103" spans="3:55">
      <c r="C103" s="49"/>
      <c r="D103" s="49"/>
      <c r="E103" s="49"/>
      <c r="F103" s="168"/>
      <c r="G103" s="49"/>
      <c r="H103" s="49"/>
      <c r="I103" s="49"/>
      <c r="AG103" s="49"/>
      <c r="AH103" s="49"/>
      <c r="AI103" s="49"/>
      <c r="AJ103" s="49"/>
      <c r="AK103" s="49"/>
      <c r="AL103" s="49"/>
      <c r="AN103" s="49"/>
      <c r="AO103" s="49"/>
      <c r="AP103" s="49"/>
      <c r="AQ103" s="49"/>
      <c r="AR103" s="49"/>
      <c r="AS103" s="49"/>
      <c r="AT103" s="71"/>
      <c r="AU103" s="49"/>
      <c r="AV103" s="49"/>
      <c r="BB103" s="141"/>
      <c r="BC103" s="141"/>
    </row>
    <row r="104" spans="3:55">
      <c r="C104" s="49"/>
      <c r="D104" s="49"/>
      <c r="E104" s="49"/>
      <c r="F104" s="168"/>
      <c r="G104" s="49"/>
      <c r="H104" s="49"/>
      <c r="I104" s="49"/>
      <c r="AG104" s="49"/>
      <c r="AH104" s="49"/>
      <c r="AI104" s="49"/>
      <c r="AJ104" s="49"/>
      <c r="AK104" s="49"/>
      <c r="AL104" s="49"/>
      <c r="AN104" s="49"/>
      <c r="AO104" s="49"/>
      <c r="AP104" s="49"/>
      <c r="AQ104" s="49"/>
      <c r="AR104" s="49"/>
      <c r="AS104" s="49"/>
      <c r="AT104" s="71"/>
      <c r="AU104" s="49"/>
      <c r="AV104" s="49"/>
      <c r="BB104" s="141"/>
      <c r="BC104" s="141"/>
    </row>
    <row r="105" spans="3:55">
      <c r="C105" s="49"/>
      <c r="D105" s="49"/>
      <c r="E105" s="49"/>
      <c r="F105" s="168"/>
      <c r="G105" s="49"/>
      <c r="H105" s="49"/>
      <c r="I105" s="49"/>
      <c r="AG105" s="49"/>
      <c r="AH105" s="49"/>
      <c r="AI105" s="49"/>
      <c r="AJ105" s="49"/>
      <c r="AK105" s="49"/>
      <c r="AL105" s="49"/>
      <c r="AN105" s="49"/>
      <c r="AO105" s="49"/>
      <c r="AP105" s="49"/>
      <c r="AQ105" s="49"/>
      <c r="AR105" s="49"/>
      <c r="AS105" s="49"/>
      <c r="AT105" s="71"/>
      <c r="AU105" s="49"/>
      <c r="AV105" s="49"/>
      <c r="BB105" s="141"/>
      <c r="BC105" s="141"/>
    </row>
    <row r="106" spans="3:55">
      <c r="C106" s="49"/>
      <c r="D106" s="49"/>
      <c r="E106" s="49"/>
      <c r="F106" s="168"/>
      <c r="G106" s="49"/>
      <c r="H106" s="49"/>
      <c r="I106" s="49"/>
      <c r="AG106" s="49"/>
      <c r="AH106" s="49"/>
      <c r="AI106" s="49"/>
      <c r="AJ106" s="49"/>
      <c r="AK106" s="49"/>
      <c r="AL106" s="49"/>
      <c r="AN106" s="49"/>
      <c r="AO106" s="49"/>
      <c r="AP106" s="49"/>
      <c r="AQ106" s="49"/>
      <c r="AR106" s="49"/>
      <c r="AS106" s="49"/>
      <c r="AT106" s="71"/>
      <c r="AU106" s="49"/>
      <c r="AV106" s="49"/>
      <c r="BB106" s="141"/>
      <c r="BC106" s="141"/>
    </row>
    <row r="107" spans="3:55">
      <c r="C107" s="49"/>
      <c r="D107" s="49"/>
      <c r="E107" s="49"/>
      <c r="F107" s="168"/>
      <c r="G107" s="49"/>
      <c r="H107" s="49"/>
      <c r="I107" s="49"/>
      <c r="AG107" s="49"/>
      <c r="AH107" s="49"/>
      <c r="AI107" s="49"/>
      <c r="AJ107" s="49"/>
      <c r="AK107" s="49"/>
      <c r="AL107" s="49"/>
      <c r="AN107" s="49"/>
      <c r="AO107" s="49"/>
      <c r="AP107" s="49"/>
      <c r="AQ107" s="49"/>
      <c r="AR107" s="49"/>
      <c r="AS107" s="49"/>
      <c r="AT107" s="71"/>
      <c r="AU107" s="49"/>
      <c r="AV107" s="49"/>
      <c r="BB107" s="141"/>
      <c r="BC107" s="141"/>
    </row>
    <row r="108" spans="3:55">
      <c r="C108" s="49"/>
      <c r="D108" s="49"/>
      <c r="E108" s="49"/>
      <c r="F108" s="168"/>
      <c r="G108" s="49"/>
      <c r="H108" s="49"/>
      <c r="I108" s="49"/>
      <c r="AG108" s="49"/>
      <c r="AH108" s="49"/>
      <c r="AI108" s="49"/>
      <c r="AJ108" s="49"/>
      <c r="AK108" s="49"/>
      <c r="AL108" s="49"/>
      <c r="AN108" s="49"/>
      <c r="AO108" s="49"/>
      <c r="AP108" s="49"/>
      <c r="AQ108" s="49"/>
      <c r="AR108" s="49"/>
      <c r="AS108" s="49"/>
      <c r="AT108" s="71"/>
      <c r="AU108" s="49"/>
      <c r="AV108" s="49"/>
      <c r="BB108" s="141"/>
      <c r="BC108" s="141"/>
    </row>
    <row r="109" spans="3:55">
      <c r="C109" s="49"/>
      <c r="D109" s="49"/>
      <c r="E109" s="49"/>
      <c r="F109" s="168"/>
      <c r="G109" s="49"/>
      <c r="H109" s="49"/>
      <c r="I109" s="49"/>
      <c r="AG109" s="49"/>
      <c r="AH109" s="49"/>
      <c r="AI109" s="49"/>
      <c r="AJ109" s="49"/>
      <c r="AK109" s="49"/>
      <c r="AL109" s="49"/>
      <c r="AN109" s="49"/>
      <c r="AO109" s="49"/>
      <c r="AP109" s="49"/>
      <c r="AQ109" s="49"/>
      <c r="AR109" s="49"/>
      <c r="AS109" s="49"/>
      <c r="AT109" s="71"/>
      <c r="AU109" s="49"/>
      <c r="AV109" s="49"/>
      <c r="BB109" s="167"/>
      <c r="BC109" s="141"/>
    </row>
    <row r="110" spans="3:55">
      <c r="C110" s="49"/>
      <c r="D110" s="49"/>
      <c r="E110" s="49"/>
      <c r="F110" s="168"/>
      <c r="G110" s="49"/>
      <c r="H110" s="49"/>
      <c r="I110" s="49"/>
      <c r="AG110" s="49"/>
      <c r="AH110" s="49"/>
      <c r="AI110" s="49"/>
      <c r="AJ110" s="49"/>
      <c r="AK110" s="49"/>
      <c r="AL110" s="49"/>
      <c r="AN110" s="49"/>
      <c r="AO110" s="49"/>
      <c r="AP110" s="49"/>
      <c r="AQ110" s="49"/>
      <c r="AR110" s="49"/>
      <c r="AS110" s="49"/>
      <c r="AT110" s="71"/>
      <c r="AU110" s="49"/>
      <c r="AV110" s="49"/>
      <c r="BB110" s="167"/>
      <c r="BC110" s="141"/>
    </row>
    <row r="111" spans="3:55">
      <c r="C111" s="49"/>
      <c r="D111" s="49"/>
      <c r="E111" s="49"/>
      <c r="F111" s="168"/>
      <c r="G111" s="49"/>
      <c r="H111" s="49"/>
      <c r="I111" s="49"/>
      <c r="AG111" s="49"/>
      <c r="AH111" s="49"/>
      <c r="AI111" s="49"/>
      <c r="AJ111" s="49"/>
      <c r="AK111" s="49"/>
      <c r="AL111" s="49"/>
      <c r="AN111" s="49"/>
      <c r="AO111" s="49"/>
      <c r="AP111" s="49"/>
      <c r="AQ111" s="49"/>
      <c r="AR111" s="49"/>
      <c r="AS111" s="49"/>
      <c r="AT111" s="71"/>
      <c r="AU111" s="49"/>
      <c r="AV111" s="49"/>
      <c r="BB111" s="167"/>
      <c r="BC111" s="141"/>
    </row>
    <row r="112" spans="3:55">
      <c r="C112" s="49"/>
      <c r="D112" s="49"/>
      <c r="E112" s="49"/>
      <c r="F112" s="168"/>
      <c r="G112" s="49"/>
      <c r="H112" s="49"/>
      <c r="I112" s="49"/>
      <c r="AG112" s="49"/>
      <c r="AH112" s="49"/>
      <c r="AI112" s="49"/>
      <c r="AJ112" s="49"/>
      <c r="AK112" s="49"/>
      <c r="AL112" s="49"/>
      <c r="AN112" s="49"/>
      <c r="AO112" s="49"/>
      <c r="AP112" s="49"/>
      <c r="AQ112" s="49"/>
      <c r="AR112" s="49"/>
      <c r="AS112" s="49"/>
      <c r="AT112" s="71"/>
      <c r="AU112" s="49"/>
      <c r="AV112" s="49"/>
      <c r="BB112" s="164"/>
      <c r="BC112" s="141"/>
    </row>
    <row r="113" spans="3:55">
      <c r="C113" s="49"/>
      <c r="D113" s="49"/>
      <c r="E113" s="49"/>
      <c r="F113" s="168"/>
      <c r="G113" s="49"/>
      <c r="H113" s="49"/>
      <c r="I113" s="49"/>
      <c r="AG113" s="49"/>
      <c r="AH113" s="49"/>
      <c r="AI113" s="49"/>
      <c r="AJ113" s="49"/>
      <c r="AK113" s="49"/>
      <c r="AL113" s="49"/>
      <c r="AN113" s="49"/>
      <c r="AO113" s="49"/>
      <c r="AP113" s="49"/>
      <c r="AQ113" s="49"/>
      <c r="AR113" s="49"/>
      <c r="AS113" s="49"/>
      <c r="AT113" s="71"/>
      <c r="AU113" s="49"/>
      <c r="AV113" s="49"/>
      <c r="BB113" s="164"/>
      <c r="BC113" s="49"/>
    </row>
    <row r="114" spans="3:55">
      <c r="C114" s="49"/>
      <c r="D114" s="49"/>
      <c r="E114" s="49"/>
      <c r="F114" s="168"/>
      <c r="G114" s="49"/>
      <c r="H114" s="49"/>
      <c r="I114" s="49"/>
      <c r="AG114" s="49"/>
      <c r="AH114" s="49"/>
      <c r="AI114" s="49"/>
      <c r="AJ114" s="49"/>
      <c r="AK114" s="49"/>
      <c r="AL114" s="49"/>
      <c r="AN114" s="49"/>
      <c r="AO114" s="49"/>
      <c r="AP114" s="49"/>
      <c r="AQ114" s="49"/>
      <c r="AR114" s="49"/>
      <c r="AS114" s="49"/>
      <c r="AT114" s="71"/>
      <c r="AU114" s="49"/>
      <c r="AV114" s="49"/>
      <c r="BB114" s="164"/>
      <c r="BC114" s="49"/>
    </row>
    <row r="115" spans="3:55">
      <c r="C115" s="49"/>
      <c r="D115" s="49"/>
      <c r="E115" s="49"/>
      <c r="F115" s="168"/>
      <c r="G115" s="49"/>
      <c r="H115" s="49"/>
      <c r="I115" s="49"/>
      <c r="AG115" s="49"/>
      <c r="AH115" s="49"/>
      <c r="AI115" s="49"/>
      <c r="AJ115" s="49"/>
      <c r="AK115" s="49"/>
      <c r="AL115" s="49"/>
      <c r="AN115" s="49"/>
      <c r="AO115" s="49"/>
      <c r="AP115" s="49"/>
      <c r="AQ115" s="49"/>
      <c r="AR115" s="49"/>
      <c r="AS115" s="49"/>
      <c r="AT115" s="71"/>
      <c r="AU115" s="49"/>
      <c r="AV115" s="49"/>
      <c r="BB115" s="164"/>
      <c r="BC115" s="49"/>
    </row>
    <row r="116" spans="3:55">
      <c r="C116" s="49"/>
      <c r="D116" s="49"/>
      <c r="E116" s="49"/>
      <c r="F116" s="168"/>
      <c r="G116" s="49"/>
      <c r="H116" s="49"/>
      <c r="I116" s="49"/>
      <c r="AG116" s="49"/>
      <c r="AH116" s="49"/>
      <c r="AI116" s="49"/>
      <c r="AJ116" s="49"/>
      <c r="AK116" s="49"/>
      <c r="AL116" s="49"/>
      <c r="AN116" s="49"/>
      <c r="AO116" s="49"/>
      <c r="AP116" s="49"/>
      <c r="AQ116" s="49"/>
      <c r="AR116" s="49"/>
      <c r="AS116" s="49"/>
      <c r="AT116" s="71"/>
      <c r="AU116" s="49"/>
      <c r="AV116" s="49"/>
      <c r="BC116" s="49"/>
    </row>
    <row r="117" spans="3:55">
      <c r="C117" s="49"/>
      <c r="D117" s="49"/>
      <c r="E117" s="49"/>
      <c r="F117" s="168"/>
      <c r="G117" s="49"/>
      <c r="H117" s="49"/>
      <c r="I117" s="49"/>
      <c r="AG117" s="49"/>
      <c r="AH117" s="49"/>
      <c r="AI117" s="49"/>
      <c r="AJ117" s="49"/>
      <c r="AK117" s="49"/>
      <c r="AL117" s="49"/>
      <c r="AN117" s="49"/>
      <c r="AO117" s="49"/>
      <c r="AP117" s="49"/>
      <c r="AQ117" s="49"/>
      <c r="AR117" s="49"/>
      <c r="AS117" s="49"/>
      <c r="AT117" s="71"/>
      <c r="AU117" s="49"/>
      <c r="AV117" s="49"/>
      <c r="BB117" s="167"/>
      <c r="BC117" s="142"/>
    </row>
    <row r="118" spans="3:55">
      <c r="C118" s="49"/>
      <c r="D118" s="49"/>
      <c r="E118" s="49"/>
      <c r="F118" s="168"/>
      <c r="G118" s="49"/>
      <c r="H118" s="49"/>
      <c r="I118" s="49"/>
      <c r="AG118" s="49"/>
      <c r="AH118" s="49"/>
      <c r="AI118" s="49"/>
      <c r="AJ118" s="49"/>
      <c r="AK118" s="49"/>
      <c r="AL118" s="49"/>
      <c r="AN118" s="49"/>
      <c r="AO118" s="49"/>
      <c r="AP118" s="49"/>
      <c r="AQ118" s="49"/>
      <c r="AR118" s="49"/>
      <c r="AS118" s="49"/>
      <c r="AT118" s="71"/>
      <c r="AU118" s="49"/>
      <c r="AV118" s="49"/>
      <c r="BB118" s="167"/>
      <c r="BC118" s="142"/>
    </row>
    <row r="119" spans="3:55">
      <c r="C119" s="49"/>
      <c r="D119" s="49"/>
      <c r="E119" s="49"/>
      <c r="F119" s="168"/>
      <c r="G119" s="49"/>
      <c r="H119" s="49"/>
      <c r="I119" s="49"/>
      <c r="AG119" s="49"/>
      <c r="AH119" s="49"/>
      <c r="AI119" s="49"/>
      <c r="AJ119" s="49"/>
      <c r="AK119" s="49"/>
      <c r="AL119" s="49"/>
      <c r="AN119" s="49"/>
      <c r="AO119" s="49"/>
      <c r="AP119" s="49"/>
      <c r="AQ119" s="49"/>
      <c r="AR119" s="49"/>
      <c r="AS119" s="49"/>
      <c r="AT119" s="71"/>
      <c r="AU119" s="49"/>
      <c r="AV119" s="49"/>
      <c r="BB119" s="141"/>
      <c r="BC119" s="142"/>
    </row>
    <row r="120" spans="3:55">
      <c r="C120" s="49"/>
      <c r="D120" s="49"/>
      <c r="E120" s="49"/>
      <c r="F120" s="168"/>
      <c r="G120" s="49"/>
      <c r="H120" s="49"/>
      <c r="I120" s="49"/>
      <c r="AG120" s="49"/>
      <c r="AH120" s="49"/>
      <c r="AI120" s="49"/>
      <c r="AJ120" s="49"/>
      <c r="AK120" s="49"/>
      <c r="AL120" s="49"/>
      <c r="AN120" s="49"/>
      <c r="AO120" s="49"/>
      <c r="AP120" s="49"/>
      <c r="AQ120" s="49"/>
      <c r="AR120" s="49"/>
      <c r="AS120" s="49"/>
      <c r="AT120" s="71"/>
      <c r="AU120" s="49"/>
      <c r="AV120" s="49"/>
      <c r="BB120" s="141"/>
      <c r="BC120" s="142"/>
    </row>
    <row r="121" spans="3:55">
      <c r="C121" s="49"/>
      <c r="D121" s="49"/>
      <c r="E121" s="49"/>
      <c r="F121" s="168"/>
      <c r="G121" s="49"/>
      <c r="H121" s="49"/>
      <c r="I121" s="49"/>
      <c r="AG121" s="49"/>
      <c r="AH121" s="49"/>
      <c r="AI121" s="49"/>
      <c r="AJ121" s="49"/>
      <c r="AK121" s="49"/>
      <c r="AL121" s="49"/>
      <c r="AN121" s="49"/>
      <c r="AO121" s="49"/>
      <c r="AP121" s="49"/>
      <c r="AQ121" s="49"/>
      <c r="AR121" s="49"/>
      <c r="AS121" s="49"/>
      <c r="AT121" s="71"/>
      <c r="AU121" s="49"/>
      <c r="AV121" s="49"/>
      <c r="BC121" s="142"/>
    </row>
    <row r="122" spans="3:55">
      <c r="C122" s="49"/>
      <c r="D122" s="49"/>
      <c r="E122" s="49"/>
      <c r="F122" s="168"/>
      <c r="G122" s="49"/>
      <c r="H122" s="49"/>
      <c r="I122" s="49"/>
      <c r="AG122" s="49"/>
      <c r="AH122" s="49"/>
      <c r="AI122" s="49"/>
      <c r="AJ122" s="49"/>
      <c r="AK122" s="49"/>
      <c r="AL122" s="49"/>
      <c r="AN122" s="49"/>
      <c r="AO122" s="49"/>
      <c r="AP122" s="49"/>
      <c r="AQ122" s="49"/>
      <c r="AR122" s="49"/>
      <c r="AS122" s="49"/>
      <c r="AT122" s="71"/>
      <c r="AU122" s="49"/>
      <c r="AV122" s="49"/>
    </row>
    <row r="123" spans="3:55">
      <c r="C123" s="49"/>
      <c r="D123" s="49"/>
      <c r="E123" s="49"/>
      <c r="F123" s="168"/>
      <c r="G123" s="49"/>
      <c r="H123" s="49"/>
      <c r="I123" s="49"/>
      <c r="AG123" s="49"/>
      <c r="AH123" s="49"/>
      <c r="AI123" s="49"/>
      <c r="AJ123" s="49"/>
      <c r="AK123" s="49"/>
      <c r="AL123" s="49"/>
      <c r="AN123" s="49"/>
      <c r="AO123" s="49"/>
      <c r="AP123" s="49"/>
      <c r="AQ123" s="49"/>
      <c r="AR123" s="49"/>
      <c r="AS123" s="49"/>
      <c r="AT123" s="71"/>
      <c r="AU123" s="49"/>
      <c r="AV123" s="49"/>
    </row>
    <row r="124" spans="3:55">
      <c r="C124" s="49"/>
      <c r="D124" s="49"/>
      <c r="E124" s="49"/>
      <c r="F124" s="168"/>
      <c r="G124" s="49"/>
      <c r="H124" s="49"/>
      <c r="I124" s="49"/>
      <c r="AG124" s="49"/>
      <c r="AH124" s="49"/>
      <c r="AI124" s="49"/>
      <c r="AJ124" s="49"/>
      <c r="AK124" s="49"/>
      <c r="AL124" s="49"/>
      <c r="AN124" s="49"/>
      <c r="AO124" s="49"/>
      <c r="AP124" s="49"/>
      <c r="AQ124" s="49"/>
      <c r="AR124" s="49"/>
      <c r="AS124" s="49"/>
      <c r="AT124" s="71"/>
      <c r="AU124" s="49"/>
      <c r="AV124" s="49"/>
      <c r="AW124" s="169"/>
      <c r="AX124" s="169"/>
      <c r="AY124" s="169"/>
      <c r="AZ124" s="169"/>
      <c r="BA124" s="169"/>
      <c r="BB124" s="169"/>
    </row>
    <row r="125" spans="3:55">
      <c r="C125" s="49"/>
      <c r="D125" s="49"/>
      <c r="E125" s="49"/>
      <c r="F125" s="168"/>
      <c r="G125" s="49"/>
      <c r="H125" s="49"/>
      <c r="I125" s="49"/>
      <c r="AG125" s="49"/>
      <c r="AH125" s="49"/>
      <c r="AI125" s="49"/>
      <c r="AJ125" s="49"/>
      <c r="AK125" s="49"/>
      <c r="AL125" s="49"/>
      <c r="AN125" s="49"/>
      <c r="AO125" s="49"/>
      <c r="AP125" s="49"/>
      <c r="AQ125" s="49"/>
      <c r="AR125" s="49"/>
      <c r="AS125" s="49"/>
      <c r="AT125" s="71"/>
      <c r="AU125" s="49"/>
      <c r="AV125" s="49"/>
      <c r="AW125" s="169"/>
      <c r="AX125" s="169"/>
      <c r="AY125" s="169"/>
      <c r="AZ125" s="169"/>
      <c r="BA125" s="169"/>
      <c r="BB125" s="169"/>
    </row>
    <row r="126" spans="3:55">
      <c r="C126" s="49"/>
      <c r="D126" s="49"/>
      <c r="E126" s="49"/>
      <c r="F126" s="168"/>
      <c r="G126" s="49"/>
      <c r="H126" s="49"/>
      <c r="I126" s="49"/>
      <c r="AG126" s="49"/>
      <c r="AH126" s="49"/>
      <c r="AI126" s="49"/>
      <c r="AJ126" s="49"/>
      <c r="AK126" s="49"/>
      <c r="AL126" s="49"/>
      <c r="AN126" s="49"/>
      <c r="AO126" s="49"/>
      <c r="AP126" s="49"/>
      <c r="AQ126" s="49"/>
      <c r="AR126" s="49"/>
      <c r="AS126" s="49"/>
      <c r="AT126" s="71"/>
      <c r="AU126" s="49"/>
      <c r="AV126" s="49"/>
      <c r="AW126" s="169"/>
      <c r="AX126" s="169"/>
      <c r="AY126" s="169"/>
      <c r="AZ126" s="169"/>
      <c r="BA126" s="169"/>
      <c r="BB126" s="169"/>
    </row>
    <row r="127" spans="3:55">
      <c r="C127" s="49"/>
      <c r="D127" s="49"/>
      <c r="E127" s="49"/>
      <c r="F127" s="168"/>
      <c r="G127" s="49"/>
      <c r="H127" s="49"/>
      <c r="I127" s="49"/>
      <c r="AG127" s="49"/>
      <c r="AH127" s="49"/>
      <c r="AI127" s="49"/>
      <c r="AJ127" s="49"/>
      <c r="AK127" s="49"/>
      <c r="AL127" s="49"/>
      <c r="AN127" s="49"/>
      <c r="AO127" s="49"/>
      <c r="AP127" s="49"/>
      <c r="AQ127" s="49"/>
      <c r="AR127" s="49"/>
      <c r="AS127" s="49"/>
      <c r="AT127" s="71"/>
      <c r="AU127" s="49"/>
      <c r="AV127" s="49"/>
      <c r="AW127" s="169"/>
      <c r="AX127" s="169"/>
      <c r="AY127" s="169"/>
      <c r="AZ127" s="169"/>
      <c r="BA127" s="169"/>
      <c r="BB127" s="169"/>
    </row>
    <row r="128" spans="3:55">
      <c r="C128" s="49"/>
      <c r="D128" s="49"/>
      <c r="E128" s="49"/>
      <c r="F128" s="168"/>
      <c r="G128" s="49"/>
      <c r="H128" s="49"/>
      <c r="I128" s="49"/>
      <c r="AG128" s="49"/>
      <c r="AH128" s="49"/>
      <c r="AI128" s="49"/>
      <c r="AJ128" s="49"/>
      <c r="AK128" s="49"/>
      <c r="AL128" s="49"/>
      <c r="AN128" s="49"/>
      <c r="AO128" s="49"/>
      <c r="AP128" s="49"/>
      <c r="AQ128" s="49"/>
      <c r="AR128" s="49"/>
      <c r="AS128" s="49"/>
      <c r="AT128" s="71"/>
      <c r="AU128" s="49"/>
      <c r="AV128" s="49"/>
      <c r="AW128" s="169"/>
      <c r="AX128" s="169"/>
      <c r="AY128" s="169"/>
      <c r="AZ128" s="169"/>
      <c r="BA128" s="169"/>
      <c r="BB128" s="169"/>
    </row>
    <row r="129" spans="3:54">
      <c r="C129" s="49"/>
      <c r="D129" s="49"/>
      <c r="E129" s="49"/>
      <c r="F129" s="168"/>
      <c r="G129" s="49"/>
      <c r="H129" s="49"/>
      <c r="I129" s="49"/>
      <c r="AG129" s="49"/>
      <c r="AH129" s="49"/>
      <c r="AI129" s="49"/>
      <c r="AJ129" s="49"/>
      <c r="AK129" s="49"/>
      <c r="AL129" s="49"/>
      <c r="AN129" s="49"/>
      <c r="AO129" s="49"/>
      <c r="AP129" s="49"/>
      <c r="AQ129" s="49"/>
      <c r="AR129" s="49"/>
      <c r="AS129" s="49"/>
      <c r="AT129" s="71"/>
      <c r="AU129" s="49"/>
      <c r="AV129" s="49"/>
      <c r="AW129" s="169"/>
      <c r="AX129" s="169"/>
      <c r="AY129" s="169"/>
      <c r="AZ129" s="169"/>
      <c r="BA129" s="169"/>
      <c r="BB129" s="169"/>
    </row>
    <row r="130" spans="3:54">
      <c r="C130" s="49"/>
      <c r="D130" s="49"/>
      <c r="E130" s="49"/>
      <c r="F130" s="170"/>
      <c r="G130" s="49"/>
      <c r="H130" s="49"/>
      <c r="I130" s="49"/>
      <c r="AG130" s="49"/>
      <c r="AH130" s="49"/>
      <c r="AI130" s="49"/>
      <c r="AJ130" s="49"/>
      <c r="AK130" s="49"/>
      <c r="AL130" s="49"/>
      <c r="AN130" s="49"/>
      <c r="AO130" s="49"/>
      <c r="AP130" s="49"/>
      <c r="AQ130" s="49"/>
      <c r="AR130" s="49"/>
      <c r="AS130" s="49"/>
      <c r="AT130" s="71"/>
      <c r="AU130" s="49"/>
      <c r="AV130" s="49"/>
      <c r="AW130" s="169"/>
      <c r="AX130" s="169"/>
      <c r="AY130" s="169"/>
      <c r="AZ130" s="169"/>
      <c r="BA130" s="169"/>
      <c r="BB130" s="169"/>
    </row>
    <row r="131" spans="3:54">
      <c r="C131" s="49"/>
      <c r="D131" s="49"/>
      <c r="E131" s="49"/>
      <c r="F131" s="168"/>
      <c r="G131" s="49"/>
      <c r="H131" s="49"/>
      <c r="I131" s="49"/>
      <c r="AG131" s="49"/>
      <c r="AH131" s="49"/>
      <c r="AI131" s="49"/>
      <c r="AJ131" s="49"/>
      <c r="AK131" s="49"/>
      <c r="AL131" s="49"/>
      <c r="AN131" s="49"/>
      <c r="AO131" s="49"/>
      <c r="AP131" s="49"/>
      <c r="AQ131" s="49"/>
      <c r="AR131" s="49"/>
      <c r="AS131" s="49"/>
      <c r="AT131" s="71"/>
      <c r="AU131" s="49"/>
      <c r="AV131" s="49"/>
      <c r="AW131" s="169"/>
      <c r="AX131" s="169"/>
      <c r="AY131" s="169"/>
      <c r="AZ131" s="169"/>
      <c r="BA131" s="169"/>
      <c r="BB131" s="127"/>
    </row>
    <row r="132" spans="3:54">
      <c r="C132" s="49"/>
      <c r="D132" s="49"/>
      <c r="E132" s="49"/>
      <c r="F132" s="168"/>
      <c r="G132" s="49"/>
      <c r="H132" s="49"/>
      <c r="I132" s="49"/>
      <c r="AG132" s="49"/>
      <c r="AH132" s="49"/>
      <c r="AI132" s="49"/>
      <c r="AJ132" s="49"/>
      <c r="AK132" s="49"/>
      <c r="AL132" s="49"/>
      <c r="AN132" s="49"/>
      <c r="AO132" s="49"/>
      <c r="AP132" s="49"/>
      <c r="AQ132" s="49"/>
      <c r="AR132" s="49"/>
      <c r="AS132" s="49"/>
      <c r="AT132" s="71"/>
      <c r="AU132" s="49"/>
      <c r="AV132" s="49"/>
      <c r="AW132" s="169"/>
      <c r="AX132" s="169"/>
      <c r="AY132" s="169"/>
      <c r="AZ132" s="169"/>
      <c r="BA132" s="169"/>
      <c r="BB132" s="127"/>
    </row>
    <row r="133" spans="3:54">
      <c r="C133" s="49"/>
      <c r="D133" s="49"/>
      <c r="E133" s="49"/>
      <c r="F133" s="168"/>
      <c r="G133" s="49"/>
      <c r="H133" s="49"/>
      <c r="I133" s="49"/>
      <c r="AG133" s="49"/>
      <c r="AH133" s="49"/>
      <c r="AI133" s="49"/>
      <c r="AJ133" s="49"/>
      <c r="AK133" s="49"/>
      <c r="AL133" s="49"/>
      <c r="AN133" s="49"/>
      <c r="AO133" s="49"/>
      <c r="AP133" s="49"/>
      <c r="AQ133" s="49"/>
      <c r="AR133" s="49"/>
      <c r="AS133" s="49"/>
      <c r="AT133" s="71"/>
      <c r="AU133" s="49"/>
      <c r="AV133" s="49"/>
      <c r="AW133" s="169"/>
      <c r="AX133" s="169"/>
      <c r="AY133" s="169"/>
      <c r="AZ133" s="169"/>
      <c r="BA133" s="169"/>
      <c r="BB133" s="127"/>
    </row>
    <row r="134" spans="3:54">
      <c r="C134" s="49"/>
      <c r="D134" s="49"/>
      <c r="E134" s="49"/>
      <c r="F134" s="168"/>
      <c r="G134" s="49"/>
      <c r="H134" s="49"/>
      <c r="I134" s="49"/>
      <c r="AG134" s="49"/>
      <c r="AH134" s="49"/>
      <c r="AI134" s="49"/>
      <c r="AJ134" s="49"/>
      <c r="AK134" s="49"/>
      <c r="AL134" s="49"/>
      <c r="AN134" s="49"/>
      <c r="AO134" s="49"/>
      <c r="AP134" s="49"/>
      <c r="AQ134" s="49"/>
      <c r="AR134" s="49"/>
      <c r="AS134" s="49"/>
      <c r="AT134" s="71"/>
      <c r="AU134" s="49"/>
      <c r="AV134" s="49"/>
      <c r="AW134" s="169"/>
      <c r="AX134" s="169"/>
      <c r="AY134" s="169"/>
      <c r="AZ134" s="169"/>
      <c r="BA134" s="169"/>
      <c r="BB134" s="127"/>
    </row>
    <row r="135" spans="3:54">
      <c r="C135" s="49"/>
      <c r="D135" s="49"/>
      <c r="E135" s="49"/>
      <c r="F135" s="168"/>
      <c r="G135" s="49"/>
      <c r="H135" s="49"/>
      <c r="I135" s="49"/>
      <c r="AG135" s="49"/>
      <c r="AH135" s="49"/>
      <c r="AI135" s="49"/>
      <c r="AJ135" s="49"/>
      <c r="AK135" s="49"/>
      <c r="AL135" s="49"/>
      <c r="AN135" s="49"/>
      <c r="AO135" s="49"/>
      <c r="AP135" s="49"/>
      <c r="AQ135" s="49"/>
      <c r="AR135" s="49"/>
      <c r="AS135" s="49"/>
      <c r="AT135" s="71"/>
      <c r="AU135" s="49"/>
      <c r="AV135" s="49"/>
      <c r="AW135" s="169"/>
      <c r="AX135" s="169"/>
      <c r="AY135" s="169"/>
      <c r="AZ135" s="169"/>
      <c r="BA135" s="169"/>
      <c r="BB135" s="127"/>
    </row>
    <row r="136" spans="3:54">
      <c r="C136" s="49"/>
      <c r="D136" s="49"/>
      <c r="E136" s="49"/>
      <c r="F136" s="168"/>
      <c r="G136" s="49"/>
      <c r="H136" s="49"/>
      <c r="I136" s="49"/>
      <c r="AG136" s="49"/>
      <c r="AH136" s="49"/>
      <c r="AI136" s="49"/>
      <c r="AJ136" s="49"/>
      <c r="AK136" s="49"/>
      <c r="AL136" s="49"/>
      <c r="AN136" s="49"/>
      <c r="AO136" s="49"/>
      <c r="AP136" s="49"/>
      <c r="AQ136" s="49"/>
      <c r="AR136" s="49"/>
      <c r="AS136" s="49"/>
      <c r="AT136" s="71"/>
      <c r="AU136" s="49"/>
      <c r="AV136" s="49"/>
      <c r="AW136" s="169"/>
      <c r="AX136" s="169"/>
      <c r="AY136" s="169"/>
      <c r="AZ136" s="169"/>
      <c r="BA136" s="169"/>
      <c r="BB136" s="127"/>
    </row>
    <row r="137" spans="3:54">
      <c r="C137" s="49"/>
      <c r="D137" s="49"/>
      <c r="E137" s="49"/>
      <c r="F137" s="168"/>
      <c r="G137" s="49"/>
      <c r="H137" s="49"/>
      <c r="I137" s="49"/>
      <c r="AG137" s="49"/>
      <c r="AH137" s="49"/>
      <c r="AI137" s="49"/>
      <c r="AJ137" s="49"/>
      <c r="AK137" s="49"/>
      <c r="AL137" s="49"/>
      <c r="AN137" s="49"/>
      <c r="AO137" s="49"/>
      <c r="AP137" s="49"/>
      <c r="AQ137" s="49"/>
      <c r="AR137" s="49"/>
      <c r="AS137" s="49"/>
      <c r="AT137" s="71"/>
      <c r="AU137" s="49"/>
      <c r="AV137" s="49"/>
      <c r="AW137" s="169"/>
      <c r="AX137" s="169"/>
      <c r="AY137" s="169"/>
      <c r="AZ137" s="169"/>
      <c r="BA137" s="169"/>
      <c r="BB137" s="169"/>
    </row>
    <row r="138" spans="3:54">
      <c r="C138" s="49"/>
      <c r="D138" s="49"/>
      <c r="E138" s="49"/>
      <c r="F138" s="168"/>
      <c r="G138" s="49"/>
      <c r="H138" s="49"/>
      <c r="I138" s="49"/>
      <c r="AG138" s="49"/>
      <c r="AH138" s="49"/>
      <c r="AI138" s="49"/>
      <c r="AJ138" s="49"/>
      <c r="AK138" s="49"/>
      <c r="AL138" s="49"/>
      <c r="AN138" s="49"/>
      <c r="AO138" s="49"/>
      <c r="AP138" s="49"/>
      <c r="AQ138" s="49"/>
      <c r="AR138" s="49"/>
      <c r="AS138" s="49"/>
      <c r="AT138" s="71"/>
      <c r="AU138" s="49"/>
      <c r="AV138" s="49"/>
      <c r="AW138" s="169"/>
      <c r="AX138" s="169"/>
      <c r="AY138" s="169"/>
      <c r="AZ138" s="169"/>
      <c r="BA138" s="169"/>
      <c r="BB138" s="169"/>
    </row>
    <row r="139" spans="3:54">
      <c r="C139" s="49"/>
      <c r="D139" s="49"/>
      <c r="E139" s="49"/>
      <c r="F139" s="168"/>
      <c r="G139" s="49"/>
      <c r="H139" s="49"/>
      <c r="I139" s="49"/>
      <c r="AG139" s="49"/>
      <c r="AH139" s="49"/>
      <c r="AI139" s="49"/>
      <c r="AJ139" s="49"/>
      <c r="AK139" s="49"/>
      <c r="AL139" s="49"/>
      <c r="AN139" s="49"/>
      <c r="AO139" s="49"/>
      <c r="AP139" s="49"/>
      <c r="AQ139" s="49"/>
      <c r="AR139" s="49"/>
      <c r="AS139" s="49"/>
      <c r="AT139" s="71"/>
      <c r="AU139" s="49"/>
      <c r="AV139" s="49"/>
      <c r="AW139" s="169"/>
      <c r="AX139" s="169"/>
      <c r="AY139" s="169"/>
      <c r="AZ139" s="169"/>
      <c r="BA139" s="169"/>
      <c r="BB139" s="169"/>
    </row>
    <row r="140" spans="3:54">
      <c r="C140" s="49"/>
      <c r="D140" s="49"/>
      <c r="E140" s="49"/>
      <c r="F140" s="168"/>
      <c r="G140" s="49"/>
      <c r="H140" s="49"/>
      <c r="I140" s="49"/>
      <c r="AG140" s="49"/>
      <c r="AH140" s="49"/>
      <c r="AI140" s="49"/>
      <c r="AJ140" s="49"/>
      <c r="AK140" s="49"/>
      <c r="AL140" s="49"/>
      <c r="AN140" s="49"/>
      <c r="AO140" s="49"/>
      <c r="AP140" s="49"/>
      <c r="AQ140" s="49"/>
      <c r="AR140" s="49"/>
      <c r="AS140" s="49"/>
      <c r="AT140" s="71"/>
      <c r="AU140" s="49"/>
      <c r="AV140" s="49"/>
      <c r="AW140" s="169"/>
      <c r="AX140" s="169"/>
      <c r="AY140" s="169"/>
      <c r="AZ140" s="169"/>
      <c r="BA140" s="169"/>
      <c r="BB140" s="169"/>
    </row>
    <row r="141" spans="3:54">
      <c r="C141" s="49"/>
      <c r="D141" s="49"/>
      <c r="E141" s="49"/>
      <c r="F141" s="168"/>
      <c r="G141" s="49"/>
      <c r="H141" s="49"/>
      <c r="I141" s="49"/>
      <c r="AG141" s="49"/>
      <c r="AH141" s="49"/>
      <c r="AI141" s="49"/>
      <c r="AJ141" s="49"/>
      <c r="AK141" s="49"/>
      <c r="AL141" s="49"/>
      <c r="AN141" s="49"/>
      <c r="AO141" s="49"/>
      <c r="AP141" s="49"/>
      <c r="AQ141" s="49"/>
      <c r="AR141" s="49"/>
      <c r="AS141" s="49"/>
      <c r="AT141" s="71"/>
      <c r="AU141" s="49"/>
      <c r="AV141" s="49"/>
      <c r="AW141" s="169"/>
      <c r="AX141" s="169"/>
      <c r="AY141" s="169"/>
      <c r="AZ141" s="169"/>
      <c r="BA141" s="169"/>
      <c r="BB141" s="169"/>
    </row>
    <row r="142" spans="3:54">
      <c r="C142" s="49"/>
      <c r="D142" s="49"/>
      <c r="E142" s="49"/>
      <c r="F142" s="168"/>
      <c r="G142" s="49"/>
      <c r="H142" s="49"/>
      <c r="I142" s="49"/>
      <c r="AG142" s="49"/>
      <c r="AH142" s="49"/>
      <c r="AI142" s="49"/>
      <c r="AJ142" s="49"/>
      <c r="AK142" s="49"/>
      <c r="AL142" s="49"/>
      <c r="AN142" s="49"/>
      <c r="AO142" s="49"/>
      <c r="AP142" s="49"/>
      <c r="AQ142" s="49"/>
      <c r="AR142" s="49"/>
      <c r="AS142" s="49"/>
      <c r="AT142" s="71"/>
      <c r="AU142" s="49"/>
      <c r="AV142" s="49"/>
      <c r="AW142" s="169"/>
      <c r="AX142" s="169"/>
      <c r="AY142" s="169"/>
      <c r="AZ142" s="169"/>
      <c r="BA142" s="169"/>
      <c r="BB142" s="169"/>
    </row>
    <row r="143" spans="3:54">
      <c r="C143" s="49"/>
      <c r="D143" s="49"/>
      <c r="E143" s="49"/>
      <c r="F143" s="168"/>
      <c r="G143" s="49"/>
      <c r="H143" s="49"/>
      <c r="I143" s="49"/>
      <c r="AG143" s="49"/>
      <c r="AH143" s="49"/>
      <c r="AI143" s="49"/>
      <c r="AJ143" s="49"/>
      <c r="AK143" s="49"/>
      <c r="AL143" s="49"/>
      <c r="AN143" s="49"/>
      <c r="AO143" s="49"/>
      <c r="AP143" s="49"/>
      <c r="AQ143" s="49"/>
      <c r="AR143" s="49"/>
      <c r="AS143" s="49"/>
      <c r="AT143" s="71"/>
      <c r="AU143" s="49"/>
      <c r="AV143" s="49"/>
      <c r="AW143" s="169"/>
      <c r="AX143" s="169"/>
      <c r="AY143" s="169"/>
      <c r="AZ143" s="169"/>
      <c r="BA143" s="169"/>
      <c r="BB143" s="169"/>
    </row>
    <row r="144" spans="3:54">
      <c r="C144" s="49"/>
      <c r="D144" s="49"/>
      <c r="E144" s="49"/>
      <c r="F144" s="168"/>
      <c r="G144" s="49"/>
      <c r="H144" s="49"/>
      <c r="I144" s="49"/>
      <c r="AG144" s="49"/>
      <c r="AH144" s="49"/>
      <c r="AI144" s="49"/>
      <c r="AJ144" s="49"/>
      <c r="AK144" s="49"/>
      <c r="AL144" s="49"/>
      <c r="AN144" s="49"/>
      <c r="AO144" s="49"/>
      <c r="AP144" s="49"/>
      <c r="AQ144" s="49"/>
      <c r="AR144" s="49"/>
      <c r="AS144" s="49"/>
      <c r="AT144" s="71"/>
      <c r="AU144" s="49"/>
      <c r="AV144" s="49"/>
      <c r="AW144" s="169"/>
      <c r="AX144" s="169"/>
      <c r="AY144" s="169"/>
      <c r="AZ144" s="169"/>
      <c r="BA144" s="169"/>
      <c r="BB144" s="169"/>
    </row>
    <row r="145" spans="3:48">
      <c r="C145" s="49"/>
      <c r="D145" s="49"/>
      <c r="E145" s="49"/>
      <c r="F145" s="168"/>
      <c r="G145" s="49"/>
      <c r="H145" s="49"/>
      <c r="I145" s="49"/>
      <c r="J145" s="49"/>
      <c r="K145" s="49"/>
      <c r="L145" s="49"/>
      <c r="M145" s="49"/>
      <c r="N145" s="49"/>
      <c r="O145" s="49"/>
      <c r="P145" s="49"/>
      <c r="Q145" s="49"/>
      <c r="R145" s="171"/>
      <c r="S145" s="171"/>
      <c r="T145" s="171"/>
      <c r="U145" s="171"/>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71"/>
      <c r="AU145" s="49"/>
      <c r="AV145" s="49"/>
    </row>
    <row r="146" spans="3:48">
      <c r="C146" s="49"/>
      <c r="D146" s="49"/>
      <c r="E146" s="49"/>
      <c r="F146" s="168"/>
      <c r="G146" s="49"/>
      <c r="H146" s="49"/>
      <c r="I146" s="49"/>
      <c r="J146" s="49"/>
      <c r="K146" s="49"/>
      <c r="L146" s="49"/>
      <c r="M146" s="49"/>
      <c r="N146" s="49"/>
      <c r="O146" s="49"/>
      <c r="P146" s="49"/>
      <c r="Q146" s="49"/>
      <c r="R146" s="171"/>
      <c r="S146" s="171"/>
      <c r="T146" s="171"/>
      <c r="U146" s="171"/>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71"/>
      <c r="AU146" s="49"/>
      <c r="AV146" s="49"/>
    </row>
    <row r="147" spans="3:48">
      <c r="C147" s="49"/>
      <c r="D147" s="49"/>
      <c r="E147" s="49"/>
      <c r="F147" s="168"/>
      <c r="G147" s="49"/>
      <c r="H147" s="49"/>
      <c r="I147" s="49"/>
      <c r="J147" s="49"/>
      <c r="K147" s="49"/>
      <c r="L147" s="49"/>
      <c r="M147" s="49"/>
      <c r="N147" s="49"/>
      <c r="O147" s="49"/>
      <c r="P147" s="49"/>
      <c r="Q147" s="49"/>
      <c r="R147" s="171"/>
      <c r="S147" s="171"/>
      <c r="T147" s="171"/>
      <c r="U147" s="171"/>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71"/>
      <c r="AU147" s="49"/>
      <c r="AV147" s="49"/>
    </row>
    <row r="148" spans="3:48">
      <c r="C148" s="49"/>
      <c r="D148" s="49"/>
      <c r="E148" s="49"/>
      <c r="F148" s="168"/>
      <c r="G148" s="49"/>
      <c r="H148" s="49"/>
      <c r="I148" s="49"/>
      <c r="J148" s="49"/>
      <c r="K148" s="49"/>
      <c r="L148" s="49"/>
      <c r="M148" s="49"/>
      <c r="N148" s="49"/>
      <c r="O148" s="49"/>
      <c r="P148" s="49"/>
      <c r="Q148" s="49"/>
      <c r="R148" s="171"/>
      <c r="S148" s="171"/>
      <c r="T148" s="171"/>
      <c r="U148" s="171"/>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71"/>
      <c r="AU148" s="49"/>
      <c r="AV148" s="49"/>
    </row>
    <row r="149" spans="3:48">
      <c r="C149" s="49"/>
      <c r="D149" s="49"/>
      <c r="E149" s="49"/>
      <c r="F149" s="168"/>
      <c r="G149" s="49"/>
      <c r="H149" s="49"/>
      <c r="I149" s="49"/>
      <c r="J149" s="49"/>
      <c r="K149" s="49"/>
      <c r="L149" s="49"/>
      <c r="M149" s="49"/>
      <c r="N149" s="49"/>
      <c r="O149" s="49"/>
      <c r="P149" s="49"/>
      <c r="Q149" s="49"/>
      <c r="R149" s="171"/>
      <c r="S149" s="171"/>
      <c r="T149" s="171"/>
      <c r="U149" s="171"/>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71"/>
      <c r="AU149" s="49"/>
      <c r="AV149" s="49"/>
    </row>
    <row r="150" spans="3:48">
      <c r="C150" s="49"/>
      <c r="D150" s="49"/>
      <c r="E150" s="49"/>
      <c r="F150" s="168"/>
      <c r="G150" s="49"/>
      <c r="H150" s="49"/>
      <c r="I150" s="49"/>
      <c r="J150" s="49"/>
      <c r="K150" s="49"/>
      <c r="L150" s="49"/>
      <c r="M150" s="49"/>
      <c r="N150" s="49"/>
      <c r="O150" s="49"/>
      <c r="P150" s="49"/>
      <c r="Q150" s="49"/>
      <c r="R150" s="171"/>
      <c r="S150" s="171"/>
      <c r="T150" s="171"/>
      <c r="U150" s="171"/>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71"/>
      <c r="AU150" s="49"/>
      <c r="AV150" s="49"/>
    </row>
    <row r="151" spans="3:48">
      <c r="C151" s="49"/>
      <c r="D151" s="49"/>
      <c r="E151" s="49"/>
      <c r="F151" s="168"/>
      <c r="G151" s="49"/>
      <c r="H151" s="49"/>
      <c r="I151" s="49"/>
      <c r="J151" s="49"/>
      <c r="K151" s="49"/>
      <c r="L151" s="49"/>
      <c r="M151" s="49"/>
      <c r="N151" s="49"/>
      <c r="O151" s="49"/>
      <c r="P151" s="49"/>
      <c r="Q151" s="49"/>
      <c r="R151" s="171"/>
      <c r="S151" s="171"/>
      <c r="T151" s="171"/>
      <c r="U151" s="171"/>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71"/>
      <c r="AU151" s="49"/>
      <c r="AV151" s="49"/>
    </row>
    <row r="152" spans="3:48">
      <c r="C152" s="49"/>
      <c r="D152" s="49"/>
      <c r="E152" s="49"/>
      <c r="F152" s="168"/>
      <c r="G152" s="49"/>
      <c r="H152" s="49"/>
      <c r="I152" s="49"/>
      <c r="J152" s="49"/>
      <c r="K152" s="49"/>
      <c r="L152" s="49"/>
      <c r="M152" s="49"/>
      <c r="N152" s="49"/>
      <c r="O152" s="49"/>
      <c r="P152" s="49"/>
      <c r="Q152" s="49"/>
      <c r="R152" s="171"/>
      <c r="S152" s="171"/>
      <c r="T152" s="171"/>
      <c r="U152" s="171"/>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71"/>
      <c r="AU152" s="49"/>
      <c r="AV152" s="49"/>
    </row>
    <row r="153" spans="3:48">
      <c r="C153" s="49"/>
      <c r="D153" s="49"/>
      <c r="E153" s="49"/>
      <c r="F153" s="168"/>
      <c r="G153" s="49"/>
      <c r="H153" s="49"/>
      <c r="I153" s="49"/>
      <c r="J153" s="49"/>
      <c r="K153" s="49"/>
      <c r="L153" s="49"/>
      <c r="M153" s="49"/>
      <c r="N153" s="49"/>
      <c r="O153" s="49"/>
      <c r="P153" s="49"/>
      <c r="Q153" s="49"/>
      <c r="R153" s="171"/>
      <c r="S153" s="171"/>
      <c r="T153" s="171"/>
      <c r="U153" s="171"/>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71"/>
      <c r="AU153" s="49"/>
      <c r="AV153" s="49"/>
    </row>
    <row r="154" spans="3:48">
      <c r="C154" s="49"/>
      <c r="D154" s="49"/>
      <c r="E154" s="49"/>
      <c r="F154" s="168"/>
      <c r="G154" s="49"/>
      <c r="H154" s="49"/>
      <c r="I154" s="49"/>
      <c r="J154" s="49"/>
      <c r="K154" s="49"/>
      <c r="L154" s="49"/>
      <c r="M154" s="49"/>
      <c r="N154" s="49"/>
      <c r="O154" s="49"/>
      <c r="P154" s="49"/>
      <c r="Q154" s="49"/>
      <c r="R154" s="171"/>
      <c r="S154" s="171"/>
      <c r="T154" s="171"/>
      <c r="U154" s="171"/>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71"/>
      <c r="AU154" s="49"/>
      <c r="AV154" s="49"/>
    </row>
    <row r="155" spans="3:48">
      <c r="C155" s="49"/>
      <c r="D155" s="49"/>
      <c r="E155" s="49"/>
      <c r="F155" s="168"/>
      <c r="G155" s="49"/>
      <c r="H155" s="49"/>
      <c r="I155" s="49"/>
      <c r="J155" s="49"/>
      <c r="K155" s="49"/>
      <c r="L155" s="49"/>
      <c r="M155" s="49"/>
      <c r="N155" s="49"/>
      <c r="O155" s="49"/>
      <c r="P155" s="49"/>
      <c r="Q155" s="49"/>
      <c r="R155" s="171"/>
      <c r="S155" s="171"/>
      <c r="T155" s="171"/>
      <c r="U155" s="171"/>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71"/>
      <c r="AU155" s="49"/>
      <c r="AV155" s="49"/>
    </row>
    <row r="156" spans="3:48">
      <c r="C156" s="49"/>
      <c r="D156" s="49"/>
      <c r="E156" s="49"/>
      <c r="F156" s="168"/>
      <c r="G156" s="49"/>
      <c r="H156" s="49"/>
      <c r="I156" s="49"/>
      <c r="J156" s="49"/>
      <c r="K156" s="49"/>
      <c r="L156" s="49"/>
      <c r="M156" s="49"/>
      <c r="N156" s="49"/>
      <c r="O156" s="49"/>
      <c r="P156" s="49"/>
      <c r="Q156" s="49"/>
      <c r="R156" s="171"/>
      <c r="S156" s="171"/>
      <c r="T156" s="171"/>
      <c r="U156" s="171"/>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71"/>
      <c r="AU156" s="49"/>
      <c r="AV156" s="49"/>
    </row>
    <row r="157" spans="3:48">
      <c r="C157" s="49"/>
      <c r="D157" s="49"/>
      <c r="E157" s="49"/>
      <c r="F157" s="168"/>
      <c r="G157" s="49"/>
      <c r="H157" s="49"/>
      <c r="I157" s="49"/>
      <c r="J157" s="49"/>
      <c r="K157" s="49"/>
      <c r="L157" s="49"/>
      <c r="M157" s="49"/>
      <c r="N157" s="49"/>
      <c r="O157" s="49"/>
      <c r="P157" s="49"/>
      <c r="Q157" s="49"/>
      <c r="R157" s="171"/>
      <c r="S157" s="171"/>
      <c r="T157" s="171"/>
      <c r="U157" s="171"/>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71"/>
      <c r="AU157" s="49"/>
      <c r="AV157" s="49"/>
    </row>
    <row r="158" spans="3:48">
      <c r="C158" s="49"/>
      <c r="D158" s="49"/>
      <c r="E158" s="49"/>
      <c r="F158" s="168"/>
      <c r="G158" s="49"/>
      <c r="H158" s="49"/>
      <c r="I158" s="49"/>
      <c r="J158" s="49"/>
      <c r="K158" s="49"/>
      <c r="L158" s="49"/>
      <c r="M158" s="49"/>
      <c r="N158" s="49"/>
      <c r="O158" s="49"/>
      <c r="P158" s="49"/>
      <c r="Q158" s="49"/>
      <c r="R158" s="171"/>
      <c r="S158" s="171"/>
      <c r="T158" s="171"/>
      <c r="U158" s="171"/>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71"/>
      <c r="AU158" s="49"/>
      <c r="AV158" s="49"/>
    </row>
    <row r="159" spans="3:48">
      <c r="C159" s="49"/>
      <c r="D159" s="49"/>
      <c r="E159" s="49"/>
      <c r="F159" s="168"/>
      <c r="G159" s="49"/>
      <c r="H159" s="49"/>
      <c r="I159" s="49"/>
      <c r="J159" s="49"/>
      <c r="K159" s="49"/>
      <c r="L159" s="49"/>
      <c r="M159" s="49"/>
      <c r="N159" s="49"/>
      <c r="O159" s="49"/>
      <c r="P159" s="49"/>
      <c r="Q159" s="49"/>
      <c r="R159" s="171"/>
      <c r="S159" s="171"/>
      <c r="T159" s="171"/>
      <c r="U159" s="171"/>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71"/>
      <c r="AU159" s="49"/>
      <c r="AV159" s="49"/>
    </row>
    <row r="160" spans="3:48">
      <c r="C160" s="49"/>
      <c r="D160" s="49"/>
      <c r="E160" s="49"/>
      <c r="F160" s="168"/>
      <c r="G160" s="49"/>
      <c r="H160" s="49"/>
      <c r="I160" s="49"/>
      <c r="J160" s="49"/>
      <c r="K160" s="49"/>
      <c r="L160" s="49"/>
      <c r="M160" s="49"/>
      <c r="N160" s="49"/>
      <c r="O160" s="49"/>
      <c r="P160" s="49"/>
      <c r="Q160" s="49"/>
      <c r="R160" s="171"/>
      <c r="S160" s="171"/>
      <c r="T160" s="171"/>
      <c r="U160" s="171"/>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71"/>
      <c r="AU160" s="49"/>
      <c r="AV160" s="49"/>
    </row>
    <row r="161" spans="3:48">
      <c r="C161" s="49"/>
      <c r="D161" s="49"/>
      <c r="E161" s="49"/>
      <c r="F161" s="168"/>
      <c r="G161" s="49"/>
      <c r="H161" s="49"/>
      <c r="I161" s="49"/>
      <c r="J161" s="49"/>
      <c r="K161" s="49"/>
      <c r="L161" s="49"/>
      <c r="M161" s="49"/>
      <c r="N161" s="49"/>
      <c r="O161" s="49"/>
      <c r="P161" s="49"/>
      <c r="Q161" s="49"/>
      <c r="R161" s="171"/>
      <c r="S161" s="171"/>
      <c r="T161" s="171"/>
      <c r="U161" s="171"/>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71"/>
      <c r="AU161" s="49"/>
      <c r="AV161" s="49"/>
    </row>
    <row r="162" spans="3:48">
      <c r="C162" s="49"/>
      <c r="D162" s="49"/>
      <c r="E162" s="49"/>
      <c r="F162" s="168"/>
      <c r="G162" s="49"/>
      <c r="H162" s="49"/>
      <c r="I162" s="49"/>
      <c r="J162" s="49"/>
      <c r="K162" s="49"/>
      <c r="L162" s="49"/>
      <c r="M162" s="49"/>
      <c r="N162" s="49"/>
      <c r="O162" s="49"/>
      <c r="P162" s="49"/>
      <c r="Q162" s="49"/>
      <c r="R162" s="171"/>
      <c r="S162" s="171"/>
      <c r="T162" s="171"/>
      <c r="U162" s="171"/>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71"/>
      <c r="AU162" s="49"/>
      <c r="AV162" s="49"/>
    </row>
    <row r="163" spans="3:48">
      <c r="C163" s="49"/>
      <c r="D163" s="49"/>
      <c r="E163" s="49"/>
      <c r="F163" s="168"/>
      <c r="G163" s="49"/>
      <c r="H163" s="49"/>
      <c r="I163" s="49"/>
      <c r="J163" s="49"/>
      <c r="K163" s="49"/>
      <c r="L163" s="49"/>
      <c r="M163" s="49"/>
      <c r="N163" s="49"/>
      <c r="O163" s="49"/>
      <c r="P163" s="49"/>
      <c r="Q163" s="49"/>
      <c r="R163" s="171"/>
      <c r="S163" s="171"/>
      <c r="T163" s="171"/>
      <c r="U163" s="171"/>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71"/>
      <c r="AU163" s="49"/>
      <c r="AV163" s="49"/>
    </row>
    <row r="164" spans="3:48">
      <c r="C164" s="49"/>
      <c r="D164" s="49"/>
      <c r="E164" s="49"/>
      <c r="F164" s="168"/>
      <c r="G164" s="49"/>
      <c r="H164" s="49"/>
      <c r="I164" s="49"/>
      <c r="J164" s="49"/>
      <c r="K164" s="49"/>
      <c r="L164" s="49"/>
      <c r="M164" s="49"/>
      <c r="N164" s="49"/>
      <c r="O164" s="49"/>
      <c r="P164" s="49"/>
      <c r="Q164" s="49"/>
      <c r="R164" s="171"/>
      <c r="S164" s="171"/>
      <c r="T164" s="171"/>
      <c r="U164" s="171"/>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71"/>
      <c r="AU164" s="49"/>
      <c r="AV164" s="49"/>
    </row>
    <row r="165" spans="3:48">
      <c r="C165" s="49"/>
      <c r="D165" s="49"/>
      <c r="E165" s="49"/>
      <c r="F165" s="168"/>
      <c r="G165" s="49"/>
      <c r="H165" s="49"/>
      <c r="I165" s="49"/>
      <c r="J165" s="49"/>
      <c r="K165" s="49"/>
      <c r="L165" s="49"/>
      <c r="M165" s="49"/>
      <c r="N165" s="49"/>
      <c r="O165" s="49"/>
      <c r="P165" s="49"/>
      <c r="Q165" s="49"/>
      <c r="R165" s="171"/>
      <c r="S165" s="171"/>
      <c r="T165" s="171"/>
      <c r="U165" s="171"/>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71"/>
      <c r="AU165" s="49"/>
      <c r="AV165" s="49"/>
    </row>
    <row r="166" spans="3:48">
      <c r="C166" s="49"/>
      <c r="D166" s="49"/>
      <c r="E166" s="49"/>
      <c r="F166" s="168"/>
      <c r="G166" s="49"/>
      <c r="H166" s="49"/>
      <c r="I166" s="49"/>
      <c r="J166" s="49"/>
      <c r="K166" s="49"/>
      <c r="L166" s="49"/>
      <c r="M166" s="49"/>
      <c r="N166" s="49"/>
      <c r="O166" s="49"/>
      <c r="P166" s="49"/>
      <c r="Q166" s="49"/>
      <c r="R166" s="171"/>
      <c r="S166" s="171"/>
      <c r="T166" s="171"/>
      <c r="U166" s="171"/>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71"/>
      <c r="AU166" s="49"/>
      <c r="AV166" s="49"/>
    </row>
    <row r="167" spans="3:48">
      <c r="C167" s="49"/>
      <c r="D167" s="49"/>
      <c r="E167" s="49"/>
      <c r="F167" s="168"/>
      <c r="G167" s="49"/>
      <c r="H167" s="49"/>
      <c r="I167" s="49"/>
      <c r="J167" s="49"/>
      <c r="K167" s="49"/>
      <c r="L167" s="49"/>
      <c r="M167" s="49"/>
      <c r="N167" s="49"/>
      <c r="O167" s="49"/>
      <c r="P167" s="49"/>
      <c r="Q167" s="49"/>
      <c r="R167" s="171"/>
      <c r="S167" s="171"/>
      <c r="T167" s="171"/>
      <c r="U167" s="171"/>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71"/>
      <c r="AU167" s="49"/>
      <c r="AV167" s="49"/>
    </row>
    <row r="168" spans="3:48">
      <c r="C168" s="49"/>
      <c r="D168" s="49"/>
      <c r="E168" s="49"/>
      <c r="F168" s="168"/>
      <c r="G168" s="49"/>
      <c r="H168" s="49"/>
      <c r="I168" s="49"/>
      <c r="J168" s="49"/>
      <c r="K168" s="49"/>
      <c r="L168" s="49"/>
      <c r="M168" s="49"/>
      <c r="N168" s="49"/>
      <c r="O168" s="49"/>
      <c r="P168" s="49"/>
      <c r="Q168" s="49"/>
      <c r="R168" s="171"/>
      <c r="S168" s="171"/>
      <c r="T168" s="171"/>
      <c r="U168" s="171"/>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71"/>
      <c r="AU168" s="49"/>
      <c r="AV168" s="49"/>
    </row>
    <row r="169" spans="3:48">
      <c r="C169" s="49"/>
      <c r="D169" s="49"/>
      <c r="E169" s="49"/>
      <c r="F169" s="168"/>
      <c r="G169" s="49"/>
      <c r="H169" s="49"/>
      <c r="I169" s="49"/>
      <c r="J169" s="49"/>
      <c r="K169" s="49"/>
      <c r="L169" s="49"/>
      <c r="M169" s="49"/>
      <c r="N169" s="49"/>
      <c r="O169" s="49"/>
      <c r="P169" s="49"/>
      <c r="Q169" s="49"/>
      <c r="R169" s="171"/>
      <c r="S169" s="171"/>
      <c r="T169" s="171"/>
      <c r="U169" s="171"/>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71"/>
      <c r="AU169" s="49"/>
      <c r="AV169" s="49"/>
    </row>
    <row r="170" spans="3:48">
      <c r="C170" s="49"/>
      <c r="D170" s="49"/>
      <c r="E170" s="49"/>
      <c r="F170" s="168"/>
      <c r="G170" s="49"/>
      <c r="H170" s="49"/>
      <c r="I170" s="49"/>
      <c r="J170" s="49"/>
      <c r="K170" s="49"/>
      <c r="L170" s="49"/>
      <c r="M170" s="49"/>
      <c r="N170" s="49"/>
      <c r="O170" s="49"/>
      <c r="P170" s="49"/>
      <c r="Q170" s="49"/>
      <c r="R170" s="171"/>
      <c r="S170" s="171"/>
      <c r="T170" s="171"/>
      <c r="U170" s="171"/>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71"/>
      <c r="AU170" s="49"/>
      <c r="AV170" s="49"/>
    </row>
    <row r="171" spans="3:48">
      <c r="C171" s="49"/>
      <c r="D171" s="49"/>
      <c r="E171" s="49"/>
      <c r="F171" s="168"/>
      <c r="G171" s="49"/>
      <c r="H171" s="49"/>
      <c r="I171" s="49"/>
      <c r="J171" s="49"/>
      <c r="K171" s="49"/>
      <c r="L171" s="49"/>
      <c r="M171" s="49"/>
      <c r="N171" s="49"/>
      <c r="O171" s="49"/>
      <c r="P171" s="49"/>
      <c r="Q171" s="49"/>
      <c r="R171" s="171"/>
      <c r="S171" s="171"/>
      <c r="T171" s="171"/>
      <c r="U171" s="171"/>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71"/>
      <c r="AU171" s="49"/>
      <c r="AV171" s="49"/>
    </row>
    <row r="172" spans="3:48">
      <c r="C172" s="49"/>
      <c r="D172" s="49"/>
      <c r="E172" s="49"/>
      <c r="F172" s="168"/>
      <c r="G172" s="49"/>
      <c r="H172" s="49"/>
      <c r="I172" s="49"/>
      <c r="J172" s="49"/>
      <c r="K172" s="49"/>
      <c r="L172" s="49"/>
      <c r="M172" s="49"/>
      <c r="N172" s="49"/>
      <c r="O172" s="49"/>
      <c r="P172" s="49"/>
      <c r="Q172" s="49"/>
      <c r="R172" s="171"/>
      <c r="S172" s="171"/>
      <c r="T172" s="171"/>
      <c r="U172" s="171"/>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71"/>
      <c r="AU172" s="49"/>
      <c r="AV172" s="49"/>
    </row>
    <row r="173" spans="3:48">
      <c r="C173" s="49"/>
      <c r="D173" s="49"/>
      <c r="E173" s="49"/>
      <c r="F173" s="168"/>
      <c r="G173" s="49"/>
      <c r="H173" s="49"/>
      <c r="I173" s="49"/>
      <c r="J173" s="49"/>
      <c r="K173" s="49"/>
      <c r="L173" s="49"/>
      <c r="M173" s="49"/>
      <c r="N173" s="49"/>
      <c r="O173" s="49"/>
      <c r="P173" s="49"/>
      <c r="Q173" s="49"/>
      <c r="R173" s="171"/>
      <c r="S173" s="171"/>
      <c r="T173" s="171"/>
      <c r="U173" s="171"/>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71"/>
      <c r="AU173" s="49"/>
      <c r="AV173" s="49"/>
    </row>
    <row r="174" spans="3:48">
      <c r="C174" s="49"/>
      <c r="D174" s="49"/>
      <c r="E174" s="49"/>
      <c r="F174" s="168"/>
      <c r="G174" s="49"/>
      <c r="H174" s="49"/>
      <c r="I174" s="49"/>
      <c r="J174" s="49"/>
      <c r="K174" s="49"/>
      <c r="L174" s="49"/>
      <c r="M174" s="49"/>
      <c r="N174" s="49"/>
      <c r="O174" s="49"/>
      <c r="P174" s="49"/>
      <c r="Q174" s="49"/>
      <c r="R174" s="171"/>
      <c r="S174" s="171"/>
      <c r="T174" s="171"/>
      <c r="U174" s="171"/>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71"/>
      <c r="AU174" s="49"/>
      <c r="AV174" s="49"/>
    </row>
    <row r="175" spans="3:48">
      <c r="C175" s="49"/>
      <c r="D175" s="49"/>
      <c r="E175" s="49"/>
      <c r="F175" s="168"/>
      <c r="G175" s="49"/>
      <c r="H175" s="49"/>
      <c r="I175" s="49"/>
      <c r="J175" s="49"/>
      <c r="K175" s="49"/>
      <c r="L175" s="49"/>
      <c r="M175" s="49"/>
      <c r="N175" s="49"/>
      <c r="O175" s="49"/>
      <c r="P175" s="49"/>
      <c r="Q175" s="49"/>
      <c r="R175" s="171"/>
      <c r="S175" s="171"/>
      <c r="T175" s="171"/>
      <c r="U175" s="171"/>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71"/>
      <c r="AU175" s="49"/>
      <c r="AV175" s="49"/>
    </row>
    <row r="176" spans="3:48">
      <c r="C176" s="49"/>
      <c r="D176" s="49"/>
      <c r="E176" s="49"/>
      <c r="F176" s="168"/>
      <c r="G176" s="49"/>
      <c r="H176" s="49"/>
      <c r="I176" s="49"/>
      <c r="J176" s="49"/>
      <c r="K176" s="49"/>
      <c r="L176" s="49"/>
      <c r="M176" s="49"/>
      <c r="N176" s="49"/>
      <c r="O176" s="49"/>
      <c r="P176" s="49"/>
      <c r="Q176" s="49"/>
      <c r="R176" s="171"/>
      <c r="S176" s="171"/>
      <c r="T176" s="171"/>
      <c r="U176" s="171"/>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71"/>
      <c r="AU176" s="49"/>
      <c r="AV176" s="49"/>
    </row>
    <row r="177" spans="3:48">
      <c r="C177" s="49"/>
      <c r="D177" s="49"/>
      <c r="E177" s="49"/>
      <c r="F177" s="168"/>
      <c r="G177" s="49"/>
      <c r="H177" s="49"/>
      <c r="I177" s="49"/>
      <c r="J177" s="49"/>
      <c r="K177" s="49"/>
      <c r="L177" s="49"/>
      <c r="M177" s="49"/>
      <c r="N177" s="49"/>
      <c r="O177" s="49"/>
      <c r="P177" s="49"/>
      <c r="Q177" s="49"/>
      <c r="R177" s="171"/>
      <c r="S177" s="171"/>
      <c r="T177" s="171"/>
      <c r="U177" s="171"/>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71"/>
      <c r="AU177" s="49"/>
      <c r="AV177" s="49"/>
    </row>
    <row r="178" spans="3:48">
      <c r="C178" s="49"/>
      <c r="D178" s="49"/>
      <c r="E178" s="49"/>
      <c r="F178" s="168"/>
      <c r="G178" s="49"/>
      <c r="H178" s="49"/>
      <c r="I178" s="49"/>
      <c r="J178" s="49"/>
      <c r="K178" s="49"/>
      <c r="L178" s="49"/>
      <c r="M178" s="49"/>
      <c r="N178" s="49"/>
      <c r="O178" s="49"/>
      <c r="P178" s="49"/>
      <c r="Q178" s="49"/>
      <c r="R178" s="171"/>
      <c r="S178" s="171"/>
      <c r="T178" s="171"/>
      <c r="U178" s="171"/>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71"/>
      <c r="AU178" s="49"/>
      <c r="AV178" s="49"/>
    </row>
    <row r="179" spans="3:48">
      <c r="C179" s="49"/>
      <c r="D179" s="49"/>
      <c r="E179" s="49"/>
      <c r="F179" s="168"/>
      <c r="G179" s="49"/>
      <c r="H179" s="49"/>
      <c r="I179" s="49"/>
      <c r="J179" s="49"/>
      <c r="K179" s="49"/>
      <c r="L179" s="49"/>
      <c r="M179" s="49"/>
      <c r="N179" s="49"/>
      <c r="O179" s="49"/>
      <c r="P179" s="49"/>
      <c r="Q179" s="49"/>
      <c r="R179" s="171"/>
      <c r="S179" s="171"/>
      <c r="T179" s="171"/>
      <c r="U179" s="171"/>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71"/>
      <c r="AU179" s="49"/>
      <c r="AV179" s="49"/>
    </row>
    <row r="180" spans="3:48">
      <c r="C180" s="49"/>
      <c r="D180" s="49"/>
      <c r="E180" s="49"/>
      <c r="F180" s="168"/>
      <c r="G180" s="49"/>
      <c r="H180" s="49"/>
      <c r="I180" s="49"/>
      <c r="J180" s="49"/>
      <c r="K180" s="49"/>
      <c r="L180" s="49"/>
      <c r="M180" s="49"/>
      <c r="N180" s="49"/>
      <c r="O180" s="49"/>
      <c r="P180" s="49"/>
      <c r="Q180" s="49"/>
      <c r="R180" s="171"/>
      <c r="S180" s="171"/>
      <c r="T180" s="171"/>
      <c r="U180" s="171"/>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71"/>
      <c r="AU180" s="49"/>
      <c r="AV180" s="49"/>
    </row>
    <row r="181" spans="3:48">
      <c r="C181" s="49"/>
      <c r="D181" s="49"/>
      <c r="E181" s="49"/>
      <c r="F181" s="168"/>
      <c r="G181" s="49"/>
      <c r="H181" s="49"/>
      <c r="I181" s="49"/>
      <c r="J181" s="49"/>
      <c r="K181" s="49"/>
      <c r="L181" s="49"/>
      <c r="M181" s="49"/>
      <c r="N181" s="49"/>
      <c r="O181" s="49"/>
      <c r="P181" s="49"/>
      <c r="Q181" s="49"/>
      <c r="R181" s="171"/>
      <c r="S181" s="171"/>
      <c r="T181" s="171"/>
      <c r="U181" s="171"/>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71"/>
      <c r="AU181" s="49"/>
      <c r="AV181" s="49"/>
    </row>
    <row r="182" spans="3:48">
      <c r="C182" s="49"/>
      <c r="D182" s="49"/>
      <c r="E182" s="49"/>
      <c r="F182" s="168"/>
      <c r="G182" s="49"/>
      <c r="H182" s="49"/>
      <c r="I182" s="49"/>
      <c r="J182" s="49"/>
      <c r="K182" s="49"/>
      <c r="L182" s="49"/>
      <c r="M182" s="49"/>
      <c r="N182" s="49"/>
      <c r="O182" s="49"/>
      <c r="P182" s="49"/>
      <c r="Q182" s="49"/>
      <c r="R182" s="171"/>
      <c r="S182" s="171"/>
      <c r="T182" s="171"/>
      <c r="U182" s="171"/>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71"/>
      <c r="AU182" s="49"/>
      <c r="AV182" s="49"/>
    </row>
    <row r="183" spans="3:48">
      <c r="C183" s="49"/>
      <c r="D183" s="49"/>
      <c r="E183" s="49"/>
      <c r="F183" s="168"/>
      <c r="G183" s="49"/>
      <c r="H183" s="49"/>
      <c r="I183" s="49"/>
      <c r="J183" s="49"/>
      <c r="K183" s="49"/>
      <c r="L183" s="49"/>
      <c r="M183" s="49"/>
      <c r="N183" s="49"/>
      <c r="O183" s="49"/>
      <c r="P183" s="49"/>
      <c r="Q183" s="49"/>
      <c r="R183" s="171"/>
      <c r="S183" s="171"/>
      <c r="T183" s="171"/>
      <c r="U183" s="171"/>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71"/>
      <c r="AU183" s="49"/>
      <c r="AV183" s="49"/>
    </row>
    <row r="184" spans="3:48">
      <c r="C184" s="49"/>
      <c r="D184" s="49"/>
      <c r="E184" s="49"/>
      <c r="F184" s="168"/>
      <c r="G184" s="49"/>
      <c r="H184" s="49"/>
      <c r="I184" s="49"/>
      <c r="J184" s="49"/>
      <c r="K184" s="49"/>
      <c r="L184" s="49"/>
      <c r="M184" s="49"/>
      <c r="N184" s="49"/>
      <c r="O184" s="49"/>
      <c r="P184" s="49"/>
      <c r="Q184" s="49"/>
      <c r="R184" s="171"/>
      <c r="S184" s="171"/>
      <c r="T184" s="171"/>
      <c r="U184" s="171"/>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71"/>
      <c r="AU184" s="49"/>
      <c r="AV184" s="49"/>
    </row>
    <row r="185" spans="3:48">
      <c r="C185" s="49"/>
      <c r="D185" s="49"/>
      <c r="E185" s="49"/>
      <c r="F185" s="168"/>
      <c r="G185" s="49"/>
      <c r="H185" s="49"/>
      <c r="I185" s="49"/>
      <c r="J185" s="49"/>
      <c r="K185" s="49"/>
      <c r="L185" s="49"/>
      <c r="M185" s="49"/>
      <c r="N185" s="49"/>
      <c r="O185" s="49"/>
      <c r="P185" s="49"/>
      <c r="Q185" s="49"/>
      <c r="R185" s="171"/>
      <c r="S185" s="171"/>
      <c r="T185" s="171"/>
      <c r="U185" s="171"/>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71"/>
      <c r="AU185" s="49"/>
      <c r="AV185" s="49"/>
    </row>
    <row r="186" spans="3:48">
      <c r="C186" s="49"/>
      <c r="D186" s="49"/>
      <c r="E186" s="49"/>
      <c r="F186" s="168"/>
      <c r="G186" s="49"/>
      <c r="H186" s="49"/>
      <c r="I186" s="49"/>
      <c r="J186" s="49"/>
      <c r="K186" s="49"/>
      <c r="L186" s="49"/>
      <c r="M186" s="49"/>
      <c r="N186" s="49"/>
      <c r="O186" s="49"/>
      <c r="P186" s="49"/>
      <c r="Q186" s="49"/>
      <c r="R186" s="171"/>
      <c r="S186" s="171"/>
      <c r="T186" s="171"/>
      <c r="U186" s="171"/>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71"/>
      <c r="AU186" s="49"/>
      <c r="AV186" s="49"/>
    </row>
    <row r="187" spans="3:48">
      <c r="C187" s="49"/>
      <c r="D187" s="49"/>
      <c r="E187" s="49"/>
      <c r="F187" s="168"/>
      <c r="G187" s="49"/>
      <c r="H187" s="49"/>
      <c r="I187" s="49"/>
      <c r="J187" s="49"/>
      <c r="K187" s="49"/>
      <c r="L187" s="49"/>
      <c r="M187" s="49"/>
      <c r="N187" s="49"/>
      <c r="O187" s="49"/>
      <c r="P187" s="49"/>
      <c r="Q187" s="49"/>
      <c r="R187" s="171"/>
      <c r="S187" s="171"/>
      <c r="T187" s="171"/>
      <c r="U187" s="171"/>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71"/>
      <c r="AU187" s="49"/>
      <c r="AV187" s="49"/>
    </row>
    <row r="188" spans="3:48">
      <c r="C188" s="49"/>
      <c r="D188" s="49"/>
      <c r="E188" s="49"/>
      <c r="F188" s="168"/>
      <c r="G188" s="49"/>
      <c r="H188" s="49"/>
      <c r="I188" s="49"/>
      <c r="J188" s="49"/>
      <c r="K188" s="49"/>
      <c r="L188" s="49"/>
      <c r="M188" s="49"/>
      <c r="N188" s="49"/>
      <c r="O188" s="49"/>
      <c r="P188" s="49"/>
      <c r="Q188" s="49"/>
      <c r="R188" s="171"/>
      <c r="S188" s="171"/>
      <c r="T188" s="171"/>
      <c r="U188" s="171"/>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71"/>
      <c r="AU188" s="49"/>
      <c r="AV188" s="49"/>
    </row>
    <row r="189" spans="3:48">
      <c r="C189" s="49"/>
      <c r="D189" s="49"/>
      <c r="E189" s="49"/>
      <c r="F189" s="168"/>
      <c r="G189" s="49"/>
      <c r="H189" s="49"/>
      <c r="I189" s="49"/>
      <c r="J189" s="49"/>
      <c r="K189" s="49"/>
      <c r="L189" s="49"/>
      <c r="M189" s="49"/>
      <c r="N189" s="49"/>
      <c r="O189" s="49"/>
      <c r="P189" s="49"/>
      <c r="Q189" s="49"/>
      <c r="R189" s="171"/>
      <c r="S189" s="171"/>
      <c r="T189" s="171"/>
      <c r="U189" s="171"/>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71"/>
      <c r="AU189" s="49"/>
      <c r="AV189" s="49"/>
    </row>
    <row r="190" spans="3:48">
      <c r="C190" s="49"/>
      <c r="D190" s="49"/>
      <c r="E190" s="49"/>
      <c r="F190" s="168"/>
      <c r="G190" s="49"/>
      <c r="H190" s="49"/>
      <c r="I190" s="49"/>
      <c r="J190" s="49"/>
      <c r="K190" s="49"/>
      <c r="L190" s="49"/>
      <c r="M190" s="49"/>
      <c r="N190" s="49"/>
      <c r="O190" s="49"/>
      <c r="P190" s="49"/>
      <c r="Q190" s="49"/>
      <c r="R190" s="171"/>
      <c r="S190" s="171"/>
      <c r="T190" s="171"/>
      <c r="U190" s="171"/>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71"/>
      <c r="AU190" s="49"/>
      <c r="AV190" s="49"/>
    </row>
    <row r="191" spans="3:48">
      <c r="C191" s="49"/>
      <c r="D191" s="49"/>
      <c r="E191" s="49"/>
      <c r="F191" s="168"/>
      <c r="G191" s="49"/>
      <c r="H191" s="49"/>
      <c r="I191" s="49"/>
      <c r="J191" s="49"/>
      <c r="K191" s="49"/>
      <c r="L191" s="49"/>
      <c r="M191" s="49"/>
      <c r="N191" s="49"/>
      <c r="O191" s="49"/>
      <c r="P191" s="49"/>
      <c r="Q191" s="49"/>
      <c r="R191" s="171"/>
      <c r="S191" s="171"/>
      <c r="T191" s="171"/>
      <c r="U191" s="171"/>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71"/>
      <c r="AU191" s="49"/>
      <c r="AV191" s="49"/>
    </row>
    <row r="192" spans="3:48">
      <c r="C192" s="49"/>
      <c r="D192" s="49"/>
      <c r="E192" s="49"/>
      <c r="F192" s="168"/>
      <c r="G192" s="49"/>
      <c r="H192" s="49"/>
      <c r="I192" s="49"/>
      <c r="J192" s="49"/>
      <c r="K192" s="49"/>
      <c r="L192" s="49"/>
      <c r="M192" s="49"/>
      <c r="N192" s="49"/>
      <c r="O192" s="49"/>
      <c r="P192" s="49"/>
      <c r="Q192" s="49"/>
      <c r="R192" s="171"/>
      <c r="S192" s="171"/>
      <c r="T192" s="171"/>
      <c r="U192" s="171"/>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71"/>
      <c r="AU192" s="49"/>
      <c r="AV192" s="49"/>
    </row>
    <row r="193" spans="3:48">
      <c r="C193" s="49"/>
      <c r="D193" s="49"/>
      <c r="E193" s="49"/>
      <c r="F193" s="168"/>
      <c r="G193" s="49"/>
      <c r="H193" s="49"/>
      <c r="I193" s="49"/>
      <c r="J193" s="49"/>
      <c r="K193" s="49"/>
      <c r="L193" s="49"/>
      <c r="M193" s="49"/>
      <c r="N193" s="49"/>
      <c r="O193" s="49"/>
      <c r="P193" s="49"/>
      <c r="Q193" s="49"/>
      <c r="R193" s="171"/>
      <c r="S193" s="171"/>
      <c r="T193" s="171"/>
      <c r="U193" s="171"/>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71"/>
      <c r="AU193" s="49"/>
      <c r="AV193" s="49"/>
    </row>
    <row r="194" spans="3:48">
      <c r="C194" s="49"/>
      <c r="D194" s="49"/>
      <c r="E194" s="49"/>
      <c r="F194" s="168"/>
      <c r="G194" s="49"/>
      <c r="H194" s="49"/>
      <c r="I194" s="49"/>
      <c r="J194" s="49"/>
      <c r="K194" s="49"/>
      <c r="L194" s="49"/>
      <c r="M194" s="49"/>
      <c r="N194" s="49"/>
      <c r="O194" s="49"/>
      <c r="P194" s="49"/>
      <c r="Q194" s="49"/>
      <c r="R194" s="171"/>
      <c r="S194" s="171"/>
      <c r="T194" s="171"/>
      <c r="U194" s="171"/>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71"/>
      <c r="AU194" s="49"/>
      <c r="AV194" s="49"/>
    </row>
    <row r="195" spans="3:48">
      <c r="C195" s="49"/>
      <c r="D195" s="49"/>
      <c r="E195" s="49"/>
      <c r="F195" s="168"/>
      <c r="G195" s="49"/>
      <c r="H195" s="49"/>
      <c r="I195" s="49"/>
      <c r="J195" s="49"/>
      <c r="K195" s="49"/>
      <c r="L195" s="49"/>
      <c r="M195" s="49"/>
      <c r="N195" s="49"/>
      <c r="O195" s="49"/>
      <c r="P195" s="49"/>
      <c r="Q195" s="49"/>
      <c r="R195" s="171"/>
      <c r="S195" s="171"/>
      <c r="T195" s="171"/>
      <c r="U195" s="171"/>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71"/>
      <c r="AU195" s="49"/>
      <c r="AV195" s="49"/>
    </row>
    <row r="196" spans="3:48">
      <c r="C196" s="49"/>
      <c r="D196" s="49"/>
      <c r="E196" s="49"/>
      <c r="F196" s="168"/>
      <c r="G196" s="49"/>
      <c r="H196" s="49"/>
      <c r="I196" s="49"/>
      <c r="J196" s="49"/>
      <c r="K196" s="49"/>
      <c r="L196" s="49"/>
      <c r="M196" s="49"/>
      <c r="N196" s="49"/>
      <c r="O196" s="49"/>
      <c r="P196" s="49"/>
      <c r="Q196" s="49"/>
      <c r="R196" s="171"/>
      <c r="S196" s="171"/>
      <c r="T196" s="171"/>
      <c r="U196" s="171"/>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71"/>
      <c r="AU196" s="49"/>
      <c r="AV196" s="49"/>
    </row>
    <row r="197" spans="3:48">
      <c r="C197" s="49"/>
      <c r="D197" s="49"/>
      <c r="E197" s="49"/>
      <c r="F197" s="168"/>
      <c r="G197" s="49"/>
      <c r="H197" s="49"/>
      <c r="I197" s="49"/>
      <c r="J197" s="49"/>
      <c r="K197" s="49"/>
      <c r="L197" s="49"/>
      <c r="M197" s="49"/>
      <c r="N197" s="49"/>
      <c r="O197" s="49"/>
      <c r="P197" s="49"/>
      <c r="Q197" s="49"/>
      <c r="R197" s="171"/>
      <c r="S197" s="171"/>
      <c r="T197" s="171"/>
      <c r="U197" s="171"/>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71"/>
      <c r="AU197" s="49"/>
      <c r="AV197" s="49"/>
    </row>
    <row r="198" spans="3:48">
      <c r="C198" s="49"/>
      <c r="D198" s="49"/>
      <c r="E198" s="49"/>
      <c r="F198" s="168"/>
      <c r="G198" s="49"/>
      <c r="H198" s="49"/>
      <c r="I198" s="49"/>
      <c r="J198" s="49"/>
      <c r="K198" s="49"/>
      <c r="L198" s="49"/>
      <c r="M198" s="49"/>
      <c r="N198" s="49"/>
      <c r="O198" s="49"/>
      <c r="P198" s="49"/>
      <c r="Q198" s="49"/>
      <c r="R198" s="171"/>
      <c r="S198" s="171"/>
      <c r="T198" s="171"/>
      <c r="U198" s="171"/>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71"/>
      <c r="AU198" s="49"/>
      <c r="AV198" s="49"/>
    </row>
    <row r="199" spans="3:48">
      <c r="C199" s="49"/>
      <c r="D199" s="49"/>
      <c r="E199" s="49"/>
      <c r="F199" s="168"/>
      <c r="G199" s="49"/>
      <c r="H199" s="49"/>
      <c r="I199" s="49"/>
      <c r="J199" s="49"/>
      <c r="K199" s="49"/>
      <c r="L199" s="49"/>
      <c r="M199" s="49"/>
      <c r="N199" s="49"/>
      <c r="O199" s="49"/>
      <c r="P199" s="49"/>
      <c r="Q199" s="49"/>
      <c r="R199" s="171"/>
      <c r="S199" s="171"/>
      <c r="T199" s="171"/>
      <c r="U199" s="171"/>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71"/>
      <c r="AU199" s="49"/>
      <c r="AV199" s="49"/>
    </row>
    <row r="200" spans="3:48">
      <c r="C200" s="49"/>
      <c r="D200" s="49"/>
      <c r="E200" s="49"/>
      <c r="F200" s="168"/>
      <c r="G200" s="49"/>
      <c r="H200" s="49"/>
      <c r="I200" s="49"/>
      <c r="J200" s="49"/>
      <c r="K200" s="49"/>
      <c r="L200" s="49"/>
      <c r="M200" s="49"/>
      <c r="N200" s="49"/>
      <c r="O200" s="49"/>
      <c r="P200" s="49"/>
      <c r="Q200" s="49"/>
      <c r="R200" s="171"/>
      <c r="S200" s="171"/>
      <c r="T200" s="171"/>
      <c r="U200" s="171"/>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71"/>
      <c r="AU200" s="49"/>
      <c r="AV200" s="49"/>
    </row>
    <row r="201" spans="3:48">
      <c r="C201" s="49"/>
      <c r="D201" s="49"/>
      <c r="E201" s="49"/>
      <c r="F201" s="168"/>
      <c r="G201" s="49"/>
      <c r="H201" s="49"/>
      <c r="I201" s="49"/>
      <c r="J201" s="49"/>
      <c r="K201" s="49"/>
      <c r="L201" s="49"/>
      <c r="M201" s="49"/>
      <c r="N201" s="49"/>
      <c r="O201" s="49"/>
      <c r="P201" s="49"/>
      <c r="Q201" s="49"/>
      <c r="R201" s="171"/>
      <c r="S201" s="171"/>
      <c r="T201" s="171"/>
      <c r="U201" s="171"/>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71"/>
      <c r="AU201" s="49"/>
      <c r="AV201" s="49"/>
    </row>
    <row r="202" spans="3:48">
      <c r="C202" s="49"/>
      <c r="D202" s="49"/>
      <c r="E202" s="49"/>
      <c r="F202" s="168"/>
      <c r="G202" s="49"/>
      <c r="H202" s="49"/>
      <c r="I202" s="49"/>
      <c r="J202" s="49"/>
      <c r="K202" s="49"/>
      <c r="L202" s="49"/>
      <c r="M202" s="49"/>
      <c r="N202" s="49"/>
      <c r="O202" s="49"/>
      <c r="P202" s="49"/>
      <c r="Q202" s="49"/>
      <c r="R202" s="171"/>
      <c r="S202" s="171"/>
      <c r="T202" s="171"/>
      <c r="U202" s="171"/>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71"/>
      <c r="AU202" s="49"/>
      <c r="AV202" s="49"/>
    </row>
    <row r="203" spans="3:48">
      <c r="C203" s="49"/>
      <c r="D203" s="49"/>
      <c r="E203" s="49"/>
      <c r="F203" s="168"/>
      <c r="G203" s="49"/>
      <c r="H203" s="49"/>
      <c r="I203" s="49"/>
      <c r="J203" s="49"/>
      <c r="K203" s="49"/>
      <c r="L203" s="49"/>
      <c r="M203" s="49"/>
      <c r="N203" s="49"/>
      <c r="O203" s="49"/>
      <c r="P203" s="49"/>
      <c r="Q203" s="49"/>
      <c r="R203" s="171"/>
      <c r="S203" s="171"/>
      <c r="T203" s="171"/>
      <c r="U203" s="171"/>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71"/>
      <c r="AU203" s="49"/>
      <c r="AV203" s="49"/>
    </row>
    <row r="204" spans="3:48">
      <c r="C204" s="49"/>
      <c r="D204" s="49"/>
      <c r="E204" s="49"/>
      <c r="F204" s="168"/>
      <c r="G204" s="49"/>
      <c r="H204" s="49"/>
      <c r="I204" s="49"/>
      <c r="J204" s="49"/>
      <c r="K204" s="49"/>
      <c r="L204" s="49"/>
      <c r="M204" s="49"/>
      <c r="N204" s="49"/>
      <c r="O204" s="49"/>
      <c r="P204" s="49"/>
      <c r="Q204" s="49"/>
      <c r="R204" s="171"/>
      <c r="S204" s="171"/>
      <c r="T204" s="171"/>
      <c r="U204" s="171"/>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71"/>
      <c r="AU204" s="49"/>
      <c r="AV204" s="49"/>
    </row>
    <row r="205" spans="3:48">
      <c r="C205" s="49"/>
      <c r="D205" s="49"/>
      <c r="E205" s="49"/>
      <c r="F205" s="168"/>
      <c r="G205" s="49"/>
      <c r="H205" s="49"/>
      <c r="I205" s="49"/>
      <c r="J205" s="49"/>
      <c r="K205" s="49"/>
      <c r="L205" s="49"/>
      <c r="M205" s="49"/>
      <c r="N205" s="49"/>
      <c r="O205" s="49"/>
      <c r="P205" s="49"/>
      <c r="Q205" s="49"/>
      <c r="R205" s="171"/>
      <c r="S205" s="171"/>
      <c r="T205" s="171"/>
      <c r="U205" s="171"/>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71"/>
      <c r="AU205" s="49"/>
      <c r="AV205" s="49"/>
    </row>
    <row r="206" spans="3:48">
      <c r="C206" s="49"/>
      <c r="D206" s="49"/>
      <c r="E206" s="49"/>
      <c r="F206" s="168"/>
      <c r="G206" s="49"/>
      <c r="H206" s="49"/>
      <c r="I206" s="49"/>
      <c r="J206" s="49"/>
      <c r="K206" s="49"/>
      <c r="L206" s="49"/>
      <c r="M206" s="49"/>
      <c r="N206" s="49"/>
      <c r="O206" s="49"/>
      <c r="P206" s="49"/>
      <c r="Q206" s="49"/>
      <c r="R206" s="171"/>
      <c r="S206" s="171"/>
      <c r="T206" s="171"/>
      <c r="U206" s="171"/>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71"/>
      <c r="AU206" s="49"/>
      <c r="AV206" s="49"/>
    </row>
    <row r="207" spans="3:48">
      <c r="C207" s="49"/>
      <c r="D207" s="49"/>
      <c r="E207" s="49"/>
      <c r="F207" s="168"/>
      <c r="G207" s="49"/>
      <c r="H207" s="49"/>
      <c r="I207" s="49"/>
      <c r="J207" s="49"/>
      <c r="K207" s="49"/>
      <c r="L207" s="49"/>
      <c r="M207" s="49"/>
      <c r="N207" s="49"/>
      <c r="O207" s="49"/>
      <c r="P207" s="49"/>
      <c r="Q207" s="49"/>
      <c r="R207" s="171"/>
      <c r="S207" s="171"/>
      <c r="T207" s="171"/>
      <c r="U207" s="171"/>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71"/>
      <c r="AU207" s="49"/>
      <c r="AV207" s="49"/>
    </row>
    <row r="208" spans="3:48">
      <c r="C208" s="49"/>
      <c r="D208" s="49"/>
      <c r="E208" s="49"/>
      <c r="F208" s="168"/>
      <c r="G208" s="49"/>
      <c r="H208" s="49"/>
      <c r="I208" s="49"/>
      <c r="J208" s="49"/>
      <c r="K208" s="49"/>
      <c r="L208" s="49"/>
      <c r="M208" s="49"/>
      <c r="N208" s="49"/>
      <c r="O208" s="49"/>
      <c r="P208" s="49"/>
      <c r="Q208" s="49"/>
      <c r="R208" s="171"/>
      <c r="S208" s="171"/>
      <c r="T208" s="171"/>
      <c r="U208" s="171"/>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71"/>
      <c r="AU208" s="49"/>
      <c r="AV208" s="49"/>
    </row>
    <row r="209" spans="3:48">
      <c r="C209" s="49"/>
      <c r="D209" s="49"/>
      <c r="E209" s="49"/>
      <c r="F209" s="168"/>
      <c r="G209" s="49"/>
      <c r="H209" s="49"/>
      <c r="I209" s="49"/>
      <c r="J209" s="49"/>
      <c r="K209" s="49"/>
      <c r="L209" s="49"/>
      <c r="M209" s="49"/>
      <c r="N209" s="49"/>
      <c r="O209" s="49"/>
      <c r="P209" s="49"/>
      <c r="Q209" s="49"/>
      <c r="R209" s="171"/>
      <c r="S209" s="171"/>
      <c r="T209" s="171"/>
      <c r="U209" s="171"/>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71"/>
      <c r="AU209" s="49"/>
      <c r="AV209" s="49"/>
    </row>
    <row r="210" spans="3:48">
      <c r="C210" s="49"/>
      <c r="D210" s="49"/>
      <c r="E210" s="49"/>
      <c r="F210" s="168"/>
      <c r="G210" s="49"/>
      <c r="H210" s="49"/>
      <c r="I210" s="49"/>
      <c r="J210" s="49"/>
      <c r="K210" s="49"/>
      <c r="L210" s="49"/>
      <c r="M210" s="49"/>
      <c r="N210" s="49"/>
      <c r="O210" s="49"/>
      <c r="P210" s="49"/>
      <c r="Q210" s="49"/>
      <c r="R210" s="171"/>
      <c r="S210" s="171"/>
      <c r="T210" s="171"/>
      <c r="U210" s="171"/>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71"/>
      <c r="AU210" s="49"/>
      <c r="AV210" s="49"/>
    </row>
    <row r="211" spans="3:48">
      <c r="C211" s="49"/>
      <c r="D211" s="49"/>
      <c r="E211" s="49"/>
      <c r="F211" s="168"/>
      <c r="G211" s="49"/>
      <c r="H211" s="49"/>
      <c r="I211" s="49"/>
      <c r="J211" s="49"/>
      <c r="K211" s="49"/>
      <c r="L211" s="49"/>
      <c r="M211" s="49"/>
      <c r="N211" s="49"/>
      <c r="O211" s="49"/>
      <c r="P211" s="49"/>
      <c r="Q211" s="49"/>
      <c r="R211" s="171"/>
      <c r="S211" s="171"/>
      <c r="T211" s="171"/>
      <c r="U211" s="171"/>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71"/>
      <c r="AU211" s="49"/>
      <c r="AV211" s="49"/>
    </row>
    <row r="212" spans="3:48">
      <c r="C212" s="49"/>
      <c r="D212" s="49"/>
      <c r="E212" s="49"/>
      <c r="F212" s="168"/>
      <c r="G212" s="49"/>
      <c r="H212" s="49"/>
      <c r="I212" s="49"/>
      <c r="J212" s="49"/>
      <c r="K212" s="49"/>
      <c r="L212" s="49"/>
      <c r="M212" s="49"/>
      <c r="N212" s="49"/>
      <c r="O212" s="49"/>
      <c r="P212" s="49"/>
      <c r="Q212" s="49"/>
      <c r="R212" s="171"/>
      <c r="S212" s="171"/>
      <c r="T212" s="171"/>
      <c r="U212" s="171"/>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71"/>
      <c r="AU212" s="49"/>
      <c r="AV212" s="49"/>
    </row>
    <row r="213" spans="3:48">
      <c r="C213" s="49"/>
      <c r="D213" s="49"/>
      <c r="E213" s="49"/>
      <c r="F213" s="168"/>
      <c r="G213" s="49"/>
      <c r="H213" s="49"/>
      <c r="I213" s="49"/>
      <c r="J213" s="49"/>
      <c r="K213" s="49"/>
      <c r="L213" s="49"/>
      <c r="M213" s="49"/>
      <c r="N213" s="49"/>
      <c r="O213" s="49"/>
      <c r="P213" s="49"/>
      <c r="Q213" s="49"/>
      <c r="R213" s="171"/>
      <c r="S213" s="171"/>
      <c r="T213" s="171"/>
      <c r="U213" s="171"/>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71"/>
      <c r="AU213" s="49"/>
      <c r="AV213" s="49"/>
    </row>
    <row r="214" spans="3:48">
      <c r="C214" s="49"/>
      <c r="D214" s="49"/>
      <c r="E214" s="49"/>
      <c r="F214" s="168"/>
      <c r="G214" s="49"/>
      <c r="H214" s="49"/>
      <c r="I214" s="49"/>
      <c r="J214" s="49"/>
      <c r="K214" s="49"/>
      <c r="L214" s="49"/>
      <c r="M214" s="49"/>
      <c r="N214" s="49"/>
      <c r="O214" s="49"/>
      <c r="P214" s="49"/>
      <c r="Q214" s="49"/>
      <c r="R214" s="171"/>
      <c r="S214" s="171"/>
      <c r="T214" s="171"/>
      <c r="U214" s="171"/>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71"/>
      <c r="AU214" s="49"/>
      <c r="AV214" s="49"/>
    </row>
    <row r="215" spans="3:48">
      <c r="C215" s="49"/>
      <c r="D215" s="49"/>
      <c r="E215" s="49"/>
      <c r="F215" s="168"/>
      <c r="G215" s="49"/>
      <c r="H215" s="49"/>
      <c r="I215" s="49"/>
      <c r="J215" s="49"/>
      <c r="K215" s="49"/>
      <c r="L215" s="49"/>
      <c r="M215" s="49"/>
      <c r="N215" s="49"/>
      <c r="O215" s="49"/>
      <c r="P215" s="49"/>
      <c r="Q215" s="49"/>
      <c r="R215" s="171"/>
      <c r="S215" s="171"/>
      <c r="T215" s="171"/>
      <c r="U215" s="171"/>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71"/>
      <c r="AU215" s="49"/>
      <c r="AV215" s="49"/>
    </row>
    <row r="216" spans="3:48">
      <c r="C216" s="49"/>
      <c r="D216" s="49"/>
      <c r="E216" s="49"/>
      <c r="F216" s="168"/>
      <c r="G216" s="49"/>
      <c r="H216" s="49"/>
      <c r="I216" s="49"/>
      <c r="J216" s="49"/>
      <c r="K216" s="49"/>
      <c r="L216" s="49"/>
      <c r="M216" s="49"/>
      <c r="N216" s="49"/>
      <c r="O216" s="49"/>
      <c r="P216" s="49"/>
      <c r="Q216" s="49"/>
      <c r="R216" s="171"/>
      <c r="S216" s="171"/>
      <c r="T216" s="171"/>
      <c r="U216" s="171"/>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71"/>
      <c r="AU216" s="49"/>
      <c r="AV216" s="49"/>
    </row>
    <row r="217" spans="3:48">
      <c r="C217" s="49"/>
      <c r="D217" s="49"/>
      <c r="E217" s="49"/>
      <c r="F217" s="168"/>
      <c r="G217" s="49"/>
      <c r="H217" s="49"/>
      <c r="I217" s="49"/>
      <c r="J217" s="49"/>
      <c r="K217" s="49"/>
      <c r="L217" s="49"/>
      <c r="M217" s="49"/>
      <c r="N217" s="49"/>
      <c r="O217" s="49"/>
      <c r="P217" s="49"/>
      <c r="Q217" s="49"/>
      <c r="R217" s="171"/>
      <c r="S217" s="171"/>
      <c r="T217" s="171"/>
      <c r="U217" s="171"/>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71"/>
      <c r="AU217" s="49"/>
      <c r="AV217" s="49"/>
    </row>
    <row r="218" spans="3:48">
      <c r="C218" s="49"/>
      <c r="D218" s="49"/>
      <c r="E218" s="49"/>
      <c r="F218" s="168"/>
      <c r="G218" s="49"/>
      <c r="H218" s="49"/>
      <c r="I218" s="49"/>
      <c r="J218" s="49"/>
      <c r="K218" s="49"/>
      <c r="L218" s="49"/>
      <c r="M218" s="49"/>
      <c r="N218" s="49"/>
      <c r="O218" s="49"/>
      <c r="P218" s="49"/>
      <c r="Q218" s="49"/>
      <c r="R218" s="171"/>
      <c r="S218" s="171"/>
      <c r="T218" s="171"/>
      <c r="U218" s="171"/>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71"/>
      <c r="AU218" s="49"/>
      <c r="AV218" s="49"/>
    </row>
    <row r="219" spans="3:48">
      <c r="C219" s="49"/>
      <c r="D219" s="49"/>
      <c r="E219" s="49"/>
      <c r="F219" s="168"/>
      <c r="G219" s="49"/>
      <c r="H219" s="49"/>
      <c r="I219" s="49"/>
      <c r="J219" s="49"/>
      <c r="K219" s="49"/>
      <c r="L219" s="49"/>
      <c r="M219" s="49"/>
      <c r="N219" s="49"/>
      <c r="O219" s="49"/>
      <c r="P219" s="49"/>
      <c r="Q219" s="49"/>
      <c r="R219" s="171"/>
      <c r="S219" s="171"/>
      <c r="T219" s="171"/>
      <c r="U219" s="171"/>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71"/>
      <c r="AU219" s="49"/>
      <c r="AV219" s="49"/>
    </row>
    <row r="220" spans="3:48">
      <c r="C220" s="49"/>
      <c r="D220" s="49"/>
      <c r="E220" s="49"/>
      <c r="F220" s="168"/>
      <c r="G220" s="49"/>
      <c r="H220" s="49"/>
      <c r="I220" s="49"/>
      <c r="J220" s="49"/>
      <c r="K220" s="49"/>
      <c r="L220" s="49"/>
      <c r="M220" s="49"/>
      <c r="N220" s="49"/>
      <c r="O220" s="49"/>
      <c r="P220" s="49"/>
      <c r="Q220" s="49"/>
      <c r="R220" s="171"/>
      <c r="S220" s="171"/>
      <c r="T220" s="171"/>
      <c r="U220" s="171"/>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71"/>
      <c r="AU220" s="49"/>
      <c r="AV220" s="49"/>
    </row>
    <row r="221" spans="3:48">
      <c r="C221" s="49"/>
      <c r="D221" s="49"/>
      <c r="E221" s="49"/>
      <c r="F221" s="168"/>
      <c r="G221" s="49"/>
      <c r="H221" s="49"/>
      <c r="I221" s="49"/>
      <c r="J221" s="49"/>
      <c r="K221" s="49"/>
      <c r="L221" s="49"/>
      <c r="M221" s="49"/>
      <c r="N221" s="49"/>
      <c r="O221" s="49"/>
      <c r="P221" s="49"/>
      <c r="Q221" s="49"/>
      <c r="R221" s="171"/>
      <c r="S221" s="171"/>
      <c r="T221" s="171"/>
      <c r="U221" s="171"/>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71"/>
      <c r="AU221" s="49"/>
      <c r="AV221" s="49"/>
    </row>
    <row r="222" spans="3:48">
      <c r="C222" s="49"/>
      <c r="D222" s="49"/>
      <c r="E222" s="49"/>
      <c r="F222" s="168"/>
      <c r="G222" s="49"/>
      <c r="H222" s="49"/>
      <c r="I222" s="49"/>
      <c r="J222" s="49"/>
      <c r="K222" s="49"/>
      <c r="L222" s="49"/>
      <c r="M222" s="49"/>
      <c r="N222" s="49"/>
      <c r="O222" s="49"/>
      <c r="P222" s="49"/>
      <c r="Q222" s="49"/>
      <c r="R222" s="171"/>
      <c r="S222" s="171"/>
      <c r="T222" s="171"/>
      <c r="U222" s="171"/>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71"/>
      <c r="AU222" s="49"/>
      <c r="AV222" s="49"/>
    </row>
    <row r="223" spans="3:48">
      <c r="C223" s="49"/>
      <c r="D223" s="49"/>
      <c r="E223" s="49"/>
      <c r="F223" s="168"/>
      <c r="G223" s="49"/>
      <c r="H223" s="49"/>
      <c r="I223" s="49"/>
      <c r="J223" s="49"/>
      <c r="K223" s="49"/>
      <c r="L223" s="49"/>
      <c r="M223" s="49"/>
      <c r="N223" s="49"/>
      <c r="O223" s="49"/>
      <c r="P223" s="49"/>
      <c r="Q223" s="49"/>
      <c r="R223" s="171"/>
      <c r="S223" s="171"/>
      <c r="T223" s="171"/>
      <c r="U223" s="171"/>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71"/>
      <c r="AU223" s="49"/>
      <c r="AV223" s="49"/>
    </row>
    <row r="224" spans="3:48">
      <c r="C224" s="49"/>
      <c r="D224" s="49"/>
      <c r="E224" s="49"/>
      <c r="F224" s="168"/>
      <c r="G224" s="49"/>
      <c r="H224" s="49"/>
      <c r="I224" s="49"/>
      <c r="J224" s="49"/>
      <c r="K224" s="49"/>
      <c r="L224" s="49"/>
      <c r="M224" s="49"/>
      <c r="N224" s="49"/>
      <c r="O224" s="49"/>
      <c r="P224" s="49"/>
      <c r="Q224" s="49"/>
      <c r="R224" s="171"/>
      <c r="S224" s="171"/>
      <c r="T224" s="171"/>
      <c r="U224" s="171"/>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71"/>
      <c r="AU224" s="49"/>
      <c r="AV224" s="49"/>
    </row>
    <row r="225" spans="3:48">
      <c r="C225" s="49"/>
      <c r="D225" s="49"/>
      <c r="E225" s="49"/>
      <c r="F225" s="168"/>
      <c r="G225" s="49"/>
      <c r="H225" s="49"/>
      <c r="I225" s="49"/>
      <c r="J225" s="49"/>
      <c r="K225" s="49"/>
      <c r="L225" s="49"/>
      <c r="M225" s="49"/>
      <c r="N225" s="49"/>
      <c r="O225" s="49"/>
      <c r="P225" s="49"/>
      <c r="Q225" s="49"/>
      <c r="R225" s="171"/>
      <c r="S225" s="171"/>
      <c r="T225" s="171"/>
      <c r="U225" s="171"/>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71"/>
      <c r="AU225" s="49"/>
      <c r="AV225" s="49"/>
    </row>
    <row r="226" spans="3:48">
      <c r="C226" s="49"/>
      <c r="D226" s="49"/>
      <c r="E226" s="49"/>
      <c r="F226" s="168"/>
      <c r="G226" s="49"/>
      <c r="H226" s="49"/>
      <c r="I226" s="49"/>
      <c r="J226" s="49"/>
      <c r="K226" s="49"/>
      <c r="L226" s="49"/>
      <c r="M226" s="49"/>
      <c r="N226" s="49"/>
      <c r="O226" s="49"/>
      <c r="P226" s="49"/>
      <c r="Q226" s="49"/>
      <c r="R226" s="171"/>
      <c r="S226" s="171"/>
      <c r="T226" s="171"/>
      <c r="U226" s="171"/>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71"/>
      <c r="AU226" s="49"/>
      <c r="AV226" s="49"/>
    </row>
    <row r="227" spans="3:48">
      <c r="C227" s="49"/>
      <c r="D227" s="49"/>
      <c r="E227" s="49"/>
      <c r="F227" s="168"/>
      <c r="G227" s="49"/>
      <c r="H227" s="49"/>
      <c r="I227" s="49"/>
      <c r="J227" s="49"/>
      <c r="K227" s="49"/>
      <c r="L227" s="49"/>
      <c r="M227" s="49"/>
      <c r="N227" s="49"/>
      <c r="O227" s="49"/>
      <c r="P227" s="49"/>
      <c r="Q227" s="49"/>
      <c r="R227" s="171"/>
      <c r="S227" s="171"/>
      <c r="T227" s="171"/>
      <c r="U227" s="171"/>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71"/>
      <c r="AU227" s="49"/>
      <c r="AV227" s="49"/>
    </row>
    <row r="228" spans="3:48">
      <c r="C228" s="49"/>
      <c r="D228" s="49"/>
      <c r="E228" s="49"/>
      <c r="F228" s="168"/>
      <c r="G228" s="49"/>
      <c r="H228" s="49"/>
      <c r="I228" s="49"/>
      <c r="J228" s="49"/>
      <c r="K228" s="49"/>
      <c r="L228" s="49"/>
      <c r="M228" s="49"/>
      <c r="N228" s="49"/>
      <c r="O228" s="49"/>
      <c r="P228" s="49"/>
      <c r="Q228" s="49"/>
      <c r="R228" s="171"/>
      <c r="S228" s="171"/>
      <c r="T228" s="171"/>
      <c r="U228" s="171"/>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71"/>
      <c r="AU228" s="49"/>
      <c r="AV228" s="49"/>
    </row>
    <row r="229" spans="3:48">
      <c r="C229" s="49"/>
      <c r="D229" s="49"/>
      <c r="E229" s="49"/>
      <c r="F229" s="168"/>
      <c r="G229" s="49"/>
      <c r="H229" s="49"/>
      <c r="I229" s="49"/>
      <c r="J229" s="49"/>
      <c r="K229" s="49"/>
      <c r="L229" s="49"/>
      <c r="M229" s="49"/>
      <c r="N229" s="49"/>
      <c r="O229" s="49"/>
      <c r="P229" s="49"/>
      <c r="Q229" s="49"/>
      <c r="R229" s="171"/>
      <c r="S229" s="171"/>
      <c r="T229" s="171"/>
      <c r="U229" s="171"/>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71"/>
      <c r="AU229" s="49"/>
      <c r="AV229" s="49"/>
    </row>
    <row r="230" spans="3:48">
      <c r="C230" s="49"/>
      <c r="D230" s="49"/>
      <c r="E230" s="49"/>
      <c r="F230" s="168"/>
      <c r="G230" s="49"/>
      <c r="H230" s="49"/>
      <c r="I230" s="49"/>
      <c r="J230" s="49"/>
      <c r="K230" s="49"/>
      <c r="L230" s="49"/>
      <c r="M230" s="49"/>
      <c r="N230" s="49"/>
      <c r="O230" s="49"/>
      <c r="P230" s="49"/>
      <c r="Q230" s="49"/>
      <c r="R230" s="171"/>
      <c r="S230" s="171"/>
      <c r="T230" s="171"/>
      <c r="U230" s="171"/>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71"/>
      <c r="AU230" s="49"/>
      <c r="AV230" s="49"/>
    </row>
    <row r="231" spans="3:48">
      <c r="C231" s="49"/>
      <c r="D231" s="49"/>
      <c r="E231" s="49"/>
      <c r="F231" s="168"/>
      <c r="G231" s="49"/>
      <c r="H231" s="49"/>
      <c r="I231" s="49"/>
      <c r="J231" s="49"/>
      <c r="K231" s="49"/>
      <c r="L231" s="49"/>
      <c r="M231" s="49"/>
      <c r="N231" s="49"/>
      <c r="O231" s="49"/>
      <c r="P231" s="49"/>
      <c r="Q231" s="49"/>
      <c r="R231" s="171"/>
      <c r="S231" s="171"/>
      <c r="T231" s="171"/>
      <c r="U231" s="171"/>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71"/>
      <c r="AU231" s="49"/>
      <c r="AV231" s="49"/>
    </row>
    <row r="232" spans="3:48">
      <c r="C232" s="49"/>
      <c r="D232" s="49"/>
      <c r="E232" s="49"/>
      <c r="F232" s="168"/>
      <c r="G232" s="49"/>
      <c r="H232" s="49"/>
      <c r="I232" s="49"/>
      <c r="J232" s="49"/>
      <c r="K232" s="49"/>
      <c r="L232" s="49"/>
      <c r="M232" s="49"/>
      <c r="N232" s="49"/>
      <c r="O232" s="49"/>
      <c r="P232" s="49"/>
      <c r="Q232" s="49"/>
      <c r="R232" s="171"/>
      <c r="S232" s="171"/>
      <c r="T232" s="171"/>
      <c r="U232" s="171"/>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71"/>
      <c r="AU232" s="49"/>
      <c r="AV232" s="49"/>
    </row>
    <row r="233" spans="3:48">
      <c r="C233" s="49"/>
      <c r="D233" s="49"/>
      <c r="E233" s="49"/>
      <c r="F233" s="168"/>
      <c r="G233" s="49"/>
      <c r="H233" s="49"/>
      <c r="I233" s="49"/>
      <c r="J233" s="49"/>
      <c r="K233" s="49"/>
      <c r="L233" s="49"/>
      <c r="M233" s="49"/>
      <c r="N233" s="49"/>
      <c r="O233" s="49"/>
      <c r="P233" s="49"/>
      <c r="Q233" s="49"/>
      <c r="R233" s="171"/>
      <c r="S233" s="171"/>
      <c r="T233" s="171"/>
      <c r="U233" s="171"/>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71"/>
      <c r="AU233" s="49"/>
      <c r="AV233" s="49"/>
    </row>
    <row r="234" spans="3:48">
      <c r="C234" s="49"/>
      <c r="D234" s="49"/>
      <c r="E234" s="49"/>
      <c r="F234" s="168"/>
      <c r="G234" s="49"/>
      <c r="H234" s="49"/>
      <c r="I234" s="49"/>
      <c r="J234" s="49"/>
      <c r="K234" s="49"/>
      <c r="L234" s="49"/>
      <c r="M234" s="49"/>
      <c r="N234" s="49"/>
      <c r="O234" s="49"/>
      <c r="P234" s="49"/>
      <c r="Q234" s="49"/>
      <c r="R234" s="171"/>
      <c r="S234" s="171"/>
      <c r="T234" s="171"/>
      <c r="U234" s="171"/>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71"/>
      <c r="AU234" s="49"/>
      <c r="AV234" s="49"/>
    </row>
    <row r="235" spans="3:48">
      <c r="C235" s="49"/>
      <c r="D235" s="49"/>
      <c r="E235" s="49"/>
      <c r="F235" s="168"/>
      <c r="G235" s="49"/>
      <c r="H235" s="49"/>
      <c r="I235" s="49"/>
      <c r="J235" s="49"/>
      <c r="K235" s="49"/>
      <c r="L235" s="49"/>
      <c r="M235" s="49"/>
      <c r="N235" s="49"/>
      <c r="O235" s="49"/>
      <c r="P235" s="49"/>
      <c r="Q235" s="49"/>
      <c r="R235" s="171"/>
      <c r="S235" s="171"/>
      <c r="T235" s="171"/>
      <c r="U235" s="171"/>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71"/>
      <c r="AU235" s="49"/>
      <c r="AV235" s="49"/>
    </row>
    <row r="236" spans="3:48">
      <c r="C236" s="49"/>
      <c r="D236" s="49"/>
      <c r="E236" s="49"/>
      <c r="F236" s="168"/>
      <c r="G236" s="49"/>
      <c r="H236" s="49"/>
      <c r="I236" s="49"/>
      <c r="J236" s="49"/>
      <c r="K236" s="49"/>
      <c r="L236" s="49"/>
      <c r="M236" s="49"/>
      <c r="N236" s="49"/>
      <c r="O236" s="49"/>
      <c r="P236" s="49"/>
      <c r="Q236" s="49"/>
      <c r="R236" s="171"/>
      <c r="S236" s="171"/>
      <c r="T236" s="171"/>
      <c r="U236" s="171"/>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71"/>
      <c r="AU236" s="49"/>
      <c r="AV236" s="49"/>
    </row>
    <row r="237" spans="3:48">
      <c r="C237" s="49"/>
      <c r="D237" s="49"/>
      <c r="E237" s="49"/>
      <c r="F237" s="168"/>
      <c r="G237" s="49"/>
      <c r="H237" s="49"/>
      <c r="I237" s="49"/>
      <c r="J237" s="49"/>
      <c r="K237" s="49"/>
      <c r="L237" s="49"/>
      <c r="M237" s="49"/>
      <c r="N237" s="49"/>
      <c r="O237" s="49"/>
      <c r="P237" s="49"/>
      <c r="Q237" s="49"/>
      <c r="R237" s="171"/>
      <c r="S237" s="171"/>
      <c r="T237" s="171"/>
      <c r="U237" s="171"/>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71"/>
      <c r="AU237" s="49"/>
      <c r="AV237" s="49"/>
    </row>
    <row r="238" spans="3:48">
      <c r="C238" s="49"/>
      <c r="D238" s="49"/>
      <c r="E238" s="49"/>
      <c r="F238" s="168"/>
      <c r="G238" s="49"/>
      <c r="H238" s="49"/>
      <c r="I238" s="49"/>
      <c r="J238" s="49"/>
      <c r="K238" s="49"/>
      <c r="L238" s="49"/>
      <c r="M238" s="49"/>
      <c r="N238" s="49"/>
      <c r="O238" s="49"/>
      <c r="P238" s="49"/>
      <c r="Q238" s="49"/>
      <c r="R238" s="171"/>
      <c r="S238" s="171"/>
      <c r="T238" s="171"/>
      <c r="U238" s="171"/>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71"/>
      <c r="AU238" s="49"/>
      <c r="AV238" s="49"/>
    </row>
    <row r="239" spans="3:48">
      <c r="C239" s="49"/>
      <c r="D239" s="49"/>
      <c r="E239" s="49"/>
      <c r="F239" s="168"/>
      <c r="G239" s="49"/>
      <c r="H239" s="49"/>
      <c r="I239" s="49"/>
      <c r="J239" s="49"/>
      <c r="K239" s="49"/>
      <c r="L239" s="49"/>
      <c r="M239" s="49"/>
      <c r="N239" s="49"/>
      <c r="O239" s="49"/>
      <c r="P239" s="49"/>
      <c r="Q239" s="49"/>
      <c r="R239" s="171"/>
      <c r="S239" s="171"/>
      <c r="T239" s="171"/>
      <c r="U239" s="171"/>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71"/>
      <c r="AU239" s="49"/>
      <c r="AV239" s="49"/>
    </row>
    <row r="240" spans="3:48">
      <c r="C240" s="49"/>
      <c r="D240" s="49"/>
      <c r="E240" s="49"/>
      <c r="F240" s="168"/>
      <c r="G240" s="49"/>
      <c r="H240" s="49"/>
      <c r="I240" s="49"/>
      <c r="J240" s="49"/>
      <c r="K240" s="49"/>
      <c r="L240" s="49"/>
      <c r="M240" s="49"/>
      <c r="N240" s="49"/>
      <c r="O240" s="49"/>
      <c r="P240" s="49"/>
      <c r="Q240" s="49"/>
      <c r="R240" s="171"/>
      <c r="S240" s="171"/>
      <c r="T240" s="171"/>
      <c r="U240" s="171"/>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71"/>
      <c r="AU240" s="49"/>
      <c r="AV240" s="49"/>
    </row>
    <row r="241" spans="3:48">
      <c r="C241" s="49"/>
      <c r="D241" s="49"/>
      <c r="E241" s="49"/>
      <c r="F241" s="168"/>
      <c r="G241" s="49"/>
      <c r="H241" s="49"/>
      <c r="I241" s="49"/>
      <c r="J241" s="49"/>
      <c r="K241" s="49"/>
      <c r="L241" s="49"/>
      <c r="M241" s="49"/>
      <c r="N241" s="49"/>
      <c r="O241" s="49"/>
      <c r="P241" s="49"/>
      <c r="Q241" s="49"/>
      <c r="R241" s="171"/>
      <c r="S241" s="171"/>
      <c r="T241" s="171"/>
      <c r="U241" s="171"/>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71"/>
      <c r="AU241" s="49"/>
      <c r="AV241" s="49"/>
    </row>
    <row r="242" spans="3:48">
      <c r="C242" s="49"/>
      <c r="D242" s="49"/>
      <c r="E242" s="49"/>
      <c r="F242" s="168"/>
      <c r="G242" s="49"/>
      <c r="H242" s="49"/>
      <c r="I242" s="49"/>
      <c r="J242" s="49"/>
      <c r="K242" s="49"/>
      <c r="L242" s="49"/>
      <c r="M242" s="49"/>
      <c r="N242" s="49"/>
      <c r="O242" s="49"/>
      <c r="P242" s="49"/>
      <c r="Q242" s="49"/>
      <c r="R242" s="171"/>
      <c r="S242" s="171"/>
      <c r="T242" s="171"/>
      <c r="U242" s="171"/>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71"/>
      <c r="AU242" s="49"/>
      <c r="AV242" s="49"/>
    </row>
    <row r="243" spans="3:48">
      <c r="C243" s="49"/>
      <c r="D243" s="65"/>
      <c r="E243" s="49"/>
      <c r="F243" s="168"/>
      <c r="G243" s="166"/>
      <c r="H243" s="166"/>
      <c r="I243" s="166"/>
      <c r="J243" s="49"/>
      <c r="K243" s="49"/>
      <c r="L243" s="49"/>
      <c r="M243" s="49"/>
      <c r="N243" s="49"/>
      <c r="O243" s="49"/>
      <c r="P243" s="49"/>
      <c r="Q243" s="49"/>
      <c r="R243" s="171"/>
      <c r="S243" s="171"/>
      <c r="T243" s="171"/>
      <c r="U243" s="171"/>
      <c r="V243" s="49"/>
      <c r="W243" s="49"/>
      <c r="X243" s="49"/>
      <c r="Y243" s="49"/>
      <c r="Z243" s="49"/>
      <c r="AA243" s="49"/>
      <c r="AB243" s="49"/>
      <c r="AC243" s="49"/>
      <c r="AD243" s="49"/>
      <c r="AE243" s="49"/>
      <c r="AF243" s="49"/>
      <c r="AG243" s="49"/>
      <c r="AH243" s="49"/>
      <c r="AI243" s="49"/>
      <c r="AJ243" s="49"/>
      <c r="AK243" s="49"/>
      <c r="AL243" s="172"/>
      <c r="AM243" s="49"/>
      <c r="AN243" s="49"/>
      <c r="AO243" s="49"/>
      <c r="AP243" s="49"/>
      <c r="AQ243" s="49"/>
      <c r="AR243" s="49"/>
      <c r="AS243" s="49"/>
      <c r="AT243" s="71"/>
      <c r="AU243" s="49"/>
      <c r="AV243" s="49"/>
    </row>
    <row r="244" spans="3:48">
      <c r="C244" s="49"/>
      <c r="D244" s="65"/>
      <c r="E244" s="49"/>
      <c r="F244" s="168"/>
      <c r="G244" s="166"/>
      <c r="H244" s="166"/>
      <c r="I244" s="166"/>
      <c r="J244" s="49"/>
      <c r="K244" s="49"/>
      <c r="L244" s="49"/>
      <c r="M244" s="49"/>
      <c r="N244" s="49"/>
      <c r="O244" s="49"/>
      <c r="P244" s="49"/>
      <c r="Q244" s="49"/>
      <c r="R244" s="171"/>
      <c r="S244" s="171"/>
      <c r="T244" s="171"/>
      <c r="U244" s="171"/>
      <c r="V244" s="49"/>
      <c r="W244" s="49"/>
      <c r="X244" s="49"/>
      <c r="Y244" s="49"/>
      <c r="Z244" s="49"/>
      <c r="AA244" s="49"/>
      <c r="AB244" s="49"/>
      <c r="AC244" s="49"/>
      <c r="AD244" s="49"/>
      <c r="AE244" s="49"/>
      <c r="AF244" s="49"/>
      <c r="AG244" s="49"/>
      <c r="AH244" s="49"/>
      <c r="AI244" s="49"/>
      <c r="AJ244" s="49"/>
      <c r="AK244" s="49"/>
      <c r="AL244" s="172"/>
      <c r="AM244" s="49"/>
      <c r="AN244" s="49"/>
      <c r="AO244" s="49"/>
      <c r="AP244" s="49"/>
      <c r="AQ244" s="49"/>
      <c r="AR244" s="49"/>
      <c r="AS244" s="49"/>
      <c r="AT244" s="71"/>
      <c r="AU244" s="49"/>
      <c r="AV244" s="49"/>
    </row>
    <row r="245" spans="3:48">
      <c r="C245" s="49"/>
      <c r="D245" s="65"/>
      <c r="E245" s="49"/>
      <c r="F245" s="168"/>
      <c r="G245" s="166"/>
      <c r="H245" s="166"/>
      <c r="I245" s="166"/>
      <c r="J245" s="49"/>
      <c r="K245" s="49"/>
      <c r="L245" s="49"/>
      <c r="M245" s="49"/>
      <c r="N245" s="49"/>
      <c r="O245" s="49"/>
      <c r="P245" s="49"/>
      <c r="Q245" s="49"/>
      <c r="R245" s="171"/>
      <c r="S245" s="171"/>
      <c r="T245" s="171"/>
      <c r="U245" s="171"/>
      <c r="V245" s="49"/>
      <c r="W245" s="49"/>
      <c r="X245" s="49"/>
      <c r="Y245" s="49"/>
      <c r="Z245" s="49"/>
      <c r="AA245" s="49"/>
      <c r="AB245" s="49"/>
      <c r="AC245" s="49"/>
      <c r="AD245" s="49"/>
      <c r="AE245" s="49"/>
      <c r="AF245" s="49"/>
      <c r="AG245" s="49"/>
      <c r="AH245" s="49"/>
      <c r="AI245" s="49"/>
      <c r="AJ245" s="49"/>
      <c r="AK245" s="49"/>
      <c r="AL245" s="172"/>
      <c r="AM245" s="49"/>
      <c r="AN245" s="49"/>
      <c r="AO245" s="49"/>
      <c r="AP245" s="49"/>
      <c r="AQ245" s="49"/>
      <c r="AR245" s="49"/>
      <c r="AS245" s="49"/>
      <c r="AT245" s="71"/>
      <c r="AU245" s="49"/>
      <c r="AV245" s="49"/>
    </row>
    <row r="246" spans="3:48">
      <c r="C246" s="49"/>
      <c r="D246" s="65"/>
      <c r="E246" s="49"/>
      <c r="F246" s="168"/>
      <c r="G246" s="166"/>
      <c r="H246" s="166"/>
      <c r="I246" s="166"/>
      <c r="J246" s="49"/>
      <c r="K246" s="49"/>
      <c r="L246" s="49"/>
      <c r="M246" s="49"/>
      <c r="N246" s="49"/>
      <c r="O246" s="49"/>
      <c r="P246" s="49"/>
      <c r="Q246" s="49"/>
      <c r="R246" s="171"/>
      <c r="S246" s="171"/>
      <c r="T246" s="171"/>
      <c r="U246" s="171"/>
      <c r="V246" s="49"/>
      <c r="W246" s="49"/>
      <c r="X246" s="49"/>
      <c r="Y246" s="49"/>
      <c r="Z246" s="49"/>
      <c r="AA246" s="49"/>
      <c r="AB246" s="49"/>
      <c r="AC246" s="49"/>
      <c r="AD246" s="49"/>
      <c r="AE246" s="49"/>
      <c r="AF246" s="49"/>
      <c r="AG246" s="49"/>
      <c r="AH246" s="49"/>
      <c r="AI246" s="49"/>
      <c r="AJ246" s="49"/>
      <c r="AK246" s="49"/>
      <c r="AL246" s="172"/>
      <c r="AM246" s="49"/>
      <c r="AN246" s="49"/>
      <c r="AO246" s="49"/>
      <c r="AP246" s="49"/>
      <c r="AQ246" s="49"/>
      <c r="AR246" s="49"/>
      <c r="AS246" s="49"/>
      <c r="AT246" s="71"/>
      <c r="AU246" s="49"/>
      <c r="AV246" s="49"/>
    </row>
    <row r="247" spans="3:48">
      <c r="C247" s="49"/>
      <c r="D247" s="65"/>
      <c r="E247" s="49"/>
      <c r="F247" s="168"/>
      <c r="G247" s="166"/>
      <c r="H247" s="166"/>
      <c r="I247" s="166"/>
      <c r="J247" s="49"/>
      <c r="K247" s="49"/>
      <c r="L247" s="49"/>
      <c r="M247" s="49"/>
      <c r="N247" s="49"/>
      <c r="O247" s="49"/>
      <c r="P247" s="49"/>
      <c r="Q247" s="49"/>
      <c r="R247" s="171"/>
      <c r="S247" s="171"/>
      <c r="T247" s="171"/>
      <c r="U247" s="171"/>
      <c r="V247" s="49"/>
      <c r="W247" s="49"/>
      <c r="X247" s="49"/>
      <c r="Y247" s="49"/>
      <c r="Z247" s="49"/>
      <c r="AA247" s="49"/>
      <c r="AB247" s="49"/>
      <c r="AC247" s="49"/>
      <c r="AD247" s="49"/>
      <c r="AE247" s="49"/>
      <c r="AF247" s="49"/>
      <c r="AG247" s="49"/>
      <c r="AH247" s="49"/>
      <c r="AI247" s="49"/>
      <c r="AJ247" s="49"/>
      <c r="AK247" s="49"/>
      <c r="AL247" s="172"/>
      <c r="AM247" s="49"/>
      <c r="AN247" s="49"/>
      <c r="AO247" s="49"/>
      <c r="AP247" s="49"/>
      <c r="AQ247" s="49"/>
      <c r="AR247" s="49"/>
      <c r="AS247" s="49"/>
      <c r="AT247" s="71"/>
      <c r="AU247" s="49"/>
      <c r="AV247" s="49"/>
    </row>
    <row r="248" spans="3:48">
      <c r="C248" s="49"/>
      <c r="D248" s="65"/>
      <c r="E248" s="49"/>
      <c r="F248" s="168"/>
      <c r="G248" s="166"/>
      <c r="H248" s="166"/>
      <c r="I248" s="166"/>
      <c r="J248" s="49"/>
      <c r="K248" s="49"/>
      <c r="L248" s="49"/>
      <c r="M248" s="49"/>
      <c r="N248" s="49"/>
      <c r="O248" s="49"/>
      <c r="P248" s="49"/>
      <c r="Q248" s="49"/>
      <c r="R248" s="171"/>
      <c r="S248" s="171"/>
      <c r="T248" s="171"/>
      <c r="U248" s="171"/>
      <c r="V248" s="49"/>
      <c r="W248" s="49"/>
      <c r="X248" s="49"/>
      <c r="Y248" s="49"/>
      <c r="Z248" s="49"/>
      <c r="AA248" s="49"/>
      <c r="AB248" s="49"/>
      <c r="AC248" s="49"/>
      <c r="AD248" s="49"/>
      <c r="AE248" s="49"/>
      <c r="AF248" s="49"/>
      <c r="AG248" s="49"/>
      <c r="AH248" s="49"/>
      <c r="AI248" s="49"/>
      <c r="AJ248" s="49"/>
      <c r="AK248" s="49"/>
      <c r="AL248" s="172"/>
      <c r="AM248" s="49"/>
      <c r="AN248" s="49"/>
      <c r="AO248" s="49"/>
      <c r="AP248" s="49"/>
      <c r="AQ248" s="49"/>
      <c r="AR248" s="49"/>
      <c r="AS248" s="49"/>
      <c r="AT248" s="71"/>
      <c r="AU248" s="49"/>
      <c r="AV248" s="49"/>
    </row>
    <row r="249" spans="3:48">
      <c r="C249" s="49"/>
      <c r="D249" s="65"/>
      <c r="E249" s="49"/>
      <c r="F249" s="168"/>
      <c r="G249" s="166"/>
      <c r="H249" s="166"/>
      <c r="I249" s="166"/>
      <c r="J249" s="49"/>
      <c r="K249" s="49"/>
      <c r="L249" s="49"/>
      <c r="M249" s="49"/>
      <c r="N249" s="49"/>
      <c r="O249" s="49"/>
      <c r="P249" s="49"/>
      <c r="Q249" s="49"/>
      <c r="R249" s="171"/>
      <c r="S249" s="171"/>
      <c r="T249" s="171"/>
      <c r="U249" s="171"/>
      <c r="V249" s="49"/>
      <c r="W249" s="49"/>
      <c r="X249" s="49"/>
      <c r="Y249" s="49"/>
      <c r="Z249" s="49"/>
      <c r="AA249" s="49"/>
      <c r="AB249" s="49"/>
      <c r="AC249" s="49"/>
      <c r="AD249" s="49"/>
      <c r="AE249" s="49"/>
      <c r="AF249" s="49"/>
      <c r="AG249" s="49"/>
      <c r="AH249" s="49"/>
      <c r="AI249" s="49"/>
      <c r="AJ249" s="49"/>
      <c r="AK249" s="49"/>
      <c r="AL249" s="172"/>
      <c r="AM249" s="49"/>
      <c r="AN249" s="49"/>
      <c r="AO249" s="49"/>
      <c r="AP249" s="49"/>
      <c r="AQ249" s="49"/>
      <c r="AR249" s="49"/>
      <c r="AS249" s="49"/>
      <c r="AT249" s="71"/>
      <c r="AU249" s="49"/>
      <c r="AV249" s="49"/>
    </row>
    <row r="250" spans="3:48">
      <c r="C250" s="49"/>
      <c r="D250" s="65"/>
      <c r="E250" s="49"/>
      <c r="F250" s="168"/>
      <c r="G250" s="166"/>
      <c r="H250" s="166"/>
      <c r="I250" s="166"/>
      <c r="J250" s="49"/>
      <c r="K250" s="49"/>
      <c r="L250" s="49"/>
      <c r="M250" s="49"/>
      <c r="N250" s="49"/>
      <c r="O250" s="49"/>
      <c r="P250" s="49"/>
      <c r="Q250" s="49"/>
      <c r="R250" s="171"/>
      <c r="S250" s="171"/>
      <c r="T250" s="171"/>
      <c r="U250" s="171"/>
      <c r="V250" s="49"/>
      <c r="W250" s="49"/>
      <c r="X250" s="49"/>
      <c r="Y250" s="49"/>
      <c r="Z250" s="49"/>
      <c r="AA250" s="49"/>
      <c r="AB250" s="49"/>
      <c r="AC250" s="49"/>
      <c r="AD250" s="49"/>
      <c r="AE250" s="49"/>
      <c r="AF250" s="49"/>
      <c r="AG250" s="49"/>
      <c r="AH250" s="49"/>
      <c r="AI250" s="49"/>
      <c r="AJ250" s="49"/>
      <c r="AK250" s="49"/>
      <c r="AL250" s="172"/>
      <c r="AM250" s="49"/>
      <c r="AN250" s="49"/>
      <c r="AO250" s="49"/>
      <c r="AP250" s="49"/>
      <c r="AQ250" s="49"/>
      <c r="AR250" s="49"/>
      <c r="AS250" s="49"/>
      <c r="AT250" s="71"/>
      <c r="AU250" s="49"/>
      <c r="AV250" s="49"/>
    </row>
    <row r="251" spans="3:48">
      <c r="C251" s="49"/>
      <c r="D251" s="65"/>
      <c r="E251" s="49"/>
      <c r="F251" s="168"/>
      <c r="G251" s="166"/>
      <c r="H251" s="166"/>
      <c r="I251" s="166"/>
      <c r="J251" s="49"/>
      <c r="K251" s="49"/>
      <c r="L251" s="49"/>
      <c r="M251" s="49"/>
      <c r="N251" s="49"/>
      <c r="O251" s="49"/>
      <c r="P251" s="49"/>
      <c r="Q251" s="49"/>
      <c r="R251" s="171"/>
      <c r="S251" s="171"/>
      <c r="T251" s="171"/>
      <c r="U251" s="171"/>
      <c r="V251" s="49"/>
      <c r="W251" s="49"/>
      <c r="X251" s="49"/>
      <c r="Y251" s="49"/>
      <c r="Z251" s="49"/>
      <c r="AA251" s="49"/>
      <c r="AB251" s="49"/>
      <c r="AC251" s="49"/>
      <c r="AD251" s="49"/>
      <c r="AE251" s="49"/>
      <c r="AF251" s="49"/>
      <c r="AG251" s="49"/>
      <c r="AH251" s="49"/>
      <c r="AI251" s="49"/>
      <c r="AJ251" s="49"/>
      <c r="AK251" s="49"/>
      <c r="AL251" s="172"/>
      <c r="AM251" s="49"/>
      <c r="AN251" s="49"/>
      <c r="AO251" s="49"/>
      <c r="AP251" s="49"/>
      <c r="AQ251" s="49"/>
      <c r="AR251" s="49"/>
      <c r="AS251" s="49"/>
      <c r="AT251" s="71"/>
      <c r="AU251" s="49"/>
      <c r="AV251" s="49"/>
    </row>
    <row r="252" spans="3:48">
      <c r="F252" s="173"/>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row>
    <row r="253" spans="3:48">
      <c r="F253" s="173"/>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row>
    <row r="254" spans="3:48">
      <c r="F254" s="173"/>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row>
    <row r="255" spans="3:48">
      <c r="F255" s="173"/>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row>
    <row r="256" spans="3:48">
      <c r="F256" s="173"/>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row>
    <row r="257" spans="6:48">
      <c r="F257" s="173"/>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row>
    <row r="258" spans="6:48">
      <c r="F258" s="173"/>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row>
    <row r="259" spans="6:48">
      <c r="F259" s="173"/>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row>
    <row r="260" spans="6:48">
      <c r="F260" s="173"/>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row>
    <row r="261" spans="6:48">
      <c r="F261" s="173"/>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row>
    <row r="262" spans="6:48">
      <c r="F262" s="173"/>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row>
    <row r="263" spans="6:48">
      <c r="F263" s="173"/>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row>
    <row r="264" spans="6:48">
      <c r="F264" s="173"/>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row>
    <row r="265" spans="6:48">
      <c r="F265" s="173"/>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row>
    <row r="266" spans="6:48">
      <c r="F266" s="173"/>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row>
    <row r="267" spans="6:48">
      <c r="F267" s="173"/>
      <c r="J267" s="49"/>
      <c r="K267" s="49"/>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row>
    <row r="268" spans="6:48">
      <c r="F268" s="173"/>
      <c r="J268" s="49"/>
      <c r="K268" s="49"/>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row>
    <row r="269" spans="6:48">
      <c r="F269" s="173"/>
      <c r="J269" s="49"/>
      <c r="K269" s="49"/>
      <c r="L269" s="49"/>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row>
    <row r="270" spans="6:48">
      <c r="F270" s="173"/>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row>
    <row r="271" spans="6:48">
      <c r="F271" s="173"/>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row>
    <row r="272" spans="6:48">
      <c r="F272" s="173"/>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row>
    <row r="273" spans="6:48">
      <c r="F273" s="173"/>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row>
    <row r="274" spans="6:48">
      <c r="F274" s="173"/>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row>
    <row r="275" spans="6:48">
      <c r="F275" s="173"/>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row>
    <row r="276" spans="6:48">
      <c r="F276" s="173"/>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row>
    <row r="277" spans="6:48">
      <c r="F277" s="173"/>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row>
    <row r="278" spans="6:48">
      <c r="F278" s="173"/>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row>
    <row r="279" spans="6:48">
      <c r="F279" s="173"/>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row>
    <row r="280" spans="6:48">
      <c r="F280" s="173"/>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row>
    <row r="281" spans="6:48">
      <c r="F281" s="173"/>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row>
    <row r="282" spans="6:48">
      <c r="F282" s="173"/>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row>
    <row r="283" spans="6:48">
      <c r="F283" s="173"/>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row>
    <row r="284" spans="6:48">
      <c r="F284" s="173"/>
      <c r="J284" s="49"/>
      <c r="K284" s="49"/>
      <c r="L284" s="49"/>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row>
    <row r="285" spans="6:48">
      <c r="F285" s="173"/>
      <c r="J285" s="49"/>
      <c r="K285" s="49"/>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row>
    <row r="286" spans="6:48">
      <c r="F286" s="173"/>
      <c r="J286" s="49"/>
      <c r="K286" s="49"/>
      <c r="L286" s="49"/>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row>
    <row r="287" spans="6:48">
      <c r="F287" s="173"/>
      <c r="J287" s="49"/>
      <c r="K287" s="49"/>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row>
    <row r="288" spans="6:48">
      <c r="F288" s="173"/>
      <c r="J288" s="49"/>
      <c r="K288" s="49"/>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row>
    <row r="289" spans="6:48">
      <c r="F289" s="173"/>
      <c r="J289" s="49"/>
      <c r="K289" s="49"/>
      <c r="L289" s="49"/>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row>
    <row r="290" spans="6:48">
      <c r="F290" s="173"/>
      <c r="J290" s="49"/>
      <c r="K290" s="49"/>
      <c r="L290" s="49"/>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row>
    <row r="291" spans="6:48">
      <c r="F291" s="173"/>
      <c r="J291" s="49"/>
      <c r="K291" s="49"/>
      <c r="L291" s="49"/>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row>
    <row r="292" spans="6:48">
      <c r="F292" s="173"/>
      <c r="J292" s="49"/>
      <c r="K292" s="49"/>
      <c r="L292" s="49"/>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row>
    <row r="293" spans="6:48">
      <c r="F293" s="173"/>
      <c r="J293" s="49"/>
      <c r="K293" s="49"/>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row>
    <row r="294" spans="6:48">
      <c r="F294" s="173"/>
      <c r="J294" s="49"/>
      <c r="K294" s="49"/>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row>
    <row r="295" spans="6:48">
      <c r="F295" s="173"/>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row>
    <row r="296" spans="6:48">
      <c r="F296" s="173"/>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row>
    <row r="297" spans="6:48">
      <c r="F297" s="173"/>
      <c r="J297" s="49"/>
      <c r="K297" s="49"/>
      <c r="L297" s="49"/>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row>
    <row r="298" spans="6:48">
      <c r="F298" s="173"/>
      <c r="J298" s="49"/>
      <c r="K298" s="49"/>
      <c r="L298" s="49"/>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row>
    <row r="299" spans="6:48">
      <c r="F299" s="173"/>
      <c r="J299" s="49"/>
      <c r="K299" s="49"/>
      <c r="L299" s="49"/>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49"/>
      <c r="AU299" s="49"/>
      <c r="AV299" s="49"/>
    </row>
    <row r="300" spans="6:48">
      <c r="F300" s="173"/>
      <c r="J300" s="49"/>
      <c r="K300" s="49"/>
      <c r="L300" s="49"/>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49"/>
      <c r="AU300" s="49"/>
      <c r="AV300" s="49"/>
    </row>
    <row r="301" spans="6:48">
      <c r="F301" s="173"/>
      <c r="J301" s="49"/>
      <c r="K301" s="49"/>
      <c r="L301" s="49"/>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row>
    <row r="302" spans="6:48">
      <c r="F302" s="173"/>
      <c r="J302" s="49"/>
      <c r="K302" s="49"/>
      <c r="L302" s="49"/>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row>
    <row r="303" spans="6:48">
      <c r="F303" s="173"/>
      <c r="J303" s="49"/>
      <c r="K303" s="49"/>
      <c r="L303" s="49"/>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row>
    <row r="304" spans="6:48">
      <c r="F304" s="173"/>
      <c r="J304" s="49"/>
      <c r="K304" s="49"/>
      <c r="L304" s="49"/>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49"/>
      <c r="AU304" s="49"/>
      <c r="AV304" s="49"/>
    </row>
    <row r="305" spans="6:48">
      <c r="F305" s="173"/>
      <c r="J305" s="49"/>
      <c r="K305" s="49"/>
      <c r="L305" s="49"/>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row>
    <row r="306" spans="6:48">
      <c r="F306" s="173"/>
      <c r="J306" s="49"/>
      <c r="K306" s="49"/>
      <c r="L306" s="49"/>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49"/>
      <c r="AU306" s="49"/>
      <c r="AV306" s="49"/>
    </row>
    <row r="307" spans="6:48">
      <c r="F307" s="173"/>
      <c r="J307" s="49"/>
      <c r="K307" s="49"/>
      <c r="L307" s="49"/>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49"/>
      <c r="AU307" s="49"/>
      <c r="AV307" s="49"/>
    </row>
    <row r="308" spans="6:48">
      <c r="F308" s="173"/>
      <c r="J308" s="49"/>
      <c r="K308" s="49"/>
      <c r="L308" s="49"/>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49"/>
      <c r="AU308" s="49"/>
      <c r="AV308" s="49"/>
    </row>
    <row r="309" spans="6:48">
      <c r="F309" s="173"/>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row>
    <row r="310" spans="6:48">
      <c r="F310" s="173"/>
      <c r="J310" s="49"/>
      <c r="K310" s="49"/>
      <c r="L310" s="49"/>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49"/>
      <c r="AU310" s="49"/>
      <c r="AV310" s="49"/>
    </row>
    <row r="311" spans="6:48">
      <c r="F311" s="173"/>
      <c r="J311" s="49"/>
      <c r="K311" s="49"/>
      <c r="L311" s="49"/>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row>
    <row r="312" spans="6:48">
      <c r="F312" s="173"/>
      <c r="J312" s="49"/>
      <c r="K312" s="49"/>
      <c r="L312" s="49"/>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row>
    <row r="313" spans="6:48">
      <c r="F313" s="173"/>
      <c r="J313" s="49"/>
      <c r="K313" s="49"/>
      <c r="L313" s="49"/>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row>
    <row r="314" spans="6:48">
      <c r="F314" s="173"/>
      <c r="J314" s="49"/>
      <c r="K314" s="49"/>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row>
    <row r="315" spans="6:48">
      <c r="F315" s="173"/>
      <c r="J315" s="49"/>
      <c r="K315" s="49"/>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row>
    <row r="316" spans="6:48">
      <c r="F316" s="173"/>
      <c r="J316" s="49"/>
      <c r="K316" s="49"/>
      <c r="L316" s="49"/>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49"/>
      <c r="AU316" s="49"/>
      <c r="AV316" s="49"/>
    </row>
    <row r="317" spans="6:48">
      <c r="F317" s="173"/>
      <c r="J317" s="49"/>
      <c r="K317" s="49"/>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row>
    <row r="318" spans="6:48">
      <c r="F318" s="173"/>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row>
    <row r="319" spans="6:48">
      <c r="F319" s="173"/>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row>
    <row r="320" spans="6:48">
      <c r="F320" s="173"/>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row>
    <row r="321" spans="6:48">
      <c r="F321" s="173"/>
      <c r="J321" s="49"/>
      <c r="K321" s="49"/>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row>
    <row r="322" spans="6:48">
      <c r="F322" s="173"/>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row>
    <row r="323" spans="6:48">
      <c r="F323" s="173"/>
      <c r="J323" s="49"/>
      <c r="K323" s="49"/>
      <c r="L323" s="49"/>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row>
    <row r="324" spans="6:48">
      <c r="F324" s="173"/>
      <c r="J324" s="49"/>
      <c r="K324" s="49"/>
      <c r="L324" s="49"/>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49"/>
      <c r="AU324" s="49"/>
      <c r="AV324" s="49"/>
    </row>
    <row r="325" spans="6:48">
      <c r="F325" s="173"/>
      <c r="J325" s="49"/>
      <c r="K325" s="49"/>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row>
    <row r="326" spans="6:48">
      <c r="F326" s="173"/>
      <c r="J326" s="49"/>
      <c r="K326" s="49"/>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c r="AU326" s="49"/>
      <c r="AV326" s="49"/>
    </row>
    <row r="327" spans="6:48">
      <c r="F327" s="173"/>
      <c r="J327" s="49"/>
      <c r="K327" s="49"/>
      <c r="L327" s="49"/>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row>
    <row r="328" spans="6:48">
      <c r="F328" s="173"/>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row>
    <row r="329" spans="6:48">
      <c r="F329" s="173"/>
      <c r="J329" s="49"/>
      <c r="K329" s="49"/>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row>
    <row r="330" spans="6:48">
      <c r="F330" s="173"/>
      <c r="J330" s="49"/>
      <c r="K330" s="49"/>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row>
    <row r="331" spans="6:48">
      <c r="F331" s="173"/>
      <c r="J331" s="49"/>
      <c r="K331" s="49"/>
      <c r="L331" s="49"/>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49"/>
      <c r="AU331" s="49"/>
      <c r="AV331" s="49"/>
    </row>
  </sheetData>
  <mergeCells count="7">
    <mergeCell ref="C2:AV2"/>
    <mergeCell ref="D4:D5"/>
    <mergeCell ref="D7:D17"/>
    <mergeCell ref="D19:D24"/>
    <mergeCell ref="D26:D31"/>
    <mergeCell ref="D33:D41"/>
    <mergeCell ref="D43:D50"/>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61"/>
  <sheetViews>
    <sheetView workbookViewId="0">
      <pane xSplit="31" ySplit="20" topLeftCell="AF21" activePane="bottomRight" state="frozen"/>
      <selection/>
      <selection pane="topRight"/>
      <selection pane="bottomLeft"/>
      <selection pane="bottomRight" activeCell="A1" sqref="A1"/>
    </sheetView>
  </sheetViews>
  <sheetFormatPr defaultColWidth="9" defaultRowHeight="16.8"/>
  <cols>
    <col min="1" max="1" width="9.10576923076923" customWidth="1"/>
    <col min="3" max="3" width="7.44230769230769" customWidth="1"/>
    <col min="4" max="4" width="18" customWidth="1"/>
    <col min="5" max="5" width="10.3365384615385" customWidth="1"/>
    <col min="6" max="6" width="9.10576923076923" customWidth="1"/>
    <col min="7" max="7" width="6" customWidth="1"/>
    <col min="8" max="8" width="7.10576923076923" customWidth="1"/>
    <col min="10" max="10" width="9.33653846153846" customWidth="1"/>
    <col min="11" max="11" width="10.4423076923077" customWidth="1"/>
    <col min="12" max="12" width="7.44230769230769" customWidth="1"/>
    <col min="13" max="13" width="9.10576923076923" customWidth="1"/>
    <col min="14" max="14" width="9.88461538461538" customWidth="1"/>
    <col min="15" max="15" width="8" customWidth="1"/>
    <col min="16" max="16" width="8.33653846153846" customWidth="1"/>
    <col min="17" max="17" width="8.44230769230769" customWidth="1"/>
    <col min="18" max="18" width="7.66346153846154" customWidth="1"/>
    <col min="19" max="19" width="8" customWidth="1"/>
    <col min="20" max="20" width="7.44230769230769" customWidth="1"/>
    <col min="21" max="21" width="8.44230769230769" customWidth="1"/>
    <col min="22" max="22" width="9.88461538461538" customWidth="1"/>
    <col min="23" max="23" width="8.44230769230769" customWidth="1"/>
    <col min="25" max="25" width="9" customWidth="1"/>
    <col min="26" max="26" width="9.44230769230769" customWidth="1"/>
    <col min="27" max="27" width="5.33653846153846" customWidth="1"/>
    <col min="28" max="28" width="9" customWidth="1"/>
    <col min="29" max="29" width="3.44230769230769" customWidth="1"/>
    <col min="30" max="30" width="9.10576923076923" customWidth="1"/>
    <col min="32" max="32" width="8.66346153846154" customWidth="1"/>
    <col min="33" max="33" width="11.8846153846154" customWidth="1"/>
    <col min="34" max="34" width="9.88461538461538" customWidth="1"/>
    <col min="35" max="35" width="11.4423076923077" customWidth="1"/>
    <col min="36" max="36" width="8.88461538461539" customWidth="1"/>
    <col min="37" max="37" width="10.4423076923077" customWidth="1"/>
    <col min="38" max="38" width="8.10576923076923" customWidth="1"/>
    <col min="39" max="39" width="9.88461538461538" customWidth="1"/>
    <col min="40" max="40" width="8.10576923076923" customWidth="1"/>
    <col min="41" max="41" width="12.1057692307692" customWidth="1"/>
    <col min="42" max="42" width="9.88461538461538" customWidth="1"/>
    <col min="43" max="43" width="10.1057692307692" customWidth="1"/>
    <col min="44" max="44" width="9.88461538461538" customWidth="1"/>
    <col min="45" max="45" width="10" customWidth="1"/>
    <col min="46" max="46" width="10.4423076923077" customWidth="1"/>
    <col min="47" max="48" width="9.88461538461538" customWidth="1"/>
    <col min="52" max="52" width="11.4423076923077" customWidth="1"/>
    <col min="53" max="53" width="12.4423076923077" customWidth="1"/>
    <col min="54" max="55" width="9.88461538461538" customWidth="1"/>
    <col min="62" max="62" width="9.10576923076923" customWidth="1"/>
  </cols>
  <sheetData>
    <row r="1" ht="31.65" customHeight="1"/>
    <row r="2" ht="48.9" customHeight="1" spans="1:61">
      <c r="A2" s="1" t="s">
        <v>3057</v>
      </c>
      <c r="B2" s="1" t="s">
        <v>3113</v>
      </c>
      <c r="C2" s="2" t="s">
        <v>3114</v>
      </c>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ht="29.25" customHeight="1" spans="1:61">
      <c r="C3" s="4" t="s">
        <v>303</v>
      </c>
      <c r="D3" s="5" t="s">
        <v>621</v>
      </c>
      <c r="E3" s="5" t="s">
        <v>3059</v>
      </c>
      <c r="F3" s="5" t="s">
        <v>143</v>
      </c>
      <c r="G3" s="6" t="s">
        <v>725</v>
      </c>
      <c r="H3" s="6" t="s">
        <v>3060</v>
      </c>
      <c r="I3" s="7" t="s">
        <v>3061</v>
      </c>
      <c r="J3" s="8" t="s">
        <v>3062</v>
      </c>
      <c r="K3" s="8" t="s">
        <v>3063</v>
      </c>
      <c r="L3" s="8" t="s">
        <v>3064</v>
      </c>
      <c r="M3" s="8" t="s">
        <v>3065</v>
      </c>
      <c r="N3" s="8" t="s">
        <v>3066</v>
      </c>
      <c r="O3" s="8" t="s">
        <v>3067</v>
      </c>
      <c r="P3" s="8" t="s">
        <v>32</v>
      </c>
      <c r="Q3" s="8" t="s">
        <v>3068</v>
      </c>
      <c r="R3" s="9" t="s">
        <v>607</v>
      </c>
      <c r="S3" s="9" t="s">
        <v>3069</v>
      </c>
      <c r="T3" s="9" t="s">
        <v>205</v>
      </c>
      <c r="U3" s="9" t="s">
        <v>3070</v>
      </c>
      <c r="V3" s="7" t="s">
        <v>633</v>
      </c>
      <c r="W3" s="10" t="s">
        <v>3071</v>
      </c>
      <c r="X3" s="11" t="s">
        <v>3072</v>
      </c>
      <c r="Y3" s="12" t="s">
        <v>3073</v>
      </c>
      <c r="Z3" s="13" t="s">
        <v>3115</v>
      </c>
      <c r="AA3" s="11" t="s">
        <v>3116</v>
      </c>
      <c r="AB3" s="11" t="s">
        <v>3117</v>
      </c>
      <c r="AC3" s="14" t="s">
        <v>3077</v>
      </c>
      <c r="AD3" s="11" t="s">
        <v>3118</v>
      </c>
      <c r="AE3" s="14" t="s">
        <v>155</v>
      </c>
      <c r="AF3" s="7" t="s">
        <v>3079</v>
      </c>
      <c r="AG3" s="15" t="s">
        <v>3080</v>
      </c>
      <c r="AH3" s="16" t="s">
        <v>453</v>
      </c>
      <c r="AI3" s="17" t="s">
        <v>3083</v>
      </c>
      <c r="AJ3" s="18" t="s">
        <v>374</v>
      </c>
      <c r="AK3" s="19" t="s">
        <v>3119</v>
      </c>
      <c r="AL3" s="6" t="s">
        <v>3084</v>
      </c>
      <c r="AM3" s="7" t="s">
        <v>3085</v>
      </c>
      <c r="AN3" s="20" t="s">
        <v>3086</v>
      </c>
      <c r="AO3" s="6" t="s">
        <v>3087</v>
      </c>
      <c r="AP3" s="6" t="s">
        <v>3088</v>
      </c>
      <c r="AQ3" s="21" t="s">
        <v>3089</v>
      </c>
      <c r="AR3" s="22" t="s">
        <v>3090</v>
      </c>
      <c r="AS3" s="23" t="s">
        <v>453</v>
      </c>
      <c r="AT3" s="24" t="s">
        <v>3091</v>
      </c>
      <c r="AU3" s="25" t="s">
        <v>3092</v>
      </c>
      <c r="AY3" s="26" t="s">
        <v>908</v>
      </c>
      <c r="AZ3" s="27" t="s">
        <v>3120</v>
      </c>
    </row>
    <row r="4" ht="16.05" customHeight="1" spans="1:61">
      <c r="A4" s="28" t="s">
        <v>767</v>
      </c>
      <c r="B4" s="29" t="s">
        <v>3121</v>
      </c>
      <c r="C4" s="30"/>
      <c r="D4" s="31" t="s">
        <v>3122</v>
      </c>
      <c r="E4" s="32" t="s">
        <v>11</v>
      </c>
      <c r="F4" s="33" t="s">
        <v>2799</v>
      </c>
      <c r="G4" s="34"/>
      <c r="H4" s="35"/>
      <c r="I4" s="36"/>
      <c r="J4" s="37"/>
      <c r="K4" s="38"/>
      <c r="L4" s="38"/>
      <c r="M4" s="38"/>
      <c r="N4" s="38"/>
      <c r="O4" s="38"/>
      <c r="P4" s="38"/>
      <c r="Q4" s="38"/>
      <c r="R4" s="39"/>
      <c r="S4" s="39"/>
      <c r="T4" s="39"/>
      <c r="U4" s="39"/>
      <c r="V4" s="40"/>
      <c r="W4" s="41"/>
      <c r="X4" s="38"/>
      <c r="Y4" s="38"/>
      <c r="Z4" s="38"/>
      <c r="AA4" s="38"/>
      <c r="AB4" s="38"/>
      <c r="AC4" s="38"/>
      <c r="AD4" s="42"/>
      <c r="AE4" s="42"/>
      <c r="AF4" s="43"/>
      <c r="AG4" s="43"/>
      <c r="AH4" s="44">
        <f>AG4</f>
        <v>0</v>
      </c>
      <c r="AI4" s="45"/>
      <c r="AJ4" s="41"/>
      <c r="AK4" s="38"/>
      <c r="AL4" s="38"/>
      <c r="AM4" s="40">
        <f>AH4+AI4-AK4-AL4</f>
        <v>0</v>
      </c>
      <c r="AN4" s="44"/>
      <c r="AO4" s="41"/>
      <c r="AP4" s="38"/>
      <c r="AQ4" s="44"/>
      <c r="AR4" s="44"/>
      <c r="AS4" s="46">
        <f>AH4-AN4-AQ4-AR4</f>
        <v>0</v>
      </c>
      <c r="AT4" s="47"/>
      <c r="AU4" s="48"/>
      <c r="AV4" s="49">
        <f>I4*AT4-AU4</f>
        <v>0</v>
      </c>
      <c r="AW4" s="49">
        <f>SUM(J4:U4)+SUM(W4:AC4)-AG4</f>
        <v>0</v>
      </c>
      <c r="AX4" s="49">
        <f>AS4-AH4</f>
        <v>0</v>
      </c>
      <c r="AY4" s="49"/>
      <c r="AZ4" s="50">
        <f>AL4+AM4</f>
        <v>0</v>
      </c>
      <c r="BA4" s="51"/>
      <c r="BB4" s="52"/>
      <c r="BC4" s="53"/>
      <c r="BD4" s="53"/>
      <c r="BE4" s="53"/>
      <c r="BF4" s="53"/>
      <c r="BG4" s="53"/>
      <c r="BH4" s="53"/>
      <c r="BI4" s="53"/>
    </row>
    <row r="5" ht="16.05" customHeight="1" spans="1:61">
      <c r="A5" s="28"/>
      <c r="C5" s="54"/>
      <c r="D5" s="55"/>
      <c r="E5" s="56" t="s">
        <v>193</v>
      </c>
      <c r="F5" s="57"/>
      <c r="G5" s="58"/>
      <c r="H5" s="58">
        <f t="shared" ref="H5:AU5" si="0">SUM(H4:H4)</f>
        <v>0</v>
      </c>
      <c r="I5" s="58">
        <f t="shared" si="0"/>
        <v>0</v>
      </c>
      <c r="J5" s="58">
        <f t="shared" si="0"/>
        <v>0</v>
      </c>
      <c r="K5" s="58">
        <f t="shared" si="0"/>
        <v>0</v>
      </c>
      <c r="L5" s="58">
        <f t="shared" si="0"/>
        <v>0</v>
      </c>
      <c r="M5" s="58">
        <f t="shared" si="0"/>
        <v>0</v>
      </c>
      <c r="N5" s="58">
        <f t="shared" si="0"/>
        <v>0</v>
      </c>
      <c r="O5" s="58">
        <f t="shared" si="0"/>
        <v>0</v>
      </c>
      <c r="P5" s="58">
        <f t="shared" si="0"/>
        <v>0</v>
      </c>
      <c r="Q5" s="58">
        <f t="shared" si="0"/>
        <v>0</v>
      </c>
      <c r="R5" s="58">
        <f t="shared" si="0"/>
        <v>0</v>
      </c>
      <c r="S5" s="58">
        <f t="shared" si="0"/>
        <v>0</v>
      </c>
      <c r="T5" s="58">
        <f t="shared" si="0"/>
        <v>0</v>
      </c>
      <c r="U5" s="58">
        <f t="shared" si="0"/>
        <v>0</v>
      </c>
      <c r="V5" s="58">
        <f t="shared" si="0"/>
        <v>0</v>
      </c>
      <c r="W5" s="58">
        <f t="shared" si="0"/>
        <v>0</v>
      </c>
      <c r="X5" s="58">
        <f t="shared" si="0"/>
        <v>0</v>
      </c>
      <c r="Y5" s="58">
        <f t="shared" si="0"/>
        <v>0</v>
      </c>
      <c r="Z5" s="58">
        <f t="shared" si="0"/>
        <v>0</v>
      </c>
      <c r="AA5" s="58">
        <f t="shared" si="0"/>
        <v>0</v>
      </c>
      <c r="AB5" s="58">
        <f t="shared" si="0"/>
        <v>0</v>
      </c>
      <c r="AC5" s="58">
        <f t="shared" si="0"/>
        <v>0</v>
      </c>
      <c r="AD5" s="58">
        <f t="shared" si="0"/>
        <v>0</v>
      </c>
      <c r="AE5" s="58">
        <f t="shared" si="0"/>
        <v>0</v>
      </c>
      <c r="AF5" s="58">
        <f t="shared" si="0"/>
        <v>0</v>
      </c>
      <c r="AG5" s="58">
        <f t="shared" si="0"/>
        <v>0</v>
      </c>
      <c r="AH5" s="58">
        <f t="shared" si="0"/>
        <v>0</v>
      </c>
      <c r="AI5" s="58">
        <f t="shared" si="0"/>
        <v>0</v>
      </c>
      <c r="AJ5" s="58">
        <f t="shared" si="0"/>
        <v>0</v>
      </c>
      <c r="AK5" s="58">
        <f t="shared" si="0"/>
        <v>0</v>
      </c>
      <c r="AL5" s="58">
        <f t="shared" si="0"/>
        <v>0</v>
      </c>
      <c r="AM5" s="58">
        <f t="shared" si="0"/>
        <v>0</v>
      </c>
      <c r="AN5" s="58">
        <f t="shared" si="0"/>
        <v>0</v>
      </c>
      <c r="AO5" s="58">
        <f t="shared" si="0"/>
        <v>0</v>
      </c>
      <c r="AP5" s="58">
        <f t="shared" si="0"/>
        <v>0</v>
      </c>
      <c r="AQ5" s="58">
        <f t="shared" si="0"/>
        <v>0</v>
      </c>
      <c r="AR5" s="58">
        <f t="shared" si="0"/>
        <v>0</v>
      </c>
      <c r="AS5" s="58">
        <f t="shared" si="0"/>
        <v>0</v>
      </c>
      <c r="AT5" s="58">
        <f t="shared" si="0"/>
        <v>0</v>
      </c>
      <c r="AU5" s="58">
        <f t="shared" si="0"/>
        <v>0</v>
      </c>
      <c r="AV5" s="49"/>
      <c r="AW5" s="49"/>
      <c r="AX5" s="49"/>
      <c r="AY5" s="49"/>
      <c r="AZ5" s="50"/>
      <c r="BA5" s="51"/>
      <c r="BB5" s="52"/>
      <c r="BC5" s="53"/>
      <c r="BD5" s="53"/>
      <c r="BE5" s="53"/>
      <c r="BF5" s="53"/>
      <c r="BG5" s="53"/>
      <c r="BH5" s="53"/>
      <c r="BI5" s="53"/>
    </row>
    <row r="6" ht="18" customHeight="1" spans="1:61">
      <c r="A6" s="29"/>
      <c r="B6" s="29"/>
      <c r="C6" s="59"/>
      <c r="D6" s="60"/>
      <c r="E6" s="61" t="s">
        <v>193</v>
      </c>
      <c r="F6" s="62"/>
      <c r="G6" s="63">
        <f t="shared" ref="G6:AU6" si="1">G5</f>
        <v>0</v>
      </c>
      <c r="H6" s="63">
        <f t="shared" si="1"/>
        <v>0</v>
      </c>
      <c r="I6" s="63">
        <f t="shared" si="1"/>
        <v>0</v>
      </c>
      <c r="J6" s="63">
        <f t="shared" si="1"/>
        <v>0</v>
      </c>
      <c r="K6" s="63">
        <f t="shared" si="1"/>
        <v>0</v>
      </c>
      <c r="L6" s="63">
        <f t="shared" si="1"/>
        <v>0</v>
      </c>
      <c r="M6" s="63">
        <f t="shared" si="1"/>
        <v>0</v>
      </c>
      <c r="N6" s="63">
        <f t="shared" si="1"/>
        <v>0</v>
      </c>
      <c r="O6" s="63">
        <f t="shared" si="1"/>
        <v>0</v>
      </c>
      <c r="P6" s="63">
        <f t="shared" si="1"/>
        <v>0</v>
      </c>
      <c r="Q6" s="63">
        <f t="shared" si="1"/>
        <v>0</v>
      </c>
      <c r="R6" s="63">
        <f t="shared" si="1"/>
        <v>0</v>
      </c>
      <c r="S6" s="63">
        <f t="shared" si="1"/>
        <v>0</v>
      </c>
      <c r="T6" s="63">
        <f t="shared" si="1"/>
        <v>0</v>
      </c>
      <c r="U6" s="63">
        <f t="shared" si="1"/>
        <v>0</v>
      </c>
      <c r="V6" s="63">
        <f t="shared" si="1"/>
        <v>0</v>
      </c>
      <c r="W6" s="63">
        <f t="shared" si="1"/>
        <v>0</v>
      </c>
      <c r="X6" s="63">
        <f t="shared" si="1"/>
        <v>0</v>
      </c>
      <c r="Y6" s="63">
        <f t="shared" si="1"/>
        <v>0</v>
      </c>
      <c r="Z6" s="63">
        <f t="shared" si="1"/>
        <v>0</v>
      </c>
      <c r="AA6" s="63">
        <f t="shared" si="1"/>
        <v>0</v>
      </c>
      <c r="AB6" s="63">
        <f t="shared" si="1"/>
        <v>0</v>
      </c>
      <c r="AC6" s="63">
        <f t="shared" si="1"/>
        <v>0</v>
      </c>
      <c r="AD6" s="63">
        <f t="shared" si="1"/>
        <v>0</v>
      </c>
      <c r="AE6" s="63">
        <f t="shared" si="1"/>
        <v>0</v>
      </c>
      <c r="AF6" s="63">
        <f t="shared" si="1"/>
        <v>0</v>
      </c>
      <c r="AG6" s="63">
        <f t="shared" si="1"/>
        <v>0</v>
      </c>
      <c r="AH6" s="63">
        <f t="shared" si="1"/>
        <v>0</v>
      </c>
      <c r="AI6" s="63">
        <f t="shared" si="1"/>
        <v>0</v>
      </c>
      <c r="AJ6" s="63">
        <f t="shared" si="1"/>
        <v>0</v>
      </c>
      <c r="AK6" s="63">
        <f t="shared" si="1"/>
        <v>0</v>
      </c>
      <c r="AL6" s="63">
        <f t="shared" si="1"/>
        <v>0</v>
      </c>
      <c r="AM6" s="63">
        <f t="shared" si="1"/>
        <v>0</v>
      </c>
      <c r="AN6" s="63">
        <f t="shared" si="1"/>
        <v>0</v>
      </c>
      <c r="AO6" s="63">
        <f t="shared" si="1"/>
        <v>0</v>
      </c>
      <c r="AP6" s="63">
        <f t="shared" si="1"/>
        <v>0</v>
      </c>
      <c r="AQ6" s="63">
        <f t="shared" si="1"/>
        <v>0</v>
      </c>
      <c r="AR6" s="63">
        <f t="shared" si="1"/>
        <v>0</v>
      </c>
      <c r="AS6" s="63">
        <f t="shared" si="1"/>
        <v>0</v>
      </c>
      <c r="AT6" s="63">
        <f t="shared" si="1"/>
        <v>0</v>
      </c>
      <c r="AU6" s="63">
        <f t="shared" si="1"/>
        <v>0</v>
      </c>
      <c r="AY6" s="64"/>
    </row>
    <row r="7" ht="23.25" customHeight="1" spans="1:61">
      <c r="A7" s="65"/>
      <c r="B7" s="65"/>
      <c r="D7" s="66"/>
      <c r="E7" s="67"/>
      <c r="F7" s="67"/>
    </row>
    <row r="8" ht="12.3" customHeight="1" spans="1:61">
      <c r="A8" s="65"/>
      <c r="B8" s="65"/>
      <c r="D8" s="68"/>
      <c r="E8" s="69"/>
      <c r="F8" s="69"/>
    </row>
    <row r="9" ht="12.15" customHeight="1" spans="1:61">
      <c r="A9" s="65"/>
      <c r="B9" s="65"/>
      <c r="D9" s="49" t="s">
        <v>3108</v>
      </c>
      <c r="M9" s="49" t="s">
        <v>3109</v>
      </c>
      <c r="Q9" s="26"/>
      <c r="U9" s="70"/>
      <c r="V9" s="49" t="s">
        <v>3007</v>
      </c>
      <c r="Z9" s="26"/>
      <c r="AA9" s="26"/>
      <c r="AG9" s="49" t="s">
        <v>3110</v>
      </c>
      <c r="AH9" s="26"/>
      <c r="AK9" s="49"/>
      <c r="AS9" s="71" t="s">
        <v>3111</v>
      </c>
    </row>
    <row r="10" ht="17.55" spans="1:61">
      <c r="A10" s="65"/>
      <c r="B10" s="65"/>
      <c r="D10" s="49"/>
      <c r="AK10" s="49"/>
      <c r="AS10" s="49"/>
    </row>
    <row r="11" ht="29.25" customHeight="1" spans="1:61">
      <c r="C11" s="4" t="s">
        <v>303</v>
      </c>
      <c r="D11" s="72" t="s">
        <v>621</v>
      </c>
      <c r="E11" s="73" t="s">
        <v>3059</v>
      </c>
      <c r="F11" s="5" t="s">
        <v>143</v>
      </c>
      <c r="G11" s="6" t="s">
        <v>725</v>
      </c>
      <c r="H11" s="6" t="s">
        <v>3060</v>
      </c>
      <c r="I11" s="7" t="s">
        <v>3061</v>
      </c>
      <c r="J11" s="8" t="s">
        <v>3062</v>
      </c>
      <c r="K11" s="8" t="s">
        <v>3063</v>
      </c>
      <c r="L11" s="8" t="s">
        <v>3064</v>
      </c>
      <c r="M11" s="8" t="s">
        <v>3065</v>
      </c>
      <c r="N11" s="8" t="s">
        <v>3066</v>
      </c>
      <c r="O11" s="8" t="s">
        <v>3067</v>
      </c>
      <c r="P11" s="8" t="s">
        <v>32</v>
      </c>
      <c r="Q11" s="8" t="s">
        <v>3068</v>
      </c>
      <c r="R11" s="9" t="s">
        <v>607</v>
      </c>
      <c r="S11" s="9" t="s">
        <v>3069</v>
      </c>
      <c r="T11" s="9" t="s">
        <v>205</v>
      </c>
      <c r="U11" s="9" t="s">
        <v>3070</v>
      </c>
      <c r="V11" s="7" t="s">
        <v>633</v>
      </c>
      <c r="W11" s="10" t="s">
        <v>3071</v>
      </c>
      <c r="X11" s="11" t="s">
        <v>3072</v>
      </c>
      <c r="Y11" s="12" t="s">
        <v>3073</v>
      </c>
      <c r="Z11" s="13" t="s">
        <v>3115</v>
      </c>
      <c r="AA11" s="11" t="s">
        <v>3116</v>
      </c>
      <c r="AB11" s="11" t="s">
        <v>3117</v>
      </c>
      <c r="AC11" s="14" t="s">
        <v>3077</v>
      </c>
      <c r="AD11" s="11" t="s">
        <v>3118</v>
      </c>
      <c r="AE11" s="14" t="s">
        <v>155</v>
      </c>
      <c r="AF11" s="7" t="s">
        <v>3079</v>
      </c>
      <c r="AG11" s="15" t="s">
        <v>3080</v>
      </c>
      <c r="AH11" s="16" t="s">
        <v>453</v>
      </c>
      <c r="AI11" s="17" t="s">
        <v>3083</v>
      </c>
      <c r="AJ11" s="18" t="s">
        <v>374</v>
      </c>
      <c r="AK11" s="19" t="s">
        <v>3119</v>
      </c>
      <c r="AL11" s="6" t="s">
        <v>3084</v>
      </c>
      <c r="AM11" s="7" t="s">
        <v>3085</v>
      </c>
      <c r="AN11" s="20" t="s">
        <v>3086</v>
      </c>
      <c r="AO11" s="6" t="s">
        <v>3087</v>
      </c>
      <c r="AP11" s="6" t="s">
        <v>3088</v>
      </c>
      <c r="AQ11" s="21" t="s">
        <v>3089</v>
      </c>
      <c r="AR11" s="22" t="s">
        <v>3090</v>
      </c>
      <c r="AS11" s="23" t="s">
        <v>453</v>
      </c>
      <c r="AT11" s="24" t="s">
        <v>3091</v>
      </c>
      <c r="AU11" s="25" t="s">
        <v>3092</v>
      </c>
      <c r="AY11" s="26" t="s">
        <v>908</v>
      </c>
      <c r="AZ11" s="27" t="s">
        <v>3120</v>
      </c>
    </row>
    <row r="12" ht="20.25" customHeight="1" spans="1:61">
      <c r="A12" s="74" t="s">
        <v>945</v>
      </c>
      <c r="B12" s="74" t="s">
        <v>779</v>
      </c>
      <c r="C12" s="75"/>
      <c r="D12" s="76"/>
      <c r="E12" s="33" t="s">
        <v>238</v>
      </c>
      <c r="F12" s="33" t="s">
        <v>208</v>
      </c>
      <c r="G12" s="34"/>
      <c r="H12" s="35"/>
      <c r="I12" s="36"/>
      <c r="J12" s="45"/>
      <c r="K12" s="38"/>
      <c r="L12" s="38"/>
      <c r="M12" s="38"/>
      <c r="N12" s="77"/>
      <c r="O12" s="77"/>
      <c r="P12" s="38"/>
      <c r="Q12" s="38"/>
      <c r="R12" s="39"/>
      <c r="S12" s="39"/>
      <c r="T12" s="39"/>
      <c r="U12" s="39"/>
      <c r="V12" s="40">
        <f>SUM(J12:U12)</f>
        <v>0</v>
      </c>
      <c r="W12" s="41"/>
      <c r="X12" s="38"/>
      <c r="Y12" s="38"/>
      <c r="Z12" s="38"/>
      <c r="AA12" s="38"/>
      <c r="AB12" s="38"/>
      <c r="AC12" s="38"/>
      <c r="AD12" s="42"/>
      <c r="AE12" s="42"/>
      <c r="AF12" s="43">
        <f>SUM(W12:AE12)</f>
        <v>0</v>
      </c>
      <c r="AG12" s="43"/>
      <c r="AH12" s="44">
        <f>AG12</f>
        <v>0</v>
      </c>
      <c r="AI12" s="45"/>
      <c r="AJ12" s="41"/>
      <c r="AK12" s="38"/>
      <c r="AL12" s="38"/>
      <c r="AM12" s="40">
        <f>AH12+AI12-AK12-AL12</f>
        <v>0</v>
      </c>
      <c r="AN12" s="44"/>
      <c r="AO12" s="41"/>
      <c r="AP12" s="38"/>
      <c r="AQ12" s="44"/>
      <c r="AR12" s="44"/>
      <c r="AS12" s="46">
        <f>AH12-AN12-AQ12-AR12</f>
        <v>0</v>
      </c>
      <c r="AT12" s="47"/>
      <c r="AU12" s="48"/>
    </row>
    <row r="13" ht="18.3" spans="1:61">
      <c r="A13" s="74" t="s">
        <v>945</v>
      </c>
      <c r="B13" s="74" t="s">
        <v>779</v>
      </c>
      <c r="D13" s="78"/>
      <c r="E13" s="33" t="s">
        <v>193</v>
      </c>
      <c r="F13" s="33"/>
      <c r="G13" s="79"/>
      <c r="H13" s="79"/>
      <c r="I13" s="80">
        <f t="shared" ref="I13:AU13" si="2">SUM(I12:I12)</f>
        <v>0</v>
      </c>
      <c r="J13" s="79">
        <f t="shared" si="2"/>
        <v>0</v>
      </c>
      <c r="K13" s="79">
        <f t="shared" si="2"/>
        <v>0</v>
      </c>
      <c r="L13" s="79">
        <f t="shared" si="2"/>
        <v>0</v>
      </c>
      <c r="M13" s="79">
        <f t="shared" si="2"/>
        <v>0</v>
      </c>
      <c r="N13" s="79">
        <f t="shared" si="2"/>
        <v>0</v>
      </c>
      <c r="O13" s="79">
        <f t="shared" si="2"/>
        <v>0</v>
      </c>
      <c r="P13" s="79">
        <f t="shared" si="2"/>
        <v>0</v>
      </c>
      <c r="Q13" s="79">
        <f t="shared" si="2"/>
        <v>0</v>
      </c>
      <c r="R13" s="79">
        <f t="shared" si="2"/>
        <v>0</v>
      </c>
      <c r="S13" s="79">
        <f t="shared" si="2"/>
        <v>0</v>
      </c>
      <c r="T13" s="79">
        <f t="shared" si="2"/>
        <v>0</v>
      </c>
      <c r="U13" s="79">
        <f t="shared" si="2"/>
        <v>0</v>
      </c>
      <c r="V13" s="79">
        <f t="shared" si="2"/>
        <v>0</v>
      </c>
      <c r="W13" s="79">
        <f t="shared" si="2"/>
        <v>0</v>
      </c>
      <c r="X13" s="79">
        <f t="shared" si="2"/>
        <v>0</v>
      </c>
      <c r="Y13" s="79">
        <f t="shared" si="2"/>
        <v>0</v>
      </c>
      <c r="Z13" s="79">
        <f t="shared" si="2"/>
        <v>0</v>
      </c>
      <c r="AA13" s="79">
        <f t="shared" si="2"/>
        <v>0</v>
      </c>
      <c r="AB13" s="79">
        <f t="shared" si="2"/>
        <v>0</v>
      </c>
      <c r="AC13" s="79">
        <f t="shared" si="2"/>
        <v>0</v>
      </c>
      <c r="AD13" s="79">
        <f t="shared" si="2"/>
        <v>0</v>
      </c>
      <c r="AE13" s="79">
        <f t="shared" si="2"/>
        <v>0</v>
      </c>
      <c r="AF13" s="79">
        <f t="shared" si="2"/>
        <v>0</v>
      </c>
      <c r="AG13" s="79">
        <f t="shared" si="2"/>
        <v>0</v>
      </c>
      <c r="AH13" s="79">
        <f t="shared" si="2"/>
        <v>0</v>
      </c>
      <c r="AI13" s="79">
        <f t="shared" si="2"/>
        <v>0</v>
      </c>
      <c r="AJ13" s="79">
        <f t="shared" si="2"/>
        <v>0</v>
      </c>
      <c r="AK13" s="79">
        <f t="shared" si="2"/>
        <v>0</v>
      </c>
      <c r="AL13" s="79">
        <f t="shared" si="2"/>
        <v>0</v>
      </c>
      <c r="AM13" s="79">
        <f t="shared" si="2"/>
        <v>0</v>
      </c>
      <c r="AN13" s="79">
        <f t="shared" si="2"/>
        <v>0</v>
      </c>
      <c r="AO13" s="79">
        <f t="shared" si="2"/>
        <v>0</v>
      </c>
      <c r="AP13" s="79">
        <f t="shared" si="2"/>
        <v>0</v>
      </c>
      <c r="AQ13" s="79">
        <f t="shared" si="2"/>
        <v>0</v>
      </c>
      <c r="AR13" s="79">
        <f t="shared" si="2"/>
        <v>0</v>
      </c>
      <c r="AS13" s="79">
        <f t="shared" si="2"/>
        <v>0</v>
      </c>
      <c r="AT13" s="79">
        <f t="shared" si="2"/>
        <v>0</v>
      </c>
      <c r="AU13" s="80">
        <f t="shared" si="2"/>
        <v>0</v>
      </c>
    </row>
    <row r="14" ht="17.55" spans="1:61">
      <c r="A14" s="74" t="s">
        <v>733</v>
      </c>
      <c r="B14" s="74" t="s">
        <v>779</v>
      </c>
      <c r="C14" s="75"/>
      <c r="D14" s="76" t="s">
        <v>645</v>
      </c>
      <c r="E14" s="33" t="s">
        <v>11</v>
      </c>
      <c r="F14" s="33" t="s">
        <v>235</v>
      </c>
      <c r="G14" s="34"/>
      <c r="H14" s="35"/>
      <c r="I14" s="36"/>
      <c r="J14" s="45"/>
      <c r="K14" s="38"/>
      <c r="L14" s="38"/>
      <c r="M14" s="38"/>
      <c r="N14" s="77"/>
      <c r="O14" s="77"/>
      <c r="P14" s="38"/>
      <c r="Q14" s="38"/>
      <c r="R14" s="39"/>
      <c r="S14" s="39"/>
      <c r="T14" s="39"/>
      <c r="U14" s="39"/>
      <c r="V14" s="40">
        <f t="shared" ref="V14:V24" si="3">SUM(J14:U14)</f>
        <v>0</v>
      </c>
      <c r="W14" s="41"/>
      <c r="X14" s="38"/>
      <c r="Y14" s="38"/>
      <c r="Z14" s="38"/>
      <c r="AA14" s="38"/>
      <c r="AB14" s="38"/>
      <c r="AC14" s="38"/>
      <c r="AD14" s="42"/>
      <c r="AE14" s="42"/>
      <c r="AF14" s="43">
        <f t="shared" ref="AF14:AF24" si="4">SUM(W14:AE14)</f>
        <v>0</v>
      </c>
      <c r="AG14" s="43"/>
      <c r="AH14" s="44">
        <f t="shared" ref="AH14:AH24" si="5">AG14</f>
        <v>0</v>
      </c>
      <c r="AI14" s="45"/>
      <c r="AJ14" s="41"/>
      <c r="AK14" s="38"/>
      <c r="AL14" s="38"/>
      <c r="AM14" s="40">
        <f t="shared" ref="AM14:AM24" si="6">AH14+AI14-AK14-AL14</f>
        <v>0</v>
      </c>
      <c r="AN14" s="44"/>
      <c r="AO14" s="41"/>
      <c r="AP14" s="38"/>
      <c r="AQ14" s="44"/>
      <c r="AR14" s="44"/>
      <c r="AS14" s="46">
        <f t="shared" ref="AS14:AS24" si="7">AH14-AN14-AQ14-AR14</f>
        <v>0</v>
      </c>
      <c r="AT14" s="47"/>
      <c r="AU14" s="48"/>
    </row>
    <row r="15" spans="1:61">
      <c r="A15" s="74" t="s">
        <v>733</v>
      </c>
      <c r="B15" s="74" t="s">
        <v>779</v>
      </c>
      <c r="C15" s="75"/>
      <c r="D15" s="81"/>
      <c r="E15" s="33" t="s">
        <v>11</v>
      </c>
      <c r="F15" s="33" t="s">
        <v>3123</v>
      </c>
      <c r="G15" s="34"/>
      <c r="H15" s="35"/>
      <c r="I15" s="36"/>
      <c r="J15" s="45"/>
      <c r="K15" s="38"/>
      <c r="L15" s="38"/>
      <c r="M15" s="38"/>
      <c r="N15" s="77"/>
      <c r="O15" s="77"/>
      <c r="P15" s="38"/>
      <c r="Q15" s="38"/>
      <c r="R15" s="39"/>
      <c r="S15" s="39"/>
      <c r="T15" s="39"/>
      <c r="U15" s="39"/>
      <c r="V15" s="40">
        <f t="shared" si="3"/>
        <v>0</v>
      </c>
      <c r="W15" s="41"/>
      <c r="X15" s="38"/>
      <c r="Y15" s="38"/>
      <c r="Z15" s="38"/>
      <c r="AA15" s="38"/>
      <c r="AB15" s="38"/>
      <c r="AC15" s="38"/>
      <c r="AD15" s="42"/>
      <c r="AE15" s="42"/>
      <c r="AF15" s="43">
        <f t="shared" si="4"/>
        <v>0</v>
      </c>
      <c r="AG15" s="43"/>
      <c r="AH15" s="44">
        <f t="shared" si="5"/>
        <v>0</v>
      </c>
      <c r="AI15" s="45"/>
      <c r="AJ15" s="41"/>
      <c r="AK15" s="38"/>
      <c r="AL15" s="38"/>
      <c r="AM15" s="40">
        <f t="shared" si="6"/>
        <v>0</v>
      </c>
      <c r="AN15" s="44"/>
      <c r="AO15" s="41"/>
      <c r="AP15" s="38"/>
      <c r="AQ15" s="44"/>
      <c r="AR15" s="44"/>
      <c r="AS15" s="46">
        <f t="shared" si="7"/>
        <v>0</v>
      </c>
      <c r="AT15" s="47"/>
      <c r="AU15" s="48"/>
    </row>
    <row r="16" spans="1:61">
      <c r="A16" s="74" t="s">
        <v>733</v>
      </c>
      <c r="B16" s="74" t="s">
        <v>779</v>
      </c>
      <c r="C16" s="75"/>
      <c r="D16" s="81"/>
      <c r="E16" s="33" t="s">
        <v>11</v>
      </c>
      <c r="F16" s="33" t="s">
        <v>233</v>
      </c>
      <c r="G16" s="34"/>
      <c r="H16" s="35"/>
      <c r="I16" s="36"/>
      <c r="J16" s="45"/>
      <c r="K16" s="38"/>
      <c r="L16" s="38"/>
      <c r="M16" s="38"/>
      <c r="N16" s="77"/>
      <c r="O16" s="77"/>
      <c r="P16" s="38"/>
      <c r="Q16" s="38"/>
      <c r="R16" s="39"/>
      <c r="S16" s="39"/>
      <c r="T16" s="39"/>
      <c r="U16" s="39"/>
      <c r="V16" s="40">
        <f t="shared" si="3"/>
        <v>0</v>
      </c>
      <c r="W16" s="41"/>
      <c r="X16" s="38"/>
      <c r="Y16" s="38"/>
      <c r="Z16" s="38"/>
      <c r="AA16" s="38"/>
      <c r="AB16" s="38"/>
      <c r="AC16" s="38"/>
      <c r="AD16" s="42"/>
      <c r="AE16" s="42"/>
      <c r="AF16" s="43">
        <f t="shared" si="4"/>
        <v>0</v>
      </c>
      <c r="AG16" s="43"/>
      <c r="AH16" s="44">
        <f t="shared" si="5"/>
        <v>0</v>
      </c>
      <c r="AI16" s="45"/>
      <c r="AJ16" s="41"/>
      <c r="AK16" s="38"/>
      <c r="AL16" s="38"/>
      <c r="AM16" s="40">
        <f t="shared" si="6"/>
        <v>0</v>
      </c>
      <c r="AN16" s="44"/>
      <c r="AO16" s="41"/>
      <c r="AP16" s="38"/>
      <c r="AQ16" s="44"/>
      <c r="AR16" s="44"/>
      <c r="AS16" s="46">
        <f t="shared" si="7"/>
        <v>0</v>
      </c>
      <c r="AT16" s="47"/>
      <c r="AU16" s="48"/>
    </row>
    <row r="17" spans="1:48">
      <c r="A17" s="74" t="s">
        <v>733</v>
      </c>
      <c r="B17" s="74" t="s">
        <v>779</v>
      </c>
      <c r="C17" s="75"/>
      <c r="D17" s="81"/>
      <c r="E17" s="33" t="s">
        <v>11</v>
      </c>
      <c r="F17" s="33" t="s">
        <v>231</v>
      </c>
      <c r="G17" s="34"/>
      <c r="H17" s="35"/>
      <c r="I17" s="36"/>
      <c r="J17" s="45"/>
      <c r="K17" s="38"/>
      <c r="L17" s="38"/>
      <c r="M17" s="38"/>
      <c r="N17" s="77"/>
      <c r="O17" s="77"/>
      <c r="P17" s="38"/>
      <c r="Q17" s="38"/>
      <c r="R17" s="39"/>
      <c r="S17" s="39"/>
      <c r="T17" s="39"/>
      <c r="U17" s="39"/>
      <c r="V17" s="40">
        <f t="shared" si="3"/>
        <v>0</v>
      </c>
      <c r="W17" s="41"/>
      <c r="X17" s="38"/>
      <c r="Y17" s="38"/>
      <c r="Z17" s="38"/>
      <c r="AA17" s="38"/>
      <c r="AB17" s="38"/>
      <c r="AC17" s="38"/>
      <c r="AD17" s="42"/>
      <c r="AE17" s="42"/>
      <c r="AF17" s="43">
        <f t="shared" si="4"/>
        <v>0</v>
      </c>
      <c r="AG17" s="43"/>
      <c r="AH17" s="44">
        <f t="shared" si="5"/>
        <v>0</v>
      </c>
      <c r="AI17" s="45"/>
      <c r="AJ17" s="41"/>
      <c r="AK17" s="38"/>
      <c r="AL17" s="38"/>
      <c r="AM17" s="40">
        <f t="shared" si="6"/>
        <v>0</v>
      </c>
      <c r="AN17" s="44"/>
      <c r="AO17" s="41"/>
      <c r="AP17" s="38"/>
      <c r="AQ17" s="44"/>
      <c r="AR17" s="44"/>
      <c r="AS17" s="46">
        <f t="shared" si="7"/>
        <v>0</v>
      </c>
      <c r="AT17" s="47"/>
      <c r="AU17" s="48"/>
      <c r="AV17" s="49"/>
    </row>
    <row r="18" spans="1:48">
      <c r="A18" s="74" t="s">
        <v>733</v>
      </c>
      <c r="B18" s="74" t="s">
        <v>779</v>
      </c>
      <c r="C18" s="75"/>
      <c r="D18" s="81"/>
      <c r="E18" s="33" t="s">
        <v>11</v>
      </c>
      <c r="F18" s="33" t="s">
        <v>230</v>
      </c>
      <c r="G18" s="34"/>
      <c r="H18" s="35"/>
      <c r="I18" s="36"/>
      <c r="J18" s="45"/>
      <c r="K18" s="38"/>
      <c r="L18" s="38"/>
      <c r="M18" s="38"/>
      <c r="N18" s="77"/>
      <c r="O18" s="77"/>
      <c r="P18" s="38"/>
      <c r="Q18" s="38"/>
      <c r="R18" s="39"/>
      <c r="S18" s="39"/>
      <c r="T18" s="39"/>
      <c r="U18" s="39"/>
      <c r="V18" s="40">
        <f t="shared" si="3"/>
        <v>0</v>
      </c>
      <c r="W18" s="41"/>
      <c r="X18" s="38"/>
      <c r="Y18" s="38"/>
      <c r="Z18" s="38"/>
      <c r="AA18" s="38"/>
      <c r="AB18" s="38"/>
      <c r="AC18" s="38"/>
      <c r="AD18" s="42"/>
      <c r="AE18" s="42"/>
      <c r="AF18" s="43">
        <f t="shared" si="4"/>
        <v>0</v>
      </c>
      <c r="AG18" s="43"/>
      <c r="AH18" s="44">
        <f t="shared" si="5"/>
        <v>0</v>
      </c>
      <c r="AI18" s="45"/>
      <c r="AJ18" s="41"/>
      <c r="AK18" s="38"/>
      <c r="AL18" s="38"/>
      <c r="AM18" s="40">
        <f t="shared" si="6"/>
        <v>0</v>
      </c>
      <c r="AN18" s="44"/>
      <c r="AO18" s="41"/>
      <c r="AP18" s="38"/>
      <c r="AQ18" s="44"/>
      <c r="AR18" s="44"/>
      <c r="AS18" s="46">
        <f t="shared" si="7"/>
        <v>0</v>
      </c>
      <c r="AT18" s="47"/>
      <c r="AU18" s="48"/>
    </row>
    <row r="19" spans="1:48">
      <c r="A19" s="74" t="s">
        <v>733</v>
      </c>
      <c r="B19" s="74" t="s">
        <v>779</v>
      </c>
      <c r="C19" s="75"/>
      <c r="D19" s="81"/>
      <c r="E19" s="33" t="s">
        <v>11</v>
      </c>
      <c r="F19" s="33" t="s">
        <v>232</v>
      </c>
      <c r="G19" s="34"/>
      <c r="H19" s="35"/>
      <c r="I19" s="36"/>
      <c r="J19" s="45"/>
      <c r="K19" s="38"/>
      <c r="L19" s="38"/>
      <c r="M19" s="38"/>
      <c r="N19" s="77"/>
      <c r="O19" s="77"/>
      <c r="P19" s="38"/>
      <c r="Q19" s="38"/>
      <c r="R19" s="39"/>
      <c r="S19" s="39"/>
      <c r="T19" s="39"/>
      <c r="U19" s="39"/>
      <c r="V19" s="40">
        <f t="shared" si="3"/>
        <v>0</v>
      </c>
      <c r="W19" s="41"/>
      <c r="X19" s="38"/>
      <c r="Y19" s="38"/>
      <c r="Z19" s="38"/>
      <c r="AA19" s="38"/>
      <c r="AB19" s="38"/>
      <c r="AC19" s="38"/>
      <c r="AD19" s="42"/>
      <c r="AE19" s="42"/>
      <c r="AF19" s="43">
        <f t="shared" si="4"/>
        <v>0</v>
      </c>
      <c r="AG19" s="43"/>
      <c r="AH19" s="44">
        <f t="shared" si="5"/>
        <v>0</v>
      </c>
      <c r="AI19" s="45"/>
      <c r="AJ19" s="41"/>
      <c r="AK19" s="38"/>
      <c r="AL19" s="38"/>
      <c r="AM19" s="40">
        <f t="shared" si="6"/>
        <v>0</v>
      </c>
      <c r="AN19" s="44"/>
      <c r="AO19" s="41"/>
      <c r="AP19" s="38"/>
      <c r="AQ19" s="44"/>
      <c r="AR19" s="44"/>
      <c r="AS19" s="46">
        <f t="shared" si="7"/>
        <v>0</v>
      </c>
      <c r="AT19" s="47"/>
      <c r="AU19" s="48"/>
    </row>
    <row r="20" spans="1:48">
      <c r="A20" s="74" t="s">
        <v>733</v>
      </c>
      <c r="B20" s="74" t="s">
        <v>779</v>
      </c>
      <c r="C20" s="75"/>
      <c r="D20" s="81"/>
      <c r="E20" s="33" t="s">
        <v>11</v>
      </c>
      <c r="F20" s="33" t="s">
        <v>234</v>
      </c>
      <c r="G20" s="34"/>
      <c r="H20" s="35"/>
      <c r="I20" s="36"/>
      <c r="J20" s="45"/>
      <c r="K20" s="38"/>
      <c r="L20" s="38"/>
      <c r="M20" s="38"/>
      <c r="N20" s="77"/>
      <c r="O20" s="77"/>
      <c r="P20" s="38"/>
      <c r="Q20" s="38"/>
      <c r="R20" s="39"/>
      <c r="S20" s="39"/>
      <c r="T20" s="39"/>
      <c r="U20" s="39"/>
      <c r="V20" s="40">
        <f t="shared" si="3"/>
        <v>0</v>
      </c>
      <c r="W20" s="41"/>
      <c r="X20" s="38"/>
      <c r="Y20" s="38"/>
      <c r="Z20" s="38"/>
      <c r="AA20" s="38"/>
      <c r="AB20" s="38"/>
      <c r="AC20" s="38"/>
      <c r="AD20" s="42"/>
      <c r="AE20" s="42"/>
      <c r="AF20" s="43">
        <f t="shared" si="4"/>
        <v>0</v>
      </c>
      <c r="AG20" s="43"/>
      <c r="AH20" s="44">
        <f t="shared" si="5"/>
        <v>0</v>
      </c>
      <c r="AI20" s="45"/>
      <c r="AJ20" s="41"/>
      <c r="AK20" s="38"/>
      <c r="AL20" s="38"/>
      <c r="AM20" s="40">
        <f t="shared" si="6"/>
        <v>0</v>
      </c>
      <c r="AN20" s="44"/>
      <c r="AO20" s="41"/>
      <c r="AP20" s="38"/>
      <c r="AQ20" s="44"/>
      <c r="AR20" s="44"/>
      <c r="AS20" s="46">
        <f t="shared" si="7"/>
        <v>0</v>
      </c>
      <c r="AT20" s="47"/>
      <c r="AU20" s="48"/>
    </row>
    <row r="21" spans="1:48">
      <c r="A21" s="74" t="s">
        <v>733</v>
      </c>
      <c r="B21" s="74" t="s">
        <v>779</v>
      </c>
      <c r="C21" s="75"/>
      <c r="D21" s="81"/>
      <c r="E21" s="33" t="s">
        <v>3030</v>
      </c>
      <c r="F21" s="33" t="s">
        <v>3032</v>
      </c>
      <c r="G21" s="34"/>
      <c r="H21" s="35"/>
      <c r="I21" s="36"/>
      <c r="J21" s="45"/>
      <c r="K21" s="38"/>
      <c r="L21" s="38"/>
      <c r="M21" s="38"/>
      <c r="N21" s="77"/>
      <c r="O21" s="77"/>
      <c r="P21" s="38"/>
      <c r="Q21" s="38"/>
      <c r="R21" s="39"/>
      <c r="S21" s="39"/>
      <c r="T21" s="39"/>
      <c r="U21" s="39"/>
      <c r="V21" s="40">
        <f t="shared" si="3"/>
        <v>0</v>
      </c>
      <c r="W21" s="41"/>
      <c r="X21" s="38"/>
      <c r="Y21" s="38"/>
      <c r="Z21" s="38"/>
      <c r="AA21" s="38"/>
      <c r="AB21" s="38"/>
      <c r="AC21" s="38"/>
      <c r="AD21" s="42"/>
      <c r="AE21" s="42"/>
      <c r="AF21" s="43">
        <f t="shared" si="4"/>
        <v>0</v>
      </c>
      <c r="AG21" s="43"/>
      <c r="AH21" s="44">
        <f t="shared" si="5"/>
        <v>0</v>
      </c>
      <c r="AI21" s="45"/>
      <c r="AJ21" s="41"/>
      <c r="AK21" s="38"/>
      <c r="AL21" s="38"/>
      <c r="AM21" s="40">
        <f t="shared" si="6"/>
        <v>0</v>
      </c>
      <c r="AN21" s="44"/>
      <c r="AO21" s="41"/>
      <c r="AP21" s="38"/>
      <c r="AQ21" s="44"/>
      <c r="AR21" s="44"/>
      <c r="AS21" s="46">
        <f t="shared" si="7"/>
        <v>0</v>
      </c>
      <c r="AT21" s="47"/>
      <c r="AU21" s="48"/>
    </row>
    <row r="22" spans="1:48">
      <c r="A22" s="74" t="s">
        <v>733</v>
      </c>
      <c r="B22" s="74" t="s">
        <v>779</v>
      </c>
      <c r="C22" s="75"/>
      <c r="D22" s="81"/>
      <c r="E22" s="33"/>
      <c r="F22" s="33" t="s">
        <v>236</v>
      </c>
      <c r="G22" s="82"/>
      <c r="H22" s="83"/>
      <c r="I22" s="84"/>
      <c r="J22" s="45"/>
      <c r="K22" s="38"/>
      <c r="L22" s="85"/>
      <c r="M22" s="85"/>
      <c r="N22" s="86"/>
      <c r="O22" s="77"/>
      <c r="P22" s="38"/>
      <c r="Q22" s="38"/>
      <c r="R22" s="87"/>
      <c r="S22" s="39"/>
      <c r="T22" s="87"/>
      <c r="U22" s="87"/>
      <c r="V22" s="40">
        <f t="shared" si="3"/>
        <v>0</v>
      </c>
      <c r="W22" s="41"/>
      <c r="X22" s="85"/>
      <c r="Y22" s="85"/>
      <c r="Z22" s="85"/>
      <c r="AA22" s="85"/>
      <c r="AB22" s="85"/>
      <c r="AC22" s="85"/>
      <c r="AD22" s="88"/>
      <c r="AE22" s="88"/>
      <c r="AF22" s="43">
        <f t="shared" si="4"/>
        <v>0</v>
      </c>
      <c r="AG22" s="89"/>
      <c r="AH22" s="90">
        <f t="shared" si="5"/>
        <v>0</v>
      </c>
      <c r="AI22" s="91"/>
      <c r="AJ22" s="92"/>
      <c r="AK22" s="85"/>
      <c r="AL22" s="85"/>
      <c r="AM22" s="93">
        <f t="shared" si="6"/>
        <v>0</v>
      </c>
      <c r="AN22" s="90"/>
      <c r="AO22" s="92"/>
      <c r="AP22" s="85"/>
      <c r="AQ22" s="90"/>
      <c r="AR22" s="90"/>
      <c r="AS22" s="94">
        <f t="shared" si="7"/>
        <v>0</v>
      </c>
      <c r="AT22" s="95"/>
      <c r="AU22" s="48"/>
      <c r="AV22" s="49"/>
    </row>
    <row r="23" spans="1:48">
      <c r="A23" s="74" t="s">
        <v>733</v>
      </c>
      <c r="B23" s="74" t="s">
        <v>779</v>
      </c>
      <c r="C23" s="75"/>
      <c r="D23" s="81"/>
      <c r="E23" s="33"/>
      <c r="F23" s="33" t="s">
        <v>236</v>
      </c>
      <c r="G23" s="82"/>
      <c r="H23" s="83"/>
      <c r="I23" s="84"/>
      <c r="J23" s="45"/>
      <c r="K23" s="38"/>
      <c r="L23" s="85"/>
      <c r="M23" s="85"/>
      <c r="N23" s="86"/>
      <c r="O23" s="77"/>
      <c r="P23" s="38"/>
      <c r="Q23" s="38"/>
      <c r="R23" s="87"/>
      <c r="S23" s="39"/>
      <c r="T23" s="87"/>
      <c r="U23" s="87"/>
      <c r="V23" s="40">
        <f t="shared" si="3"/>
        <v>0</v>
      </c>
      <c r="W23" s="41"/>
      <c r="X23" s="85"/>
      <c r="Y23" s="85"/>
      <c r="Z23" s="85"/>
      <c r="AA23" s="85"/>
      <c r="AB23" s="85"/>
      <c r="AC23" s="85"/>
      <c r="AD23" s="88"/>
      <c r="AE23" s="88"/>
      <c r="AF23" s="43">
        <f t="shared" si="4"/>
        <v>0</v>
      </c>
      <c r="AG23" s="89"/>
      <c r="AH23" s="90">
        <f t="shared" si="5"/>
        <v>0</v>
      </c>
      <c r="AI23" s="91"/>
      <c r="AJ23" s="92"/>
      <c r="AK23" s="85"/>
      <c r="AL23" s="85"/>
      <c r="AM23" s="93">
        <f t="shared" si="6"/>
        <v>0</v>
      </c>
      <c r="AN23" s="90"/>
      <c r="AO23" s="92"/>
      <c r="AP23" s="85"/>
      <c r="AQ23" s="90"/>
      <c r="AR23" s="90"/>
      <c r="AS23" s="94">
        <f t="shared" si="7"/>
        <v>0</v>
      </c>
      <c r="AT23" s="95"/>
      <c r="AU23" s="48"/>
      <c r="AV23" s="49"/>
    </row>
    <row r="24" ht="17.55" spans="1:48">
      <c r="A24" s="74" t="s">
        <v>733</v>
      </c>
      <c r="B24" s="74" t="s">
        <v>779</v>
      </c>
      <c r="C24" s="75"/>
      <c r="D24" s="81"/>
      <c r="E24" s="33" t="s">
        <v>238</v>
      </c>
      <c r="F24" s="33" t="s">
        <v>239</v>
      </c>
      <c r="G24" s="82"/>
      <c r="H24" s="83"/>
      <c r="I24" s="84"/>
      <c r="J24" s="45"/>
      <c r="K24" s="38"/>
      <c r="L24" s="85"/>
      <c r="M24" s="85"/>
      <c r="N24" s="86"/>
      <c r="O24" s="77"/>
      <c r="P24" s="38"/>
      <c r="Q24" s="38"/>
      <c r="R24" s="87"/>
      <c r="S24" s="39"/>
      <c r="T24" s="87"/>
      <c r="U24" s="87"/>
      <c r="V24" s="40">
        <f t="shared" si="3"/>
        <v>0</v>
      </c>
      <c r="W24" s="41"/>
      <c r="X24" s="85"/>
      <c r="Y24" s="85"/>
      <c r="Z24" s="85"/>
      <c r="AA24" s="85"/>
      <c r="AB24" s="85"/>
      <c r="AC24" s="85"/>
      <c r="AD24" s="88"/>
      <c r="AE24" s="88"/>
      <c r="AF24" s="43">
        <f t="shared" si="4"/>
        <v>0</v>
      </c>
      <c r="AG24" s="89"/>
      <c r="AH24" s="90">
        <f t="shared" si="5"/>
        <v>0</v>
      </c>
      <c r="AI24" s="91"/>
      <c r="AJ24" s="92"/>
      <c r="AK24" s="85"/>
      <c r="AL24" s="85"/>
      <c r="AM24" s="93">
        <f t="shared" si="6"/>
        <v>0</v>
      </c>
      <c r="AN24" s="90"/>
      <c r="AO24" s="92"/>
      <c r="AP24" s="85"/>
      <c r="AQ24" s="90"/>
      <c r="AR24" s="90"/>
      <c r="AS24" s="94">
        <f t="shared" si="7"/>
        <v>0</v>
      </c>
      <c r="AT24" s="95"/>
      <c r="AU24" s="48"/>
      <c r="AV24" s="49"/>
    </row>
    <row r="25" ht="18.3" spans="1:48">
      <c r="A25" s="74" t="s">
        <v>733</v>
      </c>
      <c r="B25" s="74" t="s">
        <v>779</v>
      </c>
      <c r="D25" s="78"/>
      <c r="E25" s="33" t="s">
        <v>193</v>
      </c>
      <c r="F25" s="33"/>
      <c r="G25" s="79"/>
      <c r="H25" s="79"/>
      <c r="I25" s="80">
        <f t="shared" ref="I25:AU25" si="8">SUM(I14:I24)</f>
        <v>0</v>
      </c>
      <c r="J25" s="79">
        <f t="shared" si="8"/>
        <v>0</v>
      </c>
      <c r="K25" s="79">
        <f t="shared" si="8"/>
        <v>0</v>
      </c>
      <c r="L25" s="79">
        <f t="shared" si="8"/>
        <v>0</v>
      </c>
      <c r="M25" s="79">
        <f t="shared" si="8"/>
        <v>0</v>
      </c>
      <c r="N25" s="79">
        <f t="shared" si="8"/>
        <v>0</v>
      </c>
      <c r="O25" s="79">
        <f t="shared" si="8"/>
        <v>0</v>
      </c>
      <c r="P25" s="79">
        <f t="shared" si="8"/>
        <v>0</v>
      </c>
      <c r="Q25" s="79">
        <f t="shared" si="8"/>
        <v>0</v>
      </c>
      <c r="R25" s="79">
        <f t="shared" si="8"/>
        <v>0</v>
      </c>
      <c r="S25" s="79">
        <f t="shared" si="8"/>
        <v>0</v>
      </c>
      <c r="T25" s="79">
        <f t="shared" si="8"/>
        <v>0</v>
      </c>
      <c r="U25" s="79">
        <f t="shared" si="8"/>
        <v>0</v>
      </c>
      <c r="V25" s="79">
        <f t="shared" si="8"/>
        <v>0</v>
      </c>
      <c r="W25" s="79">
        <f t="shared" si="8"/>
        <v>0</v>
      </c>
      <c r="X25" s="79">
        <f t="shared" si="8"/>
        <v>0</v>
      </c>
      <c r="Y25" s="79">
        <f t="shared" si="8"/>
        <v>0</v>
      </c>
      <c r="Z25" s="79">
        <f t="shared" si="8"/>
        <v>0</v>
      </c>
      <c r="AA25" s="79">
        <f t="shared" si="8"/>
        <v>0</v>
      </c>
      <c r="AB25" s="79">
        <f t="shared" si="8"/>
        <v>0</v>
      </c>
      <c r="AC25" s="79">
        <f t="shared" si="8"/>
        <v>0</v>
      </c>
      <c r="AD25" s="79">
        <f t="shared" si="8"/>
        <v>0</v>
      </c>
      <c r="AE25" s="79">
        <f t="shared" si="8"/>
        <v>0</v>
      </c>
      <c r="AF25" s="79">
        <f t="shared" si="8"/>
        <v>0</v>
      </c>
      <c r="AG25" s="79">
        <f t="shared" si="8"/>
        <v>0</v>
      </c>
      <c r="AH25" s="79">
        <f t="shared" si="8"/>
        <v>0</v>
      </c>
      <c r="AI25" s="79">
        <f t="shared" si="8"/>
        <v>0</v>
      </c>
      <c r="AJ25" s="79">
        <f t="shared" si="8"/>
        <v>0</v>
      </c>
      <c r="AK25" s="79">
        <f t="shared" si="8"/>
        <v>0</v>
      </c>
      <c r="AL25" s="79">
        <f t="shared" si="8"/>
        <v>0</v>
      </c>
      <c r="AM25" s="79">
        <f t="shared" si="8"/>
        <v>0</v>
      </c>
      <c r="AN25" s="79">
        <f t="shared" si="8"/>
        <v>0</v>
      </c>
      <c r="AO25" s="79">
        <f t="shared" si="8"/>
        <v>0</v>
      </c>
      <c r="AP25" s="79">
        <f t="shared" si="8"/>
        <v>0</v>
      </c>
      <c r="AQ25" s="79">
        <f t="shared" si="8"/>
        <v>0</v>
      </c>
      <c r="AR25" s="79">
        <f t="shared" si="8"/>
        <v>0</v>
      </c>
      <c r="AS25" s="79">
        <f t="shared" si="8"/>
        <v>0</v>
      </c>
      <c r="AT25" s="79">
        <f t="shared" si="8"/>
        <v>0</v>
      </c>
      <c r="AU25" s="80">
        <f t="shared" si="8"/>
        <v>0</v>
      </c>
    </row>
    <row r="26" ht="17.55" spans="1:48">
      <c r="A26" s="74" t="s">
        <v>733</v>
      </c>
      <c r="B26" s="74" t="s">
        <v>779</v>
      </c>
      <c r="C26" s="75"/>
      <c r="D26" s="96" t="s">
        <v>660</v>
      </c>
      <c r="E26" s="33" t="s">
        <v>3026</v>
      </c>
      <c r="F26" s="33" t="s">
        <v>236</v>
      </c>
      <c r="G26" s="97"/>
      <c r="H26" s="35"/>
      <c r="I26" s="36"/>
      <c r="J26" s="37"/>
      <c r="K26" s="38"/>
      <c r="L26" s="38"/>
      <c r="M26" s="38"/>
      <c r="N26" s="38"/>
      <c r="O26" s="38"/>
      <c r="P26" s="38"/>
      <c r="Q26" s="38"/>
      <c r="R26" s="39"/>
      <c r="S26" s="39"/>
      <c r="T26" s="39"/>
      <c r="U26" s="39"/>
      <c r="V26" s="98"/>
      <c r="W26" s="41"/>
      <c r="X26" s="38"/>
      <c r="Y26" s="38"/>
      <c r="Z26" s="38"/>
      <c r="AA26" s="38"/>
      <c r="AB26" s="38"/>
      <c r="AC26" s="38"/>
      <c r="AD26" s="42"/>
      <c r="AE26" s="42"/>
      <c r="AF26" s="43">
        <f t="shared" ref="AF26:AF31" si="9">SUM(W26:AE26)</f>
        <v>0</v>
      </c>
      <c r="AG26" s="43"/>
      <c r="AH26" s="44">
        <f t="shared" ref="AH26:AH31" si="10">AG26</f>
        <v>0</v>
      </c>
      <c r="AI26" s="37"/>
      <c r="AJ26" s="41"/>
      <c r="AK26" s="38"/>
      <c r="AL26" s="38"/>
      <c r="AM26" s="98">
        <f t="shared" ref="AM26:AM31" si="11">AH26+AI26-AK26-AL26</f>
        <v>0</v>
      </c>
      <c r="AN26" s="44"/>
      <c r="AO26" s="41"/>
      <c r="AP26" s="38"/>
      <c r="AQ26" s="44"/>
      <c r="AR26" s="44"/>
      <c r="AS26" s="46">
        <f t="shared" ref="AS26:AS31" si="12">AH26-AN26-AQ26-AR26</f>
        <v>0</v>
      </c>
      <c r="AT26" s="41"/>
      <c r="AU26" s="48"/>
    </row>
    <row r="27" spans="1:48">
      <c r="A27" s="74" t="s">
        <v>733</v>
      </c>
      <c r="B27" s="74" t="s">
        <v>779</v>
      </c>
      <c r="C27" s="75"/>
      <c r="D27" s="81"/>
      <c r="E27" s="33" t="s">
        <v>11</v>
      </c>
      <c r="F27" s="33" t="s">
        <v>241</v>
      </c>
      <c r="G27" s="34"/>
      <c r="H27" s="35"/>
      <c r="I27" s="36"/>
      <c r="J27" s="45"/>
      <c r="K27" s="38"/>
      <c r="L27" s="38"/>
      <c r="M27" s="38"/>
      <c r="N27" s="77"/>
      <c r="O27" s="77"/>
      <c r="P27" s="38"/>
      <c r="Q27" s="38"/>
      <c r="R27" s="39"/>
      <c r="S27" s="39"/>
      <c r="T27" s="39"/>
      <c r="U27" s="39"/>
      <c r="V27" s="40"/>
      <c r="W27" s="41"/>
      <c r="X27" s="38"/>
      <c r="Y27" s="38"/>
      <c r="Z27" s="38"/>
      <c r="AA27" s="38"/>
      <c r="AB27" s="38"/>
      <c r="AC27" s="38"/>
      <c r="AD27" s="42"/>
      <c r="AE27" s="42"/>
      <c r="AF27" s="43">
        <f t="shared" si="9"/>
        <v>0</v>
      </c>
      <c r="AG27" s="43"/>
      <c r="AH27" s="44">
        <f t="shared" si="10"/>
        <v>0</v>
      </c>
      <c r="AI27" s="45"/>
      <c r="AJ27" s="41"/>
      <c r="AK27" s="38"/>
      <c r="AL27" s="38"/>
      <c r="AM27" s="40">
        <f t="shared" si="11"/>
        <v>0</v>
      </c>
      <c r="AN27" s="44"/>
      <c r="AO27" s="41"/>
      <c r="AP27" s="38"/>
      <c r="AQ27" s="44"/>
      <c r="AR27" s="44"/>
      <c r="AS27" s="46">
        <f t="shared" si="12"/>
        <v>0</v>
      </c>
      <c r="AT27" s="47"/>
      <c r="AU27" s="48"/>
    </row>
    <row r="28" spans="1:48">
      <c r="A28" s="74" t="s">
        <v>733</v>
      </c>
      <c r="B28" s="74" t="s">
        <v>779</v>
      </c>
      <c r="C28" s="75"/>
      <c r="D28" s="81"/>
      <c r="E28" s="33" t="s">
        <v>11</v>
      </c>
      <c r="F28" s="33" t="s">
        <v>242</v>
      </c>
      <c r="G28" s="34"/>
      <c r="H28" s="35"/>
      <c r="I28" s="36"/>
      <c r="J28" s="45"/>
      <c r="K28" s="38"/>
      <c r="L28" s="38"/>
      <c r="M28" s="38"/>
      <c r="N28" s="77"/>
      <c r="O28" s="77"/>
      <c r="P28" s="38"/>
      <c r="Q28" s="38"/>
      <c r="R28" s="39"/>
      <c r="S28" s="39"/>
      <c r="T28" s="39"/>
      <c r="U28" s="39"/>
      <c r="V28" s="40"/>
      <c r="W28" s="41"/>
      <c r="X28" s="38"/>
      <c r="Y28" s="38"/>
      <c r="Z28" s="38"/>
      <c r="AA28" s="38"/>
      <c r="AB28" s="38"/>
      <c r="AC28" s="38"/>
      <c r="AD28" s="42"/>
      <c r="AE28" s="42"/>
      <c r="AF28" s="43">
        <f t="shared" si="9"/>
        <v>0</v>
      </c>
      <c r="AG28" s="43"/>
      <c r="AH28" s="44">
        <f t="shared" si="10"/>
        <v>0</v>
      </c>
      <c r="AI28" s="45"/>
      <c r="AJ28" s="41"/>
      <c r="AK28" s="38"/>
      <c r="AL28" s="38"/>
      <c r="AM28" s="40">
        <f t="shared" si="11"/>
        <v>0</v>
      </c>
      <c r="AN28" s="44"/>
      <c r="AO28" s="41"/>
      <c r="AP28" s="38"/>
      <c r="AQ28" s="44"/>
      <c r="AR28" s="44"/>
      <c r="AS28" s="46">
        <f t="shared" si="12"/>
        <v>0</v>
      </c>
      <c r="AT28" s="47"/>
      <c r="AU28" s="48"/>
    </row>
    <row r="29" spans="1:48">
      <c r="A29" s="74" t="s">
        <v>733</v>
      </c>
      <c r="B29" s="74" t="s">
        <v>779</v>
      </c>
      <c r="C29" s="75"/>
      <c r="D29" s="81"/>
      <c r="E29" s="33" t="s">
        <v>11</v>
      </c>
      <c r="F29" s="33" t="s">
        <v>245</v>
      </c>
      <c r="G29" s="34"/>
      <c r="H29" s="35"/>
      <c r="I29" s="36"/>
      <c r="J29" s="45"/>
      <c r="K29" s="38"/>
      <c r="L29" s="38"/>
      <c r="M29" s="38"/>
      <c r="N29" s="77"/>
      <c r="O29" s="77"/>
      <c r="P29" s="38"/>
      <c r="Q29" s="38"/>
      <c r="R29" s="39"/>
      <c r="S29" s="39"/>
      <c r="T29" s="39"/>
      <c r="U29" s="39"/>
      <c r="V29" s="40"/>
      <c r="W29" s="41"/>
      <c r="X29" s="38"/>
      <c r="Y29" s="38"/>
      <c r="Z29" s="38"/>
      <c r="AA29" s="38"/>
      <c r="AB29" s="38"/>
      <c r="AC29" s="38"/>
      <c r="AD29" s="42"/>
      <c r="AE29" s="42"/>
      <c r="AF29" s="43">
        <f t="shared" si="9"/>
        <v>0</v>
      </c>
      <c r="AG29" s="43"/>
      <c r="AH29" s="44">
        <f t="shared" si="10"/>
        <v>0</v>
      </c>
      <c r="AI29" s="45"/>
      <c r="AJ29" s="41"/>
      <c r="AK29" s="38"/>
      <c r="AL29" s="38"/>
      <c r="AM29" s="40">
        <f t="shared" si="11"/>
        <v>0</v>
      </c>
      <c r="AN29" s="44"/>
      <c r="AO29" s="41"/>
      <c r="AP29" s="38"/>
      <c r="AQ29" s="44"/>
      <c r="AR29" s="44"/>
      <c r="AS29" s="46">
        <f t="shared" si="12"/>
        <v>0</v>
      </c>
      <c r="AT29" s="47"/>
      <c r="AU29" s="48"/>
    </row>
    <row r="30" spans="1:48">
      <c r="A30" s="74" t="s">
        <v>733</v>
      </c>
      <c r="B30" s="74" t="s">
        <v>779</v>
      </c>
      <c r="C30" s="75"/>
      <c r="D30" s="81"/>
      <c r="E30" s="33" t="s">
        <v>11</v>
      </c>
      <c r="F30" s="33" t="s">
        <v>243</v>
      </c>
      <c r="G30" s="34"/>
      <c r="H30" s="35"/>
      <c r="I30" s="36"/>
      <c r="J30" s="45"/>
      <c r="K30" s="38"/>
      <c r="L30" s="38"/>
      <c r="M30" s="38"/>
      <c r="N30" s="77"/>
      <c r="O30" s="77"/>
      <c r="P30" s="38"/>
      <c r="Q30" s="38"/>
      <c r="R30" s="39"/>
      <c r="S30" s="39"/>
      <c r="T30" s="39"/>
      <c r="U30" s="39"/>
      <c r="V30" s="40"/>
      <c r="W30" s="41"/>
      <c r="X30" s="38"/>
      <c r="Y30" s="38"/>
      <c r="Z30" s="38"/>
      <c r="AA30" s="38"/>
      <c r="AB30" s="38"/>
      <c r="AC30" s="38"/>
      <c r="AD30" s="42"/>
      <c r="AE30" s="42"/>
      <c r="AF30" s="43">
        <f t="shared" si="9"/>
        <v>0</v>
      </c>
      <c r="AG30" s="43"/>
      <c r="AH30" s="44">
        <f t="shared" si="10"/>
        <v>0</v>
      </c>
      <c r="AI30" s="45"/>
      <c r="AJ30" s="41"/>
      <c r="AK30" s="38"/>
      <c r="AL30" s="38"/>
      <c r="AM30" s="40">
        <f t="shared" si="11"/>
        <v>0</v>
      </c>
      <c r="AN30" s="44"/>
      <c r="AO30" s="41"/>
      <c r="AP30" s="38"/>
      <c r="AQ30" s="44"/>
      <c r="AR30" s="44"/>
      <c r="AS30" s="46">
        <f t="shared" si="12"/>
        <v>0</v>
      </c>
      <c r="AT30" s="47"/>
      <c r="AU30" s="48"/>
    </row>
    <row r="31" ht="17.55" spans="1:48">
      <c r="A31" s="74" t="s">
        <v>733</v>
      </c>
      <c r="B31" s="74" t="s">
        <v>779</v>
      </c>
      <c r="C31" s="75"/>
      <c r="D31" s="81"/>
      <c r="E31" s="33" t="s">
        <v>238</v>
      </c>
      <c r="F31" s="33" t="s">
        <v>248</v>
      </c>
      <c r="G31" s="82"/>
      <c r="H31" s="83"/>
      <c r="I31" s="84"/>
      <c r="J31" s="91"/>
      <c r="K31" s="85"/>
      <c r="L31" s="85"/>
      <c r="M31" s="85"/>
      <c r="N31" s="86"/>
      <c r="O31" s="86"/>
      <c r="P31" s="85"/>
      <c r="Q31" s="85"/>
      <c r="R31" s="87"/>
      <c r="S31" s="87"/>
      <c r="T31" s="87"/>
      <c r="U31" s="87"/>
      <c r="V31" s="93"/>
      <c r="W31" s="92"/>
      <c r="X31" s="85"/>
      <c r="Y31" s="85"/>
      <c r="Z31" s="85"/>
      <c r="AA31" s="85"/>
      <c r="AB31" s="85"/>
      <c r="AC31" s="85"/>
      <c r="AD31" s="88"/>
      <c r="AE31" s="88"/>
      <c r="AF31" s="89">
        <f t="shared" si="9"/>
        <v>0</v>
      </c>
      <c r="AG31" s="89"/>
      <c r="AH31" s="90">
        <f t="shared" si="10"/>
        <v>0</v>
      </c>
      <c r="AI31" s="91"/>
      <c r="AJ31" s="92"/>
      <c r="AK31" s="85"/>
      <c r="AL31" s="85"/>
      <c r="AM31" s="93">
        <f t="shared" si="11"/>
        <v>0</v>
      </c>
      <c r="AN31" s="90"/>
      <c r="AO31" s="92"/>
      <c r="AP31" s="85"/>
      <c r="AQ31" s="90"/>
      <c r="AR31" s="90"/>
      <c r="AS31" s="94">
        <f t="shared" si="12"/>
        <v>0</v>
      </c>
      <c r="AT31" s="95"/>
      <c r="AU31" s="48"/>
    </row>
    <row r="32" ht="18.3" spans="1:48">
      <c r="A32" s="74" t="s">
        <v>733</v>
      </c>
      <c r="B32" s="74" t="s">
        <v>779</v>
      </c>
      <c r="D32" s="78"/>
      <c r="E32" s="33" t="s">
        <v>193</v>
      </c>
      <c r="F32" s="33"/>
      <c r="G32" s="79"/>
      <c r="H32" s="79"/>
      <c r="I32" s="80">
        <f>SUM(I26:I31)</f>
        <v>0</v>
      </c>
      <c r="J32" s="99"/>
      <c r="K32" s="100"/>
      <c r="L32" s="100"/>
      <c r="M32" s="100"/>
      <c r="N32" s="100"/>
      <c r="O32" s="100"/>
      <c r="P32" s="100"/>
      <c r="Q32" s="100"/>
      <c r="R32" s="101"/>
      <c r="S32" s="101"/>
      <c r="T32" s="101"/>
      <c r="U32" s="101"/>
      <c r="V32" s="102">
        <f>SUM(V26:V31)</f>
        <v>0</v>
      </c>
      <c r="W32" s="103"/>
      <c r="X32" s="100"/>
      <c r="Y32" s="100"/>
      <c r="Z32" s="100"/>
      <c r="AA32" s="100"/>
      <c r="AB32" s="100"/>
      <c r="AC32" s="100"/>
      <c r="AD32" s="104"/>
      <c r="AE32" s="104"/>
      <c r="AF32" s="105"/>
      <c r="AG32" s="105">
        <f t="shared" ref="AG32:AS32" si="13">SUM(AG26:AG31)</f>
        <v>0</v>
      </c>
      <c r="AH32" s="106">
        <f t="shared" si="13"/>
        <v>0</v>
      </c>
      <c r="AI32" s="99">
        <f t="shared" si="13"/>
        <v>0</v>
      </c>
      <c r="AJ32" s="103">
        <f t="shared" si="13"/>
        <v>0</v>
      </c>
      <c r="AK32" s="100">
        <f t="shared" si="13"/>
        <v>0</v>
      </c>
      <c r="AL32" s="100">
        <f t="shared" si="13"/>
        <v>0</v>
      </c>
      <c r="AM32" s="102">
        <f t="shared" si="13"/>
        <v>0</v>
      </c>
      <c r="AN32" s="106">
        <f t="shared" si="13"/>
        <v>0</v>
      </c>
      <c r="AO32" s="103">
        <f t="shared" si="13"/>
        <v>0</v>
      </c>
      <c r="AP32" s="100">
        <f t="shared" si="13"/>
        <v>0</v>
      </c>
      <c r="AQ32" s="106">
        <f t="shared" si="13"/>
        <v>0</v>
      </c>
      <c r="AR32" s="106">
        <f t="shared" si="13"/>
        <v>0</v>
      </c>
      <c r="AS32" s="102">
        <f t="shared" si="13"/>
        <v>0</v>
      </c>
      <c r="AT32" s="103"/>
      <c r="AU32" s="102">
        <f>SUM(AU26:AU31)</f>
        <v>0</v>
      </c>
    </row>
    <row r="33" ht="17.55" spans="1:48">
      <c r="A33" s="74" t="s">
        <v>733</v>
      </c>
      <c r="B33" s="74" t="s">
        <v>779</v>
      </c>
      <c r="C33" s="75"/>
      <c r="D33" s="107" t="s">
        <v>249</v>
      </c>
      <c r="E33" s="33" t="s">
        <v>3030</v>
      </c>
      <c r="F33" s="33" t="s">
        <v>3029</v>
      </c>
      <c r="G33" s="97"/>
      <c r="H33" s="35"/>
      <c r="I33" s="36"/>
      <c r="J33" s="37"/>
      <c r="K33" s="38"/>
      <c r="L33" s="38"/>
      <c r="M33" s="38"/>
      <c r="N33" s="38"/>
      <c r="O33" s="38"/>
      <c r="P33" s="38"/>
      <c r="Q33" s="38"/>
      <c r="R33" s="39"/>
      <c r="S33" s="39"/>
      <c r="T33" s="39"/>
      <c r="U33" s="39"/>
      <c r="V33" s="98">
        <f t="shared" ref="V33:V38" si="14">SUM(J33:U33)</f>
        <v>0</v>
      </c>
      <c r="W33" s="41"/>
      <c r="X33" s="38"/>
      <c r="Y33" s="38"/>
      <c r="Z33" s="38"/>
      <c r="AA33" s="38"/>
      <c r="AB33" s="38"/>
      <c r="AC33" s="38"/>
      <c r="AD33" s="42"/>
      <c r="AE33" s="42"/>
      <c r="AF33" s="43">
        <f t="shared" ref="AF33:AF38" si="15">SUM(W33:AE33)</f>
        <v>0</v>
      </c>
      <c r="AG33" s="43"/>
      <c r="AH33" s="44">
        <f t="shared" ref="AH33:AH38" si="16">AG33</f>
        <v>0</v>
      </c>
      <c r="AI33" s="37"/>
      <c r="AJ33" s="41"/>
      <c r="AK33" s="38"/>
      <c r="AL33" s="38"/>
      <c r="AM33" s="98">
        <f t="shared" ref="AM33:AM38" si="17">AH33+AI33-AK33-AL33</f>
        <v>0</v>
      </c>
      <c r="AN33" s="44"/>
      <c r="AO33" s="41"/>
      <c r="AP33" s="38"/>
      <c r="AQ33" s="44"/>
      <c r="AR33" s="44"/>
      <c r="AS33" s="46">
        <f t="shared" ref="AS33:AS38" si="18">AH33-AN33-AQ33-AR33</f>
        <v>0</v>
      </c>
      <c r="AT33" s="41"/>
      <c r="AU33" s="48"/>
    </row>
    <row r="34" spans="1:48">
      <c r="A34" s="74" t="s">
        <v>733</v>
      </c>
      <c r="B34" s="74" t="s">
        <v>779</v>
      </c>
      <c r="C34" s="75"/>
      <c r="D34" s="81"/>
      <c r="E34" s="33" t="s">
        <v>11</v>
      </c>
      <c r="F34" s="33" t="s">
        <v>250</v>
      </c>
      <c r="G34" s="34"/>
      <c r="H34" s="35"/>
      <c r="I34" s="36"/>
      <c r="J34" s="45"/>
      <c r="K34" s="38"/>
      <c r="L34" s="38"/>
      <c r="M34" s="38"/>
      <c r="N34" s="77"/>
      <c r="O34" s="77"/>
      <c r="P34" s="38"/>
      <c r="Q34" s="38"/>
      <c r="R34" s="39"/>
      <c r="S34" s="39"/>
      <c r="T34" s="39"/>
      <c r="U34" s="39"/>
      <c r="V34" s="40">
        <f t="shared" si="14"/>
        <v>0</v>
      </c>
      <c r="W34" s="41"/>
      <c r="X34" s="38"/>
      <c r="Y34" s="38"/>
      <c r="Z34" s="38"/>
      <c r="AA34" s="38"/>
      <c r="AB34" s="38"/>
      <c r="AC34" s="38"/>
      <c r="AD34" s="42"/>
      <c r="AE34" s="42"/>
      <c r="AF34" s="43">
        <f t="shared" si="15"/>
        <v>0</v>
      </c>
      <c r="AG34" s="43"/>
      <c r="AH34" s="44">
        <f t="shared" si="16"/>
        <v>0</v>
      </c>
      <c r="AI34" s="45"/>
      <c r="AJ34" s="41"/>
      <c r="AK34" s="38"/>
      <c r="AL34" s="38"/>
      <c r="AM34" s="40">
        <f t="shared" si="17"/>
        <v>0</v>
      </c>
      <c r="AN34" s="44"/>
      <c r="AO34" s="41"/>
      <c r="AP34" s="38"/>
      <c r="AQ34" s="44"/>
      <c r="AR34" s="44"/>
      <c r="AS34" s="46">
        <f t="shared" si="18"/>
        <v>0</v>
      </c>
      <c r="AT34" s="47"/>
      <c r="AU34" s="48"/>
    </row>
    <row r="35" spans="1:48">
      <c r="A35" s="74" t="s">
        <v>733</v>
      </c>
      <c r="B35" s="74" t="s">
        <v>779</v>
      </c>
      <c r="C35" s="75"/>
      <c r="D35" s="81"/>
      <c r="E35" s="33" t="s">
        <v>11</v>
      </c>
      <c r="F35" s="33" t="s">
        <v>251</v>
      </c>
      <c r="G35" s="34"/>
      <c r="H35" s="35"/>
      <c r="I35" s="36"/>
      <c r="J35" s="45"/>
      <c r="K35" s="38"/>
      <c r="L35" s="38"/>
      <c r="M35" s="38"/>
      <c r="N35" s="77"/>
      <c r="O35" s="77"/>
      <c r="P35" s="38"/>
      <c r="Q35" s="38"/>
      <c r="R35" s="39"/>
      <c r="S35" s="39"/>
      <c r="T35" s="39"/>
      <c r="U35" s="39"/>
      <c r="V35" s="40">
        <f t="shared" si="14"/>
        <v>0</v>
      </c>
      <c r="W35" s="41"/>
      <c r="X35" s="38"/>
      <c r="Y35" s="38"/>
      <c r="Z35" s="38"/>
      <c r="AA35" s="38"/>
      <c r="AB35" s="38"/>
      <c r="AC35" s="38"/>
      <c r="AD35" s="42"/>
      <c r="AE35" s="42"/>
      <c r="AF35" s="43">
        <f t="shared" si="15"/>
        <v>0</v>
      </c>
      <c r="AG35" s="43"/>
      <c r="AH35" s="44">
        <f t="shared" si="16"/>
        <v>0</v>
      </c>
      <c r="AI35" s="45"/>
      <c r="AJ35" s="41"/>
      <c r="AK35" s="38"/>
      <c r="AL35" s="38"/>
      <c r="AM35" s="40">
        <f t="shared" si="17"/>
        <v>0</v>
      </c>
      <c r="AN35" s="44"/>
      <c r="AO35" s="41"/>
      <c r="AP35" s="38"/>
      <c r="AQ35" s="44"/>
      <c r="AR35" s="44"/>
      <c r="AS35" s="46">
        <f t="shared" si="18"/>
        <v>0</v>
      </c>
      <c r="AT35" s="47"/>
      <c r="AU35" s="48"/>
      <c r="AV35" s="49"/>
    </row>
    <row r="36" spans="1:48">
      <c r="A36" s="74" t="s">
        <v>733</v>
      </c>
      <c r="B36" s="74" t="s">
        <v>779</v>
      </c>
      <c r="C36" s="75"/>
      <c r="D36" s="81"/>
      <c r="E36" s="33" t="s">
        <v>11</v>
      </c>
      <c r="F36" s="49" t="s">
        <v>252</v>
      </c>
      <c r="G36" s="34"/>
      <c r="H36" s="35"/>
      <c r="I36" s="36"/>
      <c r="J36" s="45"/>
      <c r="K36" s="38"/>
      <c r="L36" s="38"/>
      <c r="M36" s="38"/>
      <c r="N36" s="77"/>
      <c r="O36" s="77"/>
      <c r="P36" s="38"/>
      <c r="Q36" s="38"/>
      <c r="R36" s="39"/>
      <c r="S36" s="39"/>
      <c r="T36" s="39"/>
      <c r="U36" s="39"/>
      <c r="V36" s="40">
        <f t="shared" si="14"/>
        <v>0</v>
      </c>
      <c r="W36" s="41"/>
      <c r="X36" s="38"/>
      <c r="Y36" s="38"/>
      <c r="Z36" s="38"/>
      <c r="AA36" s="38"/>
      <c r="AB36" s="38"/>
      <c r="AC36" s="38"/>
      <c r="AD36" s="42"/>
      <c r="AE36" s="42"/>
      <c r="AF36" s="43">
        <f t="shared" si="15"/>
        <v>0</v>
      </c>
      <c r="AG36" s="43"/>
      <c r="AH36" s="44">
        <f t="shared" si="16"/>
        <v>0</v>
      </c>
      <c r="AI36" s="45"/>
      <c r="AJ36" s="41"/>
      <c r="AK36" s="38"/>
      <c r="AL36" s="38"/>
      <c r="AM36" s="40">
        <f t="shared" si="17"/>
        <v>0</v>
      </c>
      <c r="AN36" s="44"/>
      <c r="AO36" s="41"/>
      <c r="AP36" s="38"/>
      <c r="AQ36" s="44"/>
      <c r="AR36" s="44"/>
      <c r="AS36" s="46">
        <f t="shared" si="18"/>
        <v>0</v>
      </c>
      <c r="AT36" s="47"/>
      <c r="AU36" s="48"/>
    </row>
    <row r="37" spans="1:48">
      <c r="A37" s="74" t="s">
        <v>733</v>
      </c>
      <c r="B37" s="74" t="s">
        <v>779</v>
      </c>
      <c r="C37" s="75"/>
      <c r="D37" s="81"/>
      <c r="E37" s="33"/>
      <c r="F37" s="33" t="s">
        <v>236</v>
      </c>
      <c r="G37" s="82"/>
      <c r="H37" s="35"/>
      <c r="I37" s="36"/>
      <c r="J37" s="91"/>
      <c r="K37" s="85"/>
      <c r="L37" s="85"/>
      <c r="M37" s="85"/>
      <c r="N37" s="86"/>
      <c r="O37" s="86"/>
      <c r="P37" s="85"/>
      <c r="Q37" s="85"/>
      <c r="R37" s="87"/>
      <c r="S37" s="87"/>
      <c r="T37" s="87"/>
      <c r="U37" s="87"/>
      <c r="V37" s="93">
        <f t="shared" si="14"/>
        <v>0</v>
      </c>
      <c r="W37" s="92"/>
      <c r="X37" s="85"/>
      <c r="Y37" s="85"/>
      <c r="Z37" s="85"/>
      <c r="AA37" s="85"/>
      <c r="AB37" s="85"/>
      <c r="AC37" s="85"/>
      <c r="AD37" s="88"/>
      <c r="AE37" s="88"/>
      <c r="AF37" s="89">
        <f t="shared" si="15"/>
        <v>0</v>
      </c>
      <c r="AG37" s="43"/>
      <c r="AH37" s="44">
        <f t="shared" si="16"/>
        <v>0</v>
      </c>
      <c r="AI37" s="91"/>
      <c r="AJ37" s="92"/>
      <c r="AK37" s="85"/>
      <c r="AL37" s="85"/>
      <c r="AM37" s="40">
        <f t="shared" si="17"/>
        <v>0</v>
      </c>
      <c r="AN37" s="90"/>
      <c r="AO37" s="92"/>
      <c r="AP37" s="85"/>
      <c r="AQ37" s="90"/>
      <c r="AR37" s="90"/>
      <c r="AS37" s="46">
        <f t="shared" si="18"/>
        <v>0</v>
      </c>
      <c r="AT37" s="47"/>
      <c r="AU37" s="48"/>
    </row>
    <row r="38" ht="17.55" spans="1:48">
      <c r="A38" s="74" t="s">
        <v>733</v>
      </c>
      <c r="B38" s="74" t="s">
        <v>779</v>
      </c>
      <c r="C38" s="75"/>
      <c r="D38" s="81"/>
      <c r="E38" s="33" t="s">
        <v>238</v>
      </c>
      <c r="F38" s="33" t="s">
        <v>253</v>
      </c>
      <c r="G38" s="82"/>
      <c r="H38" s="35"/>
      <c r="I38" s="36"/>
      <c r="J38" s="91"/>
      <c r="K38" s="85"/>
      <c r="L38" s="85"/>
      <c r="M38" s="85"/>
      <c r="N38" s="86"/>
      <c r="O38" s="86"/>
      <c r="P38" s="85"/>
      <c r="Q38" s="85"/>
      <c r="R38" s="87"/>
      <c r="S38" s="87"/>
      <c r="T38" s="87"/>
      <c r="U38" s="87"/>
      <c r="V38" s="93">
        <f t="shared" si="14"/>
        <v>0</v>
      </c>
      <c r="W38" s="92"/>
      <c r="X38" s="85"/>
      <c r="Y38" s="85"/>
      <c r="Z38" s="85"/>
      <c r="AA38" s="85"/>
      <c r="AB38" s="85"/>
      <c r="AC38" s="85"/>
      <c r="AD38" s="88"/>
      <c r="AE38" s="88"/>
      <c r="AF38" s="89">
        <f t="shared" si="15"/>
        <v>0</v>
      </c>
      <c r="AG38" s="89"/>
      <c r="AH38" s="90">
        <f t="shared" si="16"/>
        <v>0</v>
      </c>
      <c r="AI38" s="91"/>
      <c r="AJ38" s="92"/>
      <c r="AK38" s="85"/>
      <c r="AL38" s="85"/>
      <c r="AM38" s="93">
        <f t="shared" si="17"/>
        <v>0</v>
      </c>
      <c r="AN38" s="90"/>
      <c r="AO38" s="92"/>
      <c r="AP38" s="85"/>
      <c r="AQ38" s="90"/>
      <c r="AR38" s="90"/>
      <c r="AS38" s="46">
        <f t="shared" si="18"/>
        <v>0</v>
      </c>
      <c r="AT38" s="47"/>
      <c r="AU38" s="48"/>
      <c r="AV38" s="49"/>
    </row>
    <row r="39" ht="18.3" spans="1:48">
      <c r="A39" s="74" t="s">
        <v>733</v>
      </c>
      <c r="B39" s="74" t="s">
        <v>779</v>
      </c>
      <c r="D39" s="78"/>
      <c r="E39" s="33" t="s">
        <v>193</v>
      </c>
      <c r="F39" s="79">
        <f t="shared" ref="F39:W39" si="19">SUM(F33:F38)</f>
        <v>0</v>
      </c>
      <c r="G39" s="79">
        <f t="shared" si="19"/>
        <v>0</v>
      </c>
      <c r="H39" s="79">
        <f t="shared" si="19"/>
        <v>0</v>
      </c>
      <c r="I39" s="79">
        <f t="shared" si="19"/>
        <v>0</v>
      </c>
      <c r="J39" s="100">
        <f t="shared" si="19"/>
        <v>0</v>
      </c>
      <c r="K39" s="100">
        <f t="shared" si="19"/>
        <v>0</v>
      </c>
      <c r="L39" s="100">
        <f t="shared" si="19"/>
        <v>0</v>
      </c>
      <c r="M39" s="100">
        <f t="shared" si="19"/>
        <v>0</v>
      </c>
      <c r="N39" s="100">
        <f t="shared" si="19"/>
        <v>0</v>
      </c>
      <c r="O39" s="100">
        <f t="shared" si="19"/>
        <v>0</v>
      </c>
      <c r="P39" s="100">
        <f t="shared" si="19"/>
        <v>0</v>
      </c>
      <c r="Q39" s="100">
        <f t="shared" si="19"/>
        <v>0</v>
      </c>
      <c r="R39" s="100">
        <f t="shared" si="19"/>
        <v>0</v>
      </c>
      <c r="S39" s="100">
        <f t="shared" si="19"/>
        <v>0</v>
      </c>
      <c r="T39" s="100">
        <f t="shared" si="19"/>
        <v>0</v>
      </c>
      <c r="U39" s="100">
        <f t="shared" si="19"/>
        <v>0</v>
      </c>
      <c r="V39" s="100">
        <f t="shared" si="19"/>
        <v>0</v>
      </c>
      <c r="W39" s="103">
        <f t="shared" si="19"/>
        <v>0</v>
      </c>
      <c r="X39" s="100"/>
      <c r="Y39" s="100"/>
      <c r="Z39" s="100"/>
      <c r="AA39" s="100"/>
      <c r="AB39" s="100"/>
      <c r="AC39" s="100"/>
      <c r="AD39" s="104"/>
      <c r="AE39" s="104"/>
      <c r="AF39" s="105">
        <f t="shared" ref="AF39:AS39" si="20">SUM(AF33:AF38)</f>
        <v>0</v>
      </c>
      <c r="AG39" s="105">
        <f t="shared" si="20"/>
        <v>0</v>
      </c>
      <c r="AH39" s="106">
        <f t="shared" si="20"/>
        <v>0</v>
      </c>
      <c r="AI39" s="99">
        <f t="shared" si="20"/>
        <v>0</v>
      </c>
      <c r="AJ39" s="103">
        <f t="shared" si="20"/>
        <v>0</v>
      </c>
      <c r="AK39" s="100">
        <f t="shared" si="20"/>
        <v>0</v>
      </c>
      <c r="AL39" s="100">
        <f t="shared" si="20"/>
        <v>0</v>
      </c>
      <c r="AM39" s="102">
        <f t="shared" si="20"/>
        <v>0</v>
      </c>
      <c r="AN39" s="106">
        <f t="shared" si="20"/>
        <v>0</v>
      </c>
      <c r="AO39" s="103">
        <f t="shared" si="20"/>
        <v>0</v>
      </c>
      <c r="AP39" s="100">
        <f t="shared" si="20"/>
        <v>0</v>
      </c>
      <c r="AQ39" s="106">
        <f t="shared" si="20"/>
        <v>0</v>
      </c>
      <c r="AR39" s="106">
        <f t="shared" si="20"/>
        <v>0</v>
      </c>
      <c r="AS39" s="102">
        <f t="shared" si="20"/>
        <v>0</v>
      </c>
      <c r="AT39" s="103"/>
      <c r="AU39" s="102">
        <f>SUM(AU33:AU38)</f>
        <v>0</v>
      </c>
    </row>
    <row r="40" ht="17.55" spans="1:48">
      <c r="A40" s="74" t="s">
        <v>733</v>
      </c>
      <c r="B40" s="74" t="s">
        <v>779</v>
      </c>
      <c r="C40" s="75"/>
      <c r="D40" s="108" t="s">
        <v>667</v>
      </c>
      <c r="E40" s="33" t="s">
        <v>3101</v>
      </c>
      <c r="F40" s="33" t="s">
        <v>3025</v>
      </c>
      <c r="G40" s="97"/>
      <c r="H40" s="35"/>
      <c r="I40" s="36"/>
      <c r="J40" s="37"/>
      <c r="K40" s="38"/>
      <c r="L40" s="38"/>
      <c r="M40" s="38"/>
      <c r="N40" s="38"/>
      <c r="O40" s="38"/>
      <c r="P40" s="38"/>
      <c r="Q40" s="38"/>
      <c r="R40" s="39"/>
      <c r="S40" s="39"/>
      <c r="T40" s="39"/>
      <c r="U40" s="39"/>
      <c r="V40" s="98">
        <f t="shared" ref="V40:V48" si="21">SUM(J40:U40)</f>
        <v>0</v>
      </c>
      <c r="W40" s="41"/>
      <c r="X40" s="38"/>
      <c r="Y40" s="38"/>
      <c r="Z40" s="38"/>
      <c r="AA40" s="38"/>
      <c r="AB40" s="38"/>
      <c r="AC40" s="38"/>
      <c r="AD40" s="42"/>
      <c r="AE40" s="42"/>
      <c r="AF40" s="43">
        <f t="shared" ref="AF40:AF46" si="22">SUM(W40:AE40)</f>
        <v>0</v>
      </c>
      <c r="AG40" s="43"/>
      <c r="AH40" s="44">
        <f t="shared" ref="AH40:AH48" si="23">AG40</f>
        <v>0</v>
      </c>
      <c r="AI40" s="37"/>
      <c r="AJ40" s="41"/>
      <c r="AK40" s="38"/>
      <c r="AL40" s="38"/>
      <c r="AM40" s="98">
        <f t="shared" ref="AM40:AM48" si="24">AH40+AI40-AK40-AL40</f>
        <v>0</v>
      </c>
      <c r="AN40" s="44"/>
      <c r="AO40" s="41"/>
      <c r="AP40" s="38"/>
      <c r="AQ40" s="44"/>
      <c r="AR40" s="44"/>
      <c r="AS40" s="46">
        <f t="shared" ref="AS40:AS48" si="25">AH40-AN40-AQ40-AR40</f>
        <v>0</v>
      </c>
      <c r="AT40" s="41"/>
      <c r="AU40" s="48"/>
    </row>
    <row r="41" ht="9.9" customHeight="1" spans="1:48">
      <c r="A41" s="74" t="s">
        <v>733</v>
      </c>
      <c r="B41" s="74" t="s">
        <v>779</v>
      </c>
      <c r="C41" s="75"/>
      <c r="D41" s="81"/>
      <c r="E41" s="33" t="s">
        <v>11</v>
      </c>
      <c r="F41" s="33" t="s">
        <v>260</v>
      </c>
      <c r="G41" s="34"/>
      <c r="H41" s="35"/>
      <c r="I41" s="36"/>
      <c r="J41" s="45"/>
      <c r="K41" s="38"/>
      <c r="L41" s="38"/>
      <c r="M41" s="38"/>
      <c r="N41" s="77"/>
      <c r="O41" s="77"/>
      <c r="P41" s="38"/>
      <c r="Q41" s="38"/>
      <c r="R41" s="39"/>
      <c r="S41" s="39"/>
      <c r="T41" s="39"/>
      <c r="U41" s="39"/>
      <c r="V41" s="40">
        <f t="shared" si="21"/>
        <v>0</v>
      </c>
      <c r="W41" s="41"/>
      <c r="X41" s="38"/>
      <c r="Y41" s="38"/>
      <c r="Z41" s="38"/>
      <c r="AA41" s="38"/>
      <c r="AB41" s="38"/>
      <c r="AC41" s="38"/>
      <c r="AD41" s="42"/>
      <c r="AE41" s="42"/>
      <c r="AF41" s="43">
        <f t="shared" si="22"/>
        <v>0</v>
      </c>
      <c r="AG41" s="43"/>
      <c r="AH41" s="44">
        <f t="shared" si="23"/>
        <v>0</v>
      </c>
      <c r="AI41" s="45"/>
      <c r="AJ41" s="41"/>
      <c r="AK41" s="38"/>
      <c r="AL41" s="38"/>
      <c r="AM41" s="98">
        <f t="shared" si="24"/>
        <v>0</v>
      </c>
      <c r="AN41" s="44"/>
      <c r="AO41" s="41"/>
      <c r="AP41" s="38"/>
      <c r="AQ41" s="44"/>
      <c r="AR41" s="44"/>
      <c r="AS41" s="46">
        <f t="shared" si="25"/>
        <v>0</v>
      </c>
      <c r="AT41" s="47"/>
      <c r="AU41" s="48"/>
    </row>
    <row r="42" spans="1:48">
      <c r="A42" s="74" t="s">
        <v>733</v>
      </c>
      <c r="B42" s="74" t="s">
        <v>779</v>
      </c>
      <c r="C42" s="75"/>
      <c r="D42" s="81"/>
      <c r="E42" s="33" t="s">
        <v>11</v>
      </c>
      <c r="F42" s="33" t="s">
        <v>257</v>
      </c>
      <c r="G42" s="34"/>
      <c r="H42" s="35"/>
      <c r="I42" s="36"/>
      <c r="J42" s="45"/>
      <c r="K42" s="38"/>
      <c r="L42" s="38"/>
      <c r="M42" s="38"/>
      <c r="N42" s="77"/>
      <c r="O42" s="77"/>
      <c r="P42" s="38"/>
      <c r="Q42" s="38"/>
      <c r="R42" s="39"/>
      <c r="S42" s="39"/>
      <c r="T42" s="39"/>
      <c r="U42" s="39"/>
      <c r="V42" s="40">
        <f t="shared" si="21"/>
        <v>0</v>
      </c>
      <c r="W42" s="41"/>
      <c r="X42" s="38"/>
      <c r="Y42" s="38"/>
      <c r="Z42" s="38"/>
      <c r="AA42" s="38"/>
      <c r="AB42" s="38"/>
      <c r="AC42" s="38"/>
      <c r="AD42" s="42"/>
      <c r="AE42" s="42"/>
      <c r="AF42" s="43">
        <f t="shared" si="22"/>
        <v>0</v>
      </c>
      <c r="AG42" s="43"/>
      <c r="AH42" s="44">
        <f t="shared" si="23"/>
        <v>0</v>
      </c>
      <c r="AI42" s="45"/>
      <c r="AJ42" s="41"/>
      <c r="AK42" s="38"/>
      <c r="AL42" s="38"/>
      <c r="AM42" s="98">
        <f t="shared" si="24"/>
        <v>0</v>
      </c>
      <c r="AN42" s="44"/>
      <c r="AO42" s="41"/>
      <c r="AP42" s="38"/>
      <c r="AQ42" s="44"/>
      <c r="AR42" s="44"/>
      <c r="AS42" s="46">
        <f t="shared" si="25"/>
        <v>0</v>
      </c>
      <c r="AT42" s="47"/>
      <c r="AU42" s="48"/>
    </row>
    <row r="43" spans="1:48">
      <c r="A43" s="74" t="s">
        <v>733</v>
      </c>
      <c r="B43" s="74" t="s">
        <v>779</v>
      </c>
      <c r="C43" s="75"/>
      <c r="D43" s="81"/>
      <c r="E43" s="33" t="s">
        <v>11</v>
      </c>
      <c r="F43" s="33" t="s">
        <v>3124</v>
      </c>
      <c r="G43" s="34"/>
      <c r="H43" s="35"/>
      <c r="I43" s="36"/>
      <c r="J43" s="45"/>
      <c r="K43" s="38"/>
      <c r="L43" s="38"/>
      <c r="M43" s="38"/>
      <c r="N43" s="77"/>
      <c r="O43" s="77"/>
      <c r="P43" s="38"/>
      <c r="Q43" s="38"/>
      <c r="R43" s="39"/>
      <c r="S43" s="39"/>
      <c r="T43" s="39"/>
      <c r="U43" s="39"/>
      <c r="V43" s="40">
        <f t="shared" si="21"/>
        <v>0</v>
      </c>
      <c r="W43" s="41"/>
      <c r="X43" s="38"/>
      <c r="Y43" s="38"/>
      <c r="Z43" s="38"/>
      <c r="AA43" s="38"/>
      <c r="AB43" s="38"/>
      <c r="AC43" s="38"/>
      <c r="AD43" s="42"/>
      <c r="AE43" s="42"/>
      <c r="AF43" s="43">
        <f t="shared" si="22"/>
        <v>0</v>
      </c>
      <c r="AG43" s="43"/>
      <c r="AH43" s="44">
        <f t="shared" si="23"/>
        <v>0</v>
      </c>
      <c r="AI43" s="45"/>
      <c r="AJ43" s="41"/>
      <c r="AK43" s="38"/>
      <c r="AL43" s="38"/>
      <c r="AM43" s="98">
        <f t="shared" si="24"/>
        <v>0</v>
      </c>
      <c r="AN43" s="44"/>
      <c r="AO43" s="41"/>
      <c r="AP43" s="38"/>
      <c r="AQ43" s="44"/>
      <c r="AR43" s="44"/>
      <c r="AS43" s="46">
        <f t="shared" si="25"/>
        <v>0</v>
      </c>
      <c r="AT43" s="47"/>
      <c r="AU43" s="48"/>
    </row>
    <row r="44" spans="1:48">
      <c r="A44" s="74" t="s">
        <v>733</v>
      </c>
      <c r="B44" s="74" t="s">
        <v>779</v>
      </c>
      <c r="C44" s="75"/>
      <c r="D44" s="81"/>
      <c r="E44" s="33" t="s">
        <v>11</v>
      </c>
      <c r="F44" s="33" t="s">
        <v>259</v>
      </c>
      <c r="G44" s="34"/>
      <c r="H44" s="35"/>
      <c r="I44" s="36"/>
      <c r="J44" s="45"/>
      <c r="K44" s="38"/>
      <c r="L44" s="38"/>
      <c r="M44" s="38"/>
      <c r="N44" s="77"/>
      <c r="O44" s="77"/>
      <c r="P44" s="38"/>
      <c r="Q44" s="38"/>
      <c r="R44" s="39"/>
      <c r="S44" s="39"/>
      <c r="T44" s="39"/>
      <c r="U44" s="39"/>
      <c r="V44" s="40">
        <f t="shared" si="21"/>
        <v>0</v>
      </c>
      <c r="W44" s="41"/>
      <c r="X44" s="38"/>
      <c r="Y44" s="38"/>
      <c r="Z44" s="38"/>
      <c r="AA44" s="38"/>
      <c r="AB44" s="38"/>
      <c r="AC44" s="38"/>
      <c r="AD44" s="42"/>
      <c r="AE44" s="42"/>
      <c r="AF44" s="43">
        <f t="shared" si="22"/>
        <v>0</v>
      </c>
      <c r="AG44" s="43"/>
      <c r="AH44" s="44">
        <f t="shared" si="23"/>
        <v>0</v>
      </c>
      <c r="AI44" s="45"/>
      <c r="AJ44" s="41"/>
      <c r="AK44" s="38"/>
      <c r="AL44" s="38"/>
      <c r="AM44" s="98">
        <f t="shared" si="24"/>
        <v>0</v>
      </c>
      <c r="AN44" s="44"/>
      <c r="AO44" s="41"/>
      <c r="AP44" s="38"/>
      <c r="AQ44" s="44"/>
      <c r="AR44" s="44"/>
      <c r="AS44" s="46">
        <f t="shared" si="25"/>
        <v>0</v>
      </c>
      <c r="AT44" s="47"/>
      <c r="AU44" s="48"/>
    </row>
    <row r="45" spans="1:48">
      <c r="A45" s="74" t="s">
        <v>733</v>
      </c>
      <c r="B45" s="74" t="s">
        <v>779</v>
      </c>
      <c r="C45" s="75"/>
      <c r="D45" s="81"/>
      <c r="E45" s="33" t="s">
        <v>11</v>
      </c>
      <c r="F45" s="33" t="s">
        <v>256</v>
      </c>
      <c r="G45" s="34"/>
      <c r="H45" s="35"/>
      <c r="I45" s="36"/>
      <c r="J45" s="45"/>
      <c r="K45" s="38"/>
      <c r="L45" s="38"/>
      <c r="M45" s="38"/>
      <c r="N45" s="77"/>
      <c r="O45" s="77"/>
      <c r="P45" s="38"/>
      <c r="Q45" s="38"/>
      <c r="R45" s="39"/>
      <c r="S45" s="39"/>
      <c r="T45" s="39"/>
      <c r="U45" s="39"/>
      <c r="V45" s="40">
        <f t="shared" si="21"/>
        <v>0</v>
      </c>
      <c r="W45" s="41"/>
      <c r="X45" s="38"/>
      <c r="Y45" s="38"/>
      <c r="Z45" s="38"/>
      <c r="AA45" s="38"/>
      <c r="AB45" s="38"/>
      <c r="AC45" s="38"/>
      <c r="AD45" s="42"/>
      <c r="AE45" s="42"/>
      <c r="AF45" s="43">
        <f t="shared" si="22"/>
        <v>0</v>
      </c>
      <c r="AG45" s="43"/>
      <c r="AH45" s="44">
        <f t="shared" si="23"/>
        <v>0</v>
      </c>
      <c r="AI45" s="45"/>
      <c r="AJ45" s="41"/>
      <c r="AK45" s="38"/>
      <c r="AL45" s="38"/>
      <c r="AM45" s="98">
        <f t="shared" si="24"/>
        <v>0</v>
      </c>
      <c r="AN45" s="44"/>
      <c r="AO45" s="41"/>
      <c r="AP45" s="38"/>
      <c r="AQ45" s="44"/>
      <c r="AR45" s="44"/>
      <c r="AS45" s="46">
        <f t="shared" si="25"/>
        <v>0</v>
      </c>
      <c r="AT45" s="47"/>
      <c r="AU45" s="48"/>
      <c r="AV45" s="49"/>
    </row>
    <row r="46" spans="1:48">
      <c r="A46" s="74" t="s">
        <v>733</v>
      </c>
      <c r="B46" s="74" t="s">
        <v>779</v>
      </c>
      <c r="C46" s="75"/>
      <c r="D46" s="81"/>
      <c r="E46" s="33"/>
      <c r="F46" s="33" t="s">
        <v>236</v>
      </c>
      <c r="G46" s="34"/>
      <c r="H46" s="35"/>
      <c r="I46" s="36"/>
      <c r="J46" s="45"/>
      <c r="K46" s="38"/>
      <c r="L46" s="38"/>
      <c r="M46" s="38"/>
      <c r="N46" s="77"/>
      <c r="O46" s="77"/>
      <c r="P46" s="38"/>
      <c r="Q46" s="38"/>
      <c r="R46" s="39"/>
      <c r="S46" s="39"/>
      <c r="T46" s="39"/>
      <c r="U46" s="39"/>
      <c r="V46" s="40">
        <f t="shared" si="21"/>
        <v>0</v>
      </c>
      <c r="W46" s="41"/>
      <c r="X46" s="38"/>
      <c r="Y46" s="38"/>
      <c r="Z46" s="38"/>
      <c r="AA46" s="38"/>
      <c r="AB46" s="38"/>
      <c r="AC46" s="38"/>
      <c r="AD46" s="42"/>
      <c r="AE46" s="42"/>
      <c r="AF46" s="43">
        <f t="shared" si="22"/>
        <v>0</v>
      </c>
      <c r="AG46" s="43"/>
      <c r="AH46" s="44">
        <f t="shared" si="23"/>
        <v>0</v>
      </c>
      <c r="AI46" s="45"/>
      <c r="AJ46" s="41"/>
      <c r="AK46" s="38"/>
      <c r="AL46" s="38"/>
      <c r="AM46" s="98">
        <f t="shared" si="24"/>
        <v>0</v>
      </c>
      <c r="AN46" s="44"/>
      <c r="AO46" s="41"/>
      <c r="AP46" s="38"/>
      <c r="AQ46" s="44"/>
      <c r="AR46" s="44"/>
      <c r="AS46" s="46">
        <f t="shared" si="25"/>
        <v>0</v>
      </c>
      <c r="AT46" s="47"/>
      <c r="AU46" s="48"/>
    </row>
    <row r="47" spans="1:48">
      <c r="A47" s="74"/>
      <c r="B47" s="74"/>
      <c r="C47" s="75"/>
      <c r="D47" s="81"/>
      <c r="E47" s="33" t="s">
        <v>2971</v>
      </c>
      <c r="F47" s="33" t="s">
        <v>258</v>
      </c>
      <c r="G47" s="82"/>
      <c r="H47" s="35"/>
      <c r="I47" s="36"/>
      <c r="J47" s="45"/>
      <c r="K47" s="38"/>
      <c r="L47" s="38"/>
      <c r="M47" s="38"/>
      <c r="N47" s="77"/>
      <c r="O47" s="77"/>
      <c r="P47" s="38"/>
      <c r="Q47" s="38"/>
      <c r="R47" s="39"/>
      <c r="S47" s="39"/>
      <c r="T47" s="39"/>
      <c r="U47" s="39"/>
      <c r="V47" s="40">
        <f t="shared" si="21"/>
        <v>0</v>
      </c>
      <c r="W47" s="92"/>
      <c r="X47" s="85"/>
      <c r="Y47" s="85"/>
      <c r="Z47" s="85"/>
      <c r="AA47" s="85"/>
      <c r="AB47" s="85"/>
      <c r="AC47" s="85"/>
      <c r="AD47" s="88"/>
      <c r="AE47" s="88"/>
      <c r="AF47" s="89"/>
      <c r="AG47" s="43"/>
      <c r="AH47" s="44">
        <f t="shared" si="23"/>
        <v>0</v>
      </c>
      <c r="AI47" s="45"/>
      <c r="AJ47" s="41"/>
      <c r="AK47" s="38"/>
      <c r="AL47" s="38"/>
      <c r="AM47" s="98">
        <f t="shared" si="24"/>
        <v>0</v>
      </c>
      <c r="AN47" s="44"/>
      <c r="AO47" s="41"/>
      <c r="AP47" s="38"/>
      <c r="AQ47" s="44"/>
      <c r="AR47" s="44"/>
      <c r="AS47" s="46">
        <f t="shared" si="25"/>
        <v>0</v>
      </c>
      <c r="AT47" s="47"/>
      <c r="AU47" s="48"/>
    </row>
    <row r="48" ht="17.55" spans="1:48">
      <c r="A48" s="74" t="s">
        <v>733</v>
      </c>
      <c r="B48" s="74" t="s">
        <v>779</v>
      </c>
      <c r="C48" s="75"/>
      <c r="D48" s="81"/>
      <c r="E48" s="33" t="s">
        <v>238</v>
      </c>
      <c r="F48" s="33" t="s">
        <v>261</v>
      </c>
      <c r="G48" s="82"/>
      <c r="H48" s="35"/>
      <c r="I48" s="36"/>
      <c r="J48" s="45"/>
      <c r="K48" s="38"/>
      <c r="L48" s="38"/>
      <c r="M48" s="38"/>
      <c r="N48" s="77"/>
      <c r="O48" s="77"/>
      <c r="P48" s="38"/>
      <c r="Q48" s="38"/>
      <c r="R48" s="39"/>
      <c r="S48" s="39"/>
      <c r="T48" s="39"/>
      <c r="U48" s="39"/>
      <c r="V48" s="40">
        <f t="shared" si="21"/>
        <v>0</v>
      </c>
      <c r="W48" s="92"/>
      <c r="X48" s="85"/>
      <c r="Y48" s="85"/>
      <c r="Z48" s="85"/>
      <c r="AA48" s="85"/>
      <c r="AB48" s="85"/>
      <c r="AC48" s="85"/>
      <c r="AD48" s="88"/>
      <c r="AE48" s="88"/>
      <c r="AF48" s="89">
        <f>SUM(W48:AE48)</f>
        <v>0</v>
      </c>
      <c r="AG48" s="89"/>
      <c r="AH48" s="90">
        <f t="shared" si="23"/>
        <v>0</v>
      </c>
      <c r="AI48" s="91"/>
      <c r="AJ48" s="92"/>
      <c r="AK48" s="85"/>
      <c r="AL48" s="85"/>
      <c r="AM48" s="98">
        <f t="shared" si="24"/>
        <v>0</v>
      </c>
      <c r="AN48" s="90"/>
      <c r="AO48" s="92"/>
      <c r="AP48" s="85"/>
      <c r="AQ48" s="90"/>
      <c r="AR48" s="90"/>
      <c r="AS48" s="94">
        <f t="shared" si="25"/>
        <v>0</v>
      </c>
      <c r="AT48" s="95"/>
      <c r="AU48" s="48"/>
      <c r="AV48" s="49"/>
    </row>
    <row r="49" ht="18.3" spans="1:51">
      <c r="A49" s="74" t="s">
        <v>733</v>
      </c>
      <c r="B49" s="74" t="s">
        <v>779</v>
      </c>
      <c r="D49" s="78"/>
      <c r="E49" s="33" t="s">
        <v>193</v>
      </c>
      <c r="F49" s="33"/>
      <c r="G49" s="79">
        <f t="shared" ref="G49:T49" si="26">SUM(G40:G48)</f>
        <v>0</v>
      </c>
      <c r="H49" s="79">
        <f t="shared" si="26"/>
        <v>0</v>
      </c>
      <c r="I49" s="79">
        <f t="shared" si="26"/>
        <v>0</v>
      </c>
      <c r="J49" s="100">
        <f t="shared" si="26"/>
        <v>0</v>
      </c>
      <c r="K49" s="100">
        <f t="shared" si="26"/>
        <v>0</v>
      </c>
      <c r="L49" s="100">
        <f t="shared" si="26"/>
        <v>0</v>
      </c>
      <c r="M49" s="100">
        <f t="shared" si="26"/>
        <v>0</v>
      </c>
      <c r="N49" s="100">
        <f t="shared" si="26"/>
        <v>0</v>
      </c>
      <c r="O49" s="100">
        <f t="shared" si="26"/>
        <v>0</v>
      </c>
      <c r="P49" s="100">
        <f t="shared" si="26"/>
        <v>0</v>
      </c>
      <c r="Q49" s="100">
        <f t="shared" si="26"/>
        <v>0</v>
      </c>
      <c r="R49" s="100">
        <f t="shared" si="26"/>
        <v>0</v>
      </c>
      <c r="S49" s="100">
        <f t="shared" si="26"/>
        <v>0</v>
      </c>
      <c r="T49" s="100">
        <f t="shared" si="26"/>
        <v>0</v>
      </c>
      <c r="U49" s="101"/>
      <c r="V49" s="100">
        <f>SUM(V40:V48)</f>
        <v>0</v>
      </c>
      <c r="W49" s="103">
        <f>SUM(W40:W48)</f>
        <v>0</v>
      </c>
      <c r="X49" s="100"/>
      <c r="Y49" s="100"/>
      <c r="Z49" s="100"/>
      <c r="AA49" s="100"/>
      <c r="AB49" s="100"/>
      <c r="AC49" s="100"/>
      <c r="AD49" s="104"/>
      <c r="AE49" s="104"/>
      <c r="AF49" s="105">
        <f t="shared" ref="AF49:AS49" si="27">SUM(AF40:AF48)</f>
        <v>0</v>
      </c>
      <c r="AG49" s="105">
        <f t="shared" si="27"/>
        <v>0</v>
      </c>
      <c r="AH49" s="106">
        <f t="shared" si="27"/>
        <v>0</v>
      </c>
      <c r="AI49" s="99">
        <f t="shared" si="27"/>
        <v>0</v>
      </c>
      <c r="AJ49" s="103">
        <f t="shared" si="27"/>
        <v>0</v>
      </c>
      <c r="AK49" s="100">
        <f t="shared" si="27"/>
        <v>0</v>
      </c>
      <c r="AL49" s="100">
        <f t="shared" si="27"/>
        <v>0</v>
      </c>
      <c r="AM49" s="102">
        <f t="shared" si="27"/>
        <v>0</v>
      </c>
      <c r="AN49" s="106">
        <f t="shared" si="27"/>
        <v>0</v>
      </c>
      <c r="AO49" s="103">
        <f t="shared" si="27"/>
        <v>0</v>
      </c>
      <c r="AP49" s="100">
        <f t="shared" si="27"/>
        <v>0</v>
      </c>
      <c r="AQ49" s="106">
        <f t="shared" si="27"/>
        <v>0</v>
      </c>
      <c r="AR49" s="106">
        <f t="shared" si="27"/>
        <v>0</v>
      </c>
      <c r="AS49" s="102">
        <f t="shared" si="27"/>
        <v>0</v>
      </c>
      <c r="AT49" s="103"/>
      <c r="AU49" s="102">
        <f>SUM(AU40:AU48)</f>
        <v>0</v>
      </c>
    </row>
    <row r="50" ht="18.3" spans="1:51">
      <c r="A50" s="74" t="s">
        <v>733</v>
      </c>
      <c r="B50" s="74" t="s">
        <v>779</v>
      </c>
      <c r="C50" s="75"/>
      <c r="D50" s="109" t="s">
        <v>263</v>
      </c>
      <c r="E50" s="33" t="s">
        <v>3101</v>
      </c>
      <c r="F50" s="33" t="s">
        <v>1134</v>
      </c>
      <c r="G50" s="97"/>
      <c r="H50" s="35"/>
      <c r="I50" s="36"/>
      <c r="J50" s="37"/>
      <c r="K50" s="38"/>
      <c r="L50" s="38"/>
      <c r="M50" s="38"/>
      <c r="N50" s="38"/>
      <c r="O50" s="38"/>
      <c r="P50" s="38"/>
      <c r="Q50" s="38"/>
      <c r="R50" s="39"/>
      <c r="S50" s="39"/>
      <c r="T50" s="39"/>
      <c r="U50" s="39"/>
      <c r="V50" s="98">
        <f t="shared" ref="V50:V57" si="28">SUM(J50:U50)</f>
        <v>0</v>
      </c>
      <c r="W50" s="41"/>
      <c r="X50" s="38"/>
      <c r="Y50" s="38"/>
      <c r="Z50" s="38"/>
      <c r="AA50" s="38"/>
      <c r="AB50" s="38"/>
      <c r="AC50" s="38"/>
      <c r="AD50" s="42"/>
      <c r="AE50" s="42"/>
      <c r="AF50" s="43">
        <f t="shared" ref="AF50:AF57" si="29">SUM(W50:AE50)</f>
        <v>0</v>
      </c>
      <c r="AG50" s="43"/>
      <c r="AH50" s="44">
        <f t="shared" ref="AH50:AH57" si="30">AG50</f>
        <v>0</v>
      </c>
      <c r="AI50" s="37"/>
      <c r="AJ50" s="41"/>
      <c r="AK50" s="38"/>
      <c r="AL50" s="38"/>
      <c r="AM50" s="98">
        <f t="shared" ref="AM50:AM57" si="31">AH50+AI50-AK50-AL50</f>
        <v>0</v>
      </c>
      <c r="AN50" s="44"/>
      <c r="AO50" s="41"/>
      <c r="AP50" s="38"/>
      <c r="AQ50" s="44"/>
      <c r="AR50" s="44"/>
      <c r="AS50" s="46">
        <f t="shared" ref="AS50:AS57" si="32">AH50-AN50-AQ50-AR50</f>
        <v>0</v>
      </c>
      <c r="AT50" s="41"/>
      <c r="AU50" s="48"/>
    </row>
    <row r="51" spans="1:51">
      <c r="A51" s="74" t="s">
        <v>733</v>
      </c>
      <c r="B51" s="74" t="s">
        <v>779</v>
      </c>
      <c r="C51" s="75"/>
      <c r="D51" s="81"/>
      <c r="E51" s="33" t="s">
        <v>11</v>
      </c>
      <c r="F51" s="33" t="s">
        <v>267</v>
      </c>
      <c r="G51" s="34"/>
      <c r="H51" s="35"/>
      <c r="I51" s="36"/>
      <c r="J51" s="45"/>
      <c r="K51" s="38"/>
      <c r="L51" s="38"/>
      <c r="M51" s="38"/>
      <c r="N51" s="77"/>
      <c r="O51" s="77"/>
      <c r="P51" s="38"/>
      <c r="Q51" s="38"/>
      <c r="R51" s="39"/>
      <c r="S51" s="39"/>
      <c r="T51" s="39"/>
      <c r="U51" s="39"/>
      <c r="V51" s="40">
        <f t="shared" si="28"/>
        <v>0</v>
      </c>
      <c r="W51" s="41"/>
      <c r="X51" s="38"/>
      <c r="Y51" s="38"/>
      <c r="Z51" s="38"/>
      <c r="AA51" s="38"/>
      <c r="AB51" s="38"/>
      <c r="AC51" s="38"/>
      <c r="AD51" s="42"/>
      <c r="AE51" s="42"/>
      <c r="AF51" s="43">
        <f t="shared" si="29"/>
        <v>0</v>
      </c>
      <c r="AG51" s="43"/>
      <c r="AH51" s="44">
        <f t="shared" si="30"/>
        <v>0</v>
      </c>
      <c r="AI51" s="45"/>
      <c r="AJ51" s="41"/>
      <c r="AK51" s="38"/>
      <c r="AL51" s="38"/>
      <c r="AM51" s="40">
        <f t="shared" si="31"/>
        <v>0</v>
      </c>
      <c r="AN51" s="44"/>
      <c r="AO51" s="41"/>
      <c r="AP51" s="38"/>
      <c r="AQ51" s="44"/>
      <c r="AR51" s="44"/>
      <c r="AS51" s="46">
        <f t="shared" si="32"/>
        <v>0</v>
      </c>
      <c r="AT51" s="47"/>
      <c r="AU51" s="48"/>
    </row>
    <row r="52" spans="1:51">
      <c r="A52" s="74" t="s">
        <v>733</v>
      </c>
      <c r="B52" s="74" t="s">
        <v>779</v>
      </c>
      <c r="C52" s="75"/>
      <c r="D52" s="81"/>
      <c r="E52" s="33" t="s">
        <v>11</v>
      </c>
      <c r="F52" s="33" t="s">
        <v>264</v>
      </c>
      <c r="G52" s="34"/>
      <c r="H52" s="35"/>
      <c r="I52" s="36"/>
      <c r="J52" s="45"/>
      <c r="K52" s="38"/>
      <c r="L52" s="38"/>
      <c r="M52" s="38"/>
      <c r="N52" s="77"/>
      <c r="O52" s="77"/>
      <c r="P52" s="38"/>
      <c r="Q52" s="38"/>
      <c r="R52" s="39"/>
      <c r="S52" s="39"/>
      <c r="T52" s="39"/>
      <c r="U52" s="39"/>
      <c r="V52" s="40">
        <f t="shared" si="28"/>
        <v>0</v>
      </c>
      <c r="W52" s="41"/>
      <c r="X52" s="38"/>
      <c r="Y52" s="38"/>
      <c r="Z52" s="38"/>
      <c r="AA52" s="38"/>
      <c r="AB52" s="38"/>
      <c r="AC52" s="38"/>
      <c r="AD52" s="42"/>
      <c r="AE52" s="42"/>
      <c r="AF52" s="43">
        <f t="shared" si="29"/>
        <v>0</v>
      </c>
      <c r="AG52" s="43"/>
      <c r="AH52" s="44">
        <f t="shared" si="30"/>
        <v>0</v>
      </c>
      <c r="AI52" s="45"/>
      <c r="AJ52" s="41"/>
      <c r="AK52" s="38"/>
      <c r="AL52" s="38"/>
      <c r="AM52" s="40">
        <f t="shared" si="31"/>
        <v>0</v>
      </c>
      <c r="AN52" s="44"/>
      <c r="AO52" s="41"/>
      <c r="AP52" s="38"/>
      <c r="AQ52" s="44"/>
      <c r="AR52" s="44"/>
      <c r="AS52" s="46">
        <f t="shared" si="32"/>
        <v>0</v>
      </c>
      <c r="AT52" s="47"/>
      <c r="AU52" s="48"/>
    </row>
    <row r="53" spans="1:51">
      <c r="A53" s="74" t="s">
        <v>733</v>
      </c>
      <c r="B53" s="74" t="s">
        <v>779</v>
      </c>
      <c r="C53" s="75"/>
      <c r="D53" s="81"/>
      <c r="E53" s="33" t="s">
        <v>11</v>
      </c>
      <c r="F53" s="33" t="s">
        <v>3104</v>
      </c>
      <c r="G53" s="34"/>
      <c r="H53" s="35"/>
      <c r="I53" s="36"/>
      <c r="J53" s="45"/>
      <c r="K53" s="38"/>
      <c r="L53" s="38"/>
      <c r="M53" s="38"/>
      <c r="N53" s="77"/>
      <c r="O53" s="77"/>
      <c r="P53" s="38"/>
      <c r="Q53" s="38"/>
      <c r="R53" s="39"/>
      <c r="S53" s="39"/>
      <c r="T53" s="39"/>
      <c r="U53" s="39"/>
      <c r="V53" s="40">
        <f t="shared" si="28"/>
        <v>0</v>
      </c>
      <c r="W53" s="41"/>
      <c r="X53" s="38"/>
      <c r="Y53" s="38"/>
      <c r="Z53" s="38"/>
      <c r="AA53" s="38"/>
      <c r="AB53" s="38"/>
      <c r="AC53" s="38"/>
      <c r="AD53" s="42"/>
      <c r="AE53" s="42"/>
      <c r="AF53" s="43">
        <f t="shared" si="29"/>
        <v>0</v>
      </c>
      <c r="AG53" s="43"/>
      <c r="AH53" s="44">
        <f t="shared" si="30"/>
        <v>0</v>
      </c>
      <c r="AI53" s="45"/>
      <c r="AJ53" s="41"/>
      <c r="AK53" s="38"/>
      <c r="AL53" s="38"/>
      <c r="AM53" s="40">
        <f t="shared" si="31"/>
        <v>0</v>
      </c>
      <c r="AN53" s="44"/>
      <c r="AO53" s="41"/>
      <c r="AP53" s="38"/>
      <c r="AQ53" s="44"/>
      <c r="AR53" s="44"/>
      <c r="AS53" s="46">
        <f t="shared" si="32"/>
        <v>0</v>
      </c>
      <c r="AT53" s="47"/>
      <c r="AU53" s="48"/>
    </row>
    <row r="54" spans="1:51">
      <c r="A54" s="74" t="s">
        <v>733</v>
      </c>
      <c r="B54" s="74" t="s">
        <v>779</v>
      </c>
      <c r="C54" s="75"/>
      <c r="D54" s="81"/>
      <c r="E54" s="33" t="s">
        <v>11</v>
      </c>
      <c r="F54" s="33" t="s">
        <v>265</v>
      </c>
      <c r="G54" s="34"/>
      <c r="H54" s="35"/>
      <c r="I54" s="36"/>
      <c r="J54" s="45"/>
      <c r="K54" s="38"/>
      <c r="L54" s="38"/>
      <c r="M54" s="38"/>
      <c r="N54" s="77"/>
      <c r="O54" s="77"/>
      <c r="P54" s="38"/>
      <c r="Q54" s="38"/>
      <c r="R54" s="39"/>
      <c r="S54" s="39"/>
      <c r="T54" s="39"/>
      <c r="U54" s="39"/>
      <c r="V54" s="40">
        <f t="shared" si="28"/>
        <v>0</v>
      </c>
      <c r="W54" s="41"/>
      <c r="X54" s="38"/>
      <c r="Y54" s="38"/>
      <c r="Z54" s="38"/>
      <c r="AA54" s="38"/>
      <c r="AB54" s="38"/>
      <c r="AC54" s="38"/>
      <c r="AD54" s="42"/>
      <c r="AE54" s="42"/>
      <c r="AF54" s="43">
        <f t="shared" si="29"/>
        <v>0</v>
      </c>
      <c r="AG54" s="43"/>
      <c r="AH54" s="44">
        <f t="shared" si="30"/>
        <v>0</v>
      </c>
      <c r="AI54" s="45"/>
      <c r="AJ54" s="41"/>
      <c r="AK54" s="38"/>
      <c r="AL54" s="38"/>
      <c r="AM54" s="40">
        <f t="shared" si="31"/>
        <v>0</v>
      </c>
      <c r="AN54" s="44"/>
      <c r="AO54" s="41"/>
      <c r="AP54" s="38"/>
      <c r="AQ54" s="44"/>
      <c r="AR54" s="44"/>
      <c r="AS54" s="46">
        <f t="shared" si="32"/>
        <v>0</v>
      </c>
      <c r="AT54" s="47"/>
      <c r="AU54" s="48"/>
    </row>
    <row r="55" spans="1:51">
      <c r="A55" s="74" t="s">
        <v>733</v>
      </c>
      <c r="B55" s="74" t="s">
        <v>779</v>
      </c>
      <c r="C55" s="75"/>
      <c r="D55" s="81"/>
      <c r="E55" s="33" t="s">
        <v>11</v>
      </c>
      <c r="F55" s="33" t="s">
        <v>266</v>
      </c>
      <c r="G55" s="34"/>
      <c r="H55" s="35"/>
      <c r="I55" s="36"/>
      <c r="J55" s="45"/>
      <c r="K55" s="38"/>
      <c r="L55" s="38"/>
      <c r="M55" s="38"/>
      <c r="N55" s="77"/>
      <c r="O55" s="77"/>
      <c r="P55" s="38"/>
      <c r="Q55" s="38"/>
      <c r="R55" s="39"/>
      <c r="S55" s="39"/>
      <c r="T55" s="39"/>
      <c r="U55" s="39"/>
      <c r="V55" s="40">
        <f t="shared" si="28"/>
        <v>0</v>
      </c>
      <c r="W55" s="41"/>
      <c r="X55" s="38"/>
      <c r="Y55" s="38"/>
      <c r="Z55" s="38"/>
      <c r="AA55" s="38"/>
      <c r="AB55" s="38"/>
      <c r="AC55" s="38"/>
      <c r="AD55" s="42"/>
      <c r="AE55" s="42"/>
      <c r="AF55" s="43">
        <f t="shared" si="29"/>
        <v>0</v>
      </c>
      <c r="AG55" s="43"/>
      <c r="AH55" s="44">
        <f t="shared" si="30"/>
        <v>0</v>
      </c>
      <c r="AI55" s="45"/>
      <c r="AJ55" s="41"/>
      <c r="AK55" s="38"/>
      <c r="AL55" s="38"/>
      <c r="AM55" s="40">
        <f t="shared" si="31"/>
        <v>0</v>
      </c>
      <c r="AN55" s="44"/>
      <c r="AO55" s="41"/>
      <c r="AP55" s="38"/>
      <c r="AQ55" s="44"/>
      <c r="AR55" s="44"/>
      <c r="AS55" s="46">
        <f t="shared" si="32"/>
        <v>0</v>
      </c>
      <c r="AT55" s="47"/>
      <c r="AU55" s="48"/>
    </row>
    <row r="56" spans="1:51">
      <c r="A56" s="74" t="s">
        <v>733</v>
      </c>
      <c r="B56" s="74" t="s">
        <v>779</v>
      </c>
      <c r="C56" s="75"/>
      <c r="D56" s="81"/>
      <c r="E56" s="33" t="s">
        <v>11</v>
      </c>
      <c r="F56" s="33" t="s">
        <v>268</v>
      </c>
      <c r="G56" s="34"/>
      <c r="H56" s="35"/>
      <c r="I56" s="36"/>
      <c r="J56" s="45"/>
      <c r="K56" s="38"/>
      <c r="L56" s="38"/>
      <c r="M56" s="38"/>
      <c r="N56" s="77"/>
      <c r="O56" s="77"/>
      <c r="P56" s="38"/>
      <c r="Q56" s="38"/>
      <c r="R56" s="39"/>
      <c r="S56" s="39"/>
      <c r="T56" s="39"/>
      <c r="U56" s="39"/>
      <c r="V56" s="40">
        <f t="shared" si="28"/>
        <v>0</v>
      </c>
      <c r="W56" s="41"/>
      <c r="X56" s="38"/>
      <c r="Y56" s="38"/>
      <c r="Z56" s="38"/>
      <c r="AA56" s="38"/>
      <c r="AB56" s="38"/>
      <c r="AC56" s="38"/>
      <c r="AD56" s="42"/>
      <c r="AE56" s="42"/>
      <c r="AF56" s="43">
        <f t="shared" si="29"/>
        <v>0</v>
      </c>
      <c r="AG56" s="43"/>
      <c r="AH56" s="44">
        <f t="shared" si="30"/>
        <v>0</v>
      </c>
      <c r="AI56" s="45"/>
      <c r="AJ56" s="41"/>
      <c r="AK56" s="38"/>
      <c r="AL56" s="38"/>
      <c r="AM56" s="40">
        <f t="shared" si="31"/>
        <v>0</v>
      </c>
      <c r="AN56" s="44"/>
      <c r="AO56" s="41"/>
      <c r="AP56" s="38"/>
      <c r="AQ56" s="44"/>
      <c r="AR56" s="44"/>
      <c r="AS56" s="46">
        <f t="shared" si="32"/>
        <v>0</v>
      </c>
      <c r="AT56" s="47"/>
      <c r="AU56" s="48"/>
    </row>
    <row r="57" ht="17.55" spans="1:51">
      <c r="A57" s="74" t="s">
        <v>733</v>
      </c>
      <c r="B57" s="74" t="s">
        <v>779</v>
      </c>
      <c r="C57" s="75"/>
      <c r="D57" s="81"/>
      <c r="E57" s="33" t="s">
        <v>238</v>
      </c>
      <c r="F57" s="33" t="s">
        <v>270</v>
      </c>
      <c r="G57" s="82"/>
      <c r="H57" s="83"/>
      <c r="I57" s="84"/>
      <c r="J57" s="91"/>
      <c r="K57" s="85"/>
      <c r="L57" s="85"/>
      <c r="M57" s="85"/>
      <c r="N57" s="86"/>
      <c r="O57" s="86"/>
      <c r="P57" s="85"/>
      <c r="Q57" s="85"/>
      <c r="R57" s="87"/>
      <c r="S57" s="87"/>
      <c r="T57" s="87"/>
      <c r="U57" s="87"/>
      <c r="V57" s="93">
        <f t="shared" si="28"/>
        <v>0</v>
      </c>
      <c r="W57" s="92"/>
      <c r="X57" s="85"/>
      <c r="Y57" s="85"/>
      <c r="Z57" s="85"/>
      <c r="AA57" s="85"/>
      <c r="AB57" s="85"/>
      <c r="AC57" s="85"/>
      <c r="AD57" s="88"/>
      <c r="AE57" s="88"/>
      <c r="AF57" s="89">
        <f t="shared" si="29"/>
        <v>0</v>
      </c>
      <c r="AG57" s="89"/>
      <c r="AH57" s="90">
        <f t="shared" si="30"/>
        <v>0</v>
      </c>
      <c r="AI57" s="91"/>
      <c r="AJ57" s="92"/>
      <c r="AK57" s="85"/>
      <c r="AL57" s="85"/>
      <c r="AM57" s="93">
        <f t="shared" si="31"/>
        <v>0</v>
      </c>
      <c r="AN57" s="90"/>
      <c r="AO57" s="92"/>
      <c r="AP57" s="85"/>
      <c r="AQ57" s="90"/>
      <c r="AR57" s="90"/>
      <c r="AS57" s="94">
        <f t="shared" si="32"/>
        <v>0</v>
      </c>
      <c r="AT57" s="95"/>
      <c r="AU57" s="48"/>
    </row>
    <row r="58" ht="18.3" spans="1:51">
      <c r="A58" s="74" t="s">
        <v>733</v>
      </c>
      <c r="B58" s="74" t="s">
        <v>779</v>
      </c>
      <c r="C58" s="75"/>
      <c r="D58" s="110"/>
      <c r="E58" s="33" t="s">
        <v>193</v>
      </c>
      <c r="F58" s="33"/>
      <c r="G58" s="79"/>
      <c r="H58" s="79"/>
      <c r="I58" s="80">
        <f>SUM(I50:I57)</f>
        <v>0</v>
      </c>
      <c r="J58" s="99">
        <f>SUM(J50:J57)</f>
        <v>0</v>
      </c>
      <c r="K58" s="99">
        <f>SUM(K50:K57)</f>
        <v>0</v>
      </c>
      <c r="L58" s="99">
        <f>SUM(L50:L57)</f>
        <v>0</v>
      </c>
      <c r="M58" s="100"/>
      <c r="N58" s="100"/>
      <c r="O58" s="100">
        <f>SUM(O50:O57)</f>
        <v>0</v>
      </c>
      <c r="P58" s="100"/>
      <c r="Q58" s="100"/>
      <c r="R58" s="101"/>
      <c r="S58" s="101"/>
      <c r="T58" s="101"/>
      <c r="U58" s="101"/>
      <c r="V58" s="102">
        <f>SUM(V51:V57)</f>
        <v>0</v>
      </c>
      <c r="W58" s="103">
        <f t="shared" ref="W58:AS58" si="33">SUM(W50:W57)</f>
        <v>0</v>
      </c>
      <c r="X58" s="103">
        <f t="shared" si="33"/>
        <v>0</v>
      </c>
      <c r="Y58" s="103">
        <f t="shared" si="33"/>
        <v>0</v>
      </c>
      <c r="Z58" s="103">
        <f t="shared" si="33"/>
        <v>0</v>
      </c>
      <c r="AA58" s="103">
        <f t="shared" si="33"/>
        <v>0</v>
      </c>
      <c r="AB58" s="103">
        <f t="shared" si="33"/>
        <v>0</v>
      </c>
      <c r="AC58" s="103">
        <f t="shared" si="33"/>
        <v>0</v>
      </c>
      <c r="AD58" s="103">
        <f t="shared" si="33"/>
        <v>0</v>
      </c>
      <c r="AE58" s="103">
        <f t="shared" si="33"/>
        <v>0</v>
      </c>
      <c r="AF58" s="103">
        <f t="shared" si="33"/>
        <v>0</v>
      </c>
      <c r="AG58" s="105">
        <f t="shared" si="33"/>
        <v>0</v>
      </c>
      <c r="AH58" s="106">
        <f t="shared" si="33"/>
        <v>0</v>
      </c>
      <c r="AI58" s="99">
        <f t="shared" si="33"/>
        <v>0</v>
      </c>
      <c r="AJ58" s="103">
        <f t="shared" si="33"/>
        <v>0</v>
      </c>
      <c r="AK58" s="100">
        <f t="shared" si="33"/>
        <v>0</v>
      </c>
      <c r="AL58" s="100">
        <f t="shared" si="33"/>
        <v>0</v>
      </c>
      <c r="AM58" s="102">
        <f t="shared" si="33"/>
        <v>0</v>
      </c>
      <c r="AN58" s="106">
        <f t="shared" si="33"/>
        <v>0</v>
      </c>
      <c r="AO58" s="103">
        <f t="shared" si="33"/>
        <v>0</v>
      </c>
      <c r="AP58" s="100">
        <f t="shared" si="33"/>
        <v>0</v>
      </c>
      <c r="AQ58" s="106">
        <f t="shared" si="33"/>
        <v>0</v>
      </c>
      <c r="AR58" s="106">
        <f t="shared" si="33"/>
        <v>0</v>
      </c>
      <c r="AS58" s="102">
        <f t="shared" si="33"/>
        <v>0</v>
      </c>
      <c r="AT58" s="103"/>
      <c r="AU58" s="102">
        <f>SUM(AU50:AU57)</f>
        <v>0</v>
      </c>
    </row>
    <row r="59" ht="11.4" customHeight="1" spans="1:51">
      <c r="A59" s="111"/>
      <c r="B59" s="111"/>
      <c r="C59" s="112"/>
      <c r="D59" s="113"/>
      <c r="E59" s="114" t="s">
        <v>162</v>
      </c>
      <c r="F59" s="114"/>
      <c r="G59" s="115"/>
      <c r="H59" s="115">
        <f>SUM(H33:H39)</f>
        <v>0</v>
      </c>
      <c r="I59" s="115">
        <f t="shared" ref="I59:U59" si="34">SUM(I25,I32,I39,I49,I58)</f>
        <v>0</v>
      </c>
      <c r="J59" s="116">
        <f t="shared" si="34"/>
        <v>0</v>
      </c>
      <c r="K59" s="116">
        <f t="shared" si="34"/>
        <v>0</v>
      </c>
      <c r="L59" s="116">
        <f t="shared" si="34"/>
        <v>0</v>
      </c>
      <c r="M59" s="116">
        <f t="shared" si="34"/>
        <v>0</v>
      </c>
      <c r="N59" s="116">
        <f t="shared" si="34"/>
        <v>0</v>
      </c>
      <c r="O59" s="116">
        <f t="shared" si="34"/>
        <v>0</v>
      </c>
      <c r="P59" s="116">
        <f t="shared" si="34"/>
        <v>0</v>
      </c>
      <c r="Q59" s="116">
        <f t="shared" si="34"/>
        <v>0</v>
      </c>
      <c r="R59" s="116">
        <f t="shared" si="34"/>
        <v>0</v>
      </c>
      <c r="S59" s="116">
        <f t="shared" si="34"/>
        <v>0</v>
      </c>
      <c r="T59" s="116">
        <f t="shared" si="34"/>
        <v>0</v>
      </c>
      <c r="U59" s="116">
        <f t="shared" si="34"/>
        <v>0</v>
      </c>
      <c r="V59" s="116">
        <f>SUM(V25,V32,V39,V49,V58,V13)</f>
        <v>0</v>
      </c>
      <c r="W59" s="116">
        <f t="shared" ref="W59:AF59" si="35">SUM(W25,W32,W39,W49,W58)</f>
        <v>0</v>
      </c>
      <c r="X59" s="116">
        <f t="shared" si="35"/>
        <v>0</v>
      </c>
      <c r="Y59" s="116">
        <f t="shared" si="35"/>
        <v>0</v>
      </c>
      <c r="Z59" s="116">
        <f t="shared" si="35"/>
        <v>0</v>
      </c>
      <c r="AA59" s="116">
        <f t="shared" si="35"/>
        <v>0</v>
      </c>
      <c r="AB59" s="116">
        <f t="shared" si="35"/>
        <v>0</v>
      </c>
      <c r="AC59" s="116">
        <f t="shared" si="35"/>
        <v>0</v>
      </c>
      <c r="AD59" s="116">
        <f t="shared" si="35"/>
        <v>0</v>
      </c>
      <c r="AE59" s="116">
        <f t="shared" si="35"/>
        <v>0</v>
      </c>
      <c r="AF59" s="116">
        <f t="shared" si="35"/>
        <v>0</v>
      </c>
      <c r="AG59" s="116">
        <f>SUM(AG25,AG32,AG39,AG49,AG58,AG13)</f>
        <v>0</v>
      </c>
      <c r="AH59" s="116">
        <f t="shared" ref="AH59:AS59" si="36">SUM(AH25,AH32,AH39,AH49,AH58)</f>
        <v>0</v>
      </c>
      <c r="AI59" s="116">
        <f t="shared" si="36"/>
        <v>0</v>
      </c>
      <c r="AJ59" s="116">
        <f t="shared" si="36"/>
        <v>0</v>
      </c>
      <c r="AK59" s="116">
        <f t="shared" si="36"/>
        <v>0</v>
      </c>
      <c r="AL59" s="116">
        <f t="shared" si="36"/>
        <v>0</v>
      </c>
      <c r="AM59" s="116">
        <f t="shared" si="36"/>
        <v>0</v>
      </c>
      <c r="AN59" s="116">
        <f t="shared" si="36"/>
        <v>0</v>
      </c>
      <c r="AO59" s="116">
        <f t="shared" si="36"/>
        <v>0</v>
      </c>
      <c r="AP59" s="116">
        <f t="shared" si="36"/>
        <v>0</v>
      </c>
      <c r="AQ59" s="116">
        <f t="shared" si="36"/>
        <v>0</v>
      </c>
      <c r="AR59" s="116">
        <f t="shared" si="36"/>
        <v>0</v>
      </c>
      <c r="AS59" s="116">
        <f t="shared" si="36"/>
        <v>0</v>
      </c>
      <c r="AT59" s="116"/>
      <c r="AU59" s="116">
        <f>SUM(AU25,AU32,AU39,AU49,AU58)</f>
        <v>0</v>
      </c>
      <c r="AV59" s="117"/>
      <c r="AW59" s="117"/>
      <c r="AX59" s="117"/>
      <c r="AY59" s="117"/>
    </row>
    <row r="60" ht="11.4" customHeight="1" spans="1:51">
      <c r="A60" s="118"/>
      <c r="B60" s="118"/>
      <c r="C60" s="119"/>
      <c r="D60" s="120"/>
      <c r="E60" s="121"/>
      <c r="F60" s="121"/>
      <c r="G60" s="122"/>
      <c r="H60" s="122"/>
      <c r="I60" s="122"/>
      <c r="J60" s="123"/>
      <c r="K60" s="123"/>
      <c r="L60" s="123"/>
      <c r="M60" s="123"/>
      <c r="N60" s="123"/>
      <c r="O60" s="123"/>
      <c r="P60" s="123"/>
      <c r="Q60" s="123"/>
      <c r="R60" s="124"/>
      <c r="S60" s="124"/>
      <c r="T60" s="124"/>
      <c r="U60" s="124"/>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19"/>
      <c r="AW60" s="119"/>
      <c r="AX60" s="119"/>
      <c r="AY60" s="119"/>
    </row>
    <row r="61" spans="1:51">
      <c r="AG61" s="125"/>
    </row>
  </sheetData>
  <mergeCells count="7">
    <mergeCell ref="C2:AU2"/>
    <mergeCell ref="D12:D13"/>
    <mergeCell ref="D14:D25"/>
    <mergeCell ref="D26:D32"/>
    <mergeCell ref="D33:D39"/>
    <mergeCell ref="D40:D49"/>
    <mergeCell ref="D50:D5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19</vt:i4>
      </vt:variant>
    </vt:vector>
  </HeadingPairs>
  <TitlesOfParts>
    <vt:vector size="19" baseType="lpstr">
      <vt:lpstr>绩效整理表</vt:lpstr>
      <vt:lpstr>销售任务及完成率</vt:lpstr>
      <vt:lpstr>新媒体</vt:lpstr>
      <vt:lpstr>邀约专员提成</vt:lpstr>
      <vt:lpstr>客户部提成</vt:lpstr>
      <vt:lpstr>直营店经理提成 (财务)</vt:lpstr>
      <vt:lpstr>招聘</vt:lpstr>
      <vt:lpstr>综合表</vt:lpstr>
      <vt:lpstr>重功超期+活动</vt:lpstr>
      <vt:lpstr>保客考核明细</vt:lpstr>
      <vt:lpstr>直营店交车</vt:lpstr>
      <vt:lpstr>翼真考核</vt:lpstr>
      <vt:lpstr>二手置换 </vt:lpstr>
      <vt:lpstr>按揭绩效</vt:lpstr>
      <vt:lpstr>西物基本</vt:lpstr>
      <vt:lpstr>直营店基本</vt:lpstr>
      <vt:lpstr>超市基本</vt:lpstr>
      <vt:lpstr>银河B直营店提成</vt:lpstr>
      <vt:lpstr>银河A提成- 渠道+直营店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macstudio2</cp:lastModifiedBy>
  <dcterms:created xsi:type="dcterms:W3CDTF">2026-07-09T16:49:00Z</dcterms:created>
  <dcterms:modified xsi:type="dcterms:W3CDTF">2026-07-09T16:52:26Z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2A7CA7A475BD330B4A614F6A22AE8E2A_42</vt:lpwstr>
  </property>
  <property fmtid="{D5CDD505-2E9C-101B-9397-08002B2CF9AE}" pid="3" name="KSOProductBuildVer">
    <vt:lpwstr>2052-12.1.26030.26030</vt:lpwstr>
  </property>
  <property fmtid="{D5CDD505-2E9C-101B-9397-08002B2CF9AE}" pid="4" name="CalculationRule">
    <vt:i4>0</vt:i4>
  </property>
</Properties>
</file>